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1_A" sheetId="1" state="visible" r:id="rId1"/>
    <sheet xmlns:r="http://schemas.openxmlformats.org/officeDocument/2006/relationships" name="W1_B" sheetId="2" state="visible" r:id="rId2"/>
    <sheet xmlns:r="http://schemas.openxmlformats.org/officeDocument/2006/relationships" name="W2_A" sheetId="3" state="visible" r:id="rId3"/>
    <sheet xmlns:r="http://schemas.openxmlformats.org/officeDocument/2006/relationships" name="W2_B" sheetId="4" state="visible" r:id="rId4"/>
    <sheet xmlns:r="http://schemas.openxmlformats.org/officeDocument/2006/relationships" name="W3_A" sheetId="5" state="visible" r:id="rId5"/>
    <sheet xmlns:r="http://schemas.openxmlformats.org/officeDocument/2006/relationships" name="W3_B" sheetId="6" state="visible" r:id="rId6"/>
    <sheet xmlns:r="http://schemas.openxmlformats.org/officeDocument/2006/relationships" name="W4_A" sheetId="7" state="visible" r:id="rId7"/>
    <sheet xmlns:r="http://schemas.openxmlformats.org/officeDocument/2006/relationships" name="W4_B" sheetId="8" state="visible" r:id="rId8"/>
    <sheet xmlns:r="http://schemas.openxmlformats.org/officeDocument/2006/relationships" name="00_主索引" sheetId="9" state="visible" r:id="rId9"/>
    <sheet xmlns:r="http://schemas.openxmlformats.org/officeDocument/2006/relationships" name="05_汇总" sheetId="10" state="visible" r:id="rId10"/>
    <sheet xmlns:r="http://schemas.openxmlformats.org/officeDocument/2006/relationships" name="06_质控" sheetId="11" state="visible" r:id="rId11"/>
    <sheet xmlns:r="http://schemas.openxmlformats.org/officeDocument/2006/relationships" name="07_LVP拟合参数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0000FF"/>
      <sz val="11"/>
    </font>
    <font>
      <name val="Arial"/>
      <b val="1"/>
      <sz val="11"/>
    </font>
    <font>
      <name val="Arial"/>
      <b val="1"/>
      <color rgb="00C00000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BE5D6"/>
      </patternFill>
    </fill>
    <fill>
      <patternFill patternType="solid">
        <fgColor rgb="00FCE4EC"/>
      </patternFill>
    </fill>
    <fill>
      <patternFill patternType="solid">
        <fgColor rgb="00D5F5E3"/>
      </patternFill>
    </fill>
    <fill>
      <patternFill patternType="solid">
        <fgColor rgb="00E8DAEF"/>
      </patternFill>
    </fill>
    <fill>
      <patternFill patternType="solid">
        <fgColor rgb="00F9E79F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8" borderId="0" pivotButton="0" quotePrefix="0" xfId="0"/>
    <xf numFmtId="0" fontId="0" fillId="4" borderId="0" pivotButton="0" quotePrefix="0" xfId="0"/>
    <xf numFmtId="0" fontId="1" fillId="9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12" customWidth="1" min="12" max="12"/>
    <col width="10" customWidth="1" min="13" max="13"/>
    <col width="10" customWidth="1" min="14" max="14"/>
    <col width="12" customWidth="1" min="15" max="15"/>
    <col width="18" customWidth="1" min="16" max="16"/>
    <col width="12" customWidth="1" min="17" max="17"/>
    <col width="10" customWidth="1" min="18" max="18"/>
    <col width="12" customWidth="1" min="19" max="19"/>
    <col width="16" customWidth="1" min="20" max="20"/>
    <col width="14" customWidth="1" min="21" max="21"/>
    <col width="14" customWidth="1" min="22" max="22"/>
  </cols>
  <sheetData>
    <row r="1">
      <c r="A1" s="1" t="inlineStr">
        <is>
          <t>研究二AI组 W1_A (A日) MC=0.55-0.65 VL%=18</t>
        </is>
      </c>
    </row>
    <row r="2">
      <c r="A2" s="2" t="inlineStr">
        <is>
          <t>MC区间</t>
        </is>
      </c>
      <c r="B2" s="3" t="inlineStr">
        <is>
          <t>MC中点</t>
        </is>
      </c>
      <c r="C2" s="3" t="inlineStr">
        <is>
          <t>VL%</t>
        </is>
      </c>
      <c r="D2" s="3" t="inlineStr">
        <is>
          <t>安全停止</t>
        </is>
      </c>
      <c r="E2" s="3" t="inlineStr">
        <is>
          <t>组数</t>
        </is>
      </c>
      <c r="F2" s="3" t="inlineStr">
        <is>
          <t>热身</t>
        </is>
      </c>
      <c r="G2" s="4" t="inlineStr">
        <is>
          <t>A</t>
        </is>
      </c>
    </row>
    <row r="3">
      <c r="A3" s="5" t="inlineStr">
        <is>
          <t>P007 陈鑫  a=1.65 b=-0.0125 1RM=110</t>
        </is>
      </c>
    </row>
    <row r="4">
      <c r="A4" s="6" t="inlineStr">
        <is>
          <t>编号</t>
        </is>
      </c>
      <c r="B4" s="6" t="inlineStr">
        <is>
          <t>姓名</t>
        </is>
      </c>
      <c r="C4" s="6" t="inlineStr">
        <is>
          <t>身高</t>
        </is>
      </c>
      <c r="D4" s="6" t="inlineStr">
        <is>
          <t>1RM</t>
        </is>
      </c>
      <c r="E4" s="6" t="inlineStr">
        <is>
          <t>Hooper睡</t>
        </is>
      </c>
      <c r="F4" s="6" t="inlineStr">
        <is>
          <t>Hooper压</t>
        </is>
      </c>
      <c r="G4" s="6" t="inlineStr">
        <is>
          <t>Hooper疲</t>
        </is>
      </c>
      <c r="H4" s="6" t="inlineStr">
        <is>
          <t>Hooper酸</t>
        </is>
      </c>
      <c r="I4" s="6" t="inlineStr">
        <is>
          <t>H总</t>
        </is>
      </c>
      <c r="J4" s="6" t="inlineStr">
        <is>
          <t>不适?</t>
        </is>
      </c>
      <c r="K4" s="6" t="inlineStr">
        <is>
          <t>说明</t>
        </is>
      </c>
      <c r="L4" s="6" t="inlineStr">
        <is>
          <t>CMJ1</t>
        </is>
      </c>
      <c r="M4" s="6" t="inlineStr">
        <is>
          <t>CMJ2</t>
        </is>
      </c>
      <c r="N4" s="6" t="inlineStr">
        <is>
          <t>CMJ3</t>
        </is>
      </c>
      <c r="O4" s="6" t="inlineStr">
        <is>
          <t>CMJμ</t>
        </is>
      </c>
      <c r="P4" s="6" t="inlineStr">
        <is>
          <t>&lt;95%</t>
        </is>
      </c>
      <c r="Q4" s="6" t="inlineStr">
        <is>
          <t>减组</t>
        </is>
      </c>
      <c r="R4" s="6" t="inlineStr">
        <is>
          <t>组数</t>
        </is>
      </c>
      <c r="S4" s="6" t="inlineStr">
        <is>
          <t>a(V0)</t>
        </is>
      </c>
      <c r="T4" s="6" t="inlineStr">
        <is>
          <t>b</t>
        </is>
      </c>
      <c r="U4" s="6" t="inlineStr">
        <is>
          <t>等级</t>
        </is>
      </c>
      <c r="V4" s="6" t="inlineStr">
        <is>
          <t>预测起始</t>
        </is>
      </c>
    </row>
    <row r="5">
      <c r="A5" s="7" t="inlineStr">
        <is>
          <t>P007</t>
        </is>
      </c>
      <c r="B5" s="7" t="inlineStr">
        <is>
          <t>陈鑫</t>
        </is>
      </c>
      <c r="C5" s="7" t="n">
        <v>173</v>
      </c>
      <c r="D5" s="8" t="n">
        <v>110</v>
      </c>
      <c r="E5" s="9" t="n"/>
      <c r="F5" s="9" t="n"/>
      <c r="G5" s="9" t="n"/>
      <c r="H5" s="9" t="n"/>
      <c r="I5" s="7">
        <f>IFERROR(SUM(E5:H5),"")</f>
        <v/>
      </c>
      <c r="J5" s="9" t="n"/>
      <c r="K5" s="9" t="n"/>
      <c r="L5" s="9" t="n"/>
      <c r="M5" s="9" t="n"/>
      <c r="N5" s="9" t="n"/>
      <c r="O5" s="7">
        <f>IFERROR(AVERAGE(L5:N5),"")</f>
        <v/>
      </c>
      <c r="P5" s="7">
        <f>IF(O5="","",IF(O5&lt;63.01,"是⚠","否"))</f>
        <v/>
      </c>
      <c r="Q5" s="7">
        <f>IF(O5="","",IF(O5&lt;63.01,4-1,4))</f>
        <v/>
      </c>
      <c r="R5" s="7" t="n"/>
      <c r="S5" s="8" t="n">
        <v>1.65</v>
      </c>
      <c r="T5" s="8" t="n">
        <v>-0.0125</v>
      </c>
      <c r="U5" s="7" t="inlineStr">
        <is>
          <t>A</t>
        </is>
      </c>
      <c r="V5" s="8" t="n">
        <v>85</v>
      </c>
    </row>
    <row r="6">
      <c r="A6" s="10" t="inlineStr">
        <is>
          <t>热身校准</t>
        </is>
      </c>
      <c r="B6" s="10" t="inlineStr">
        <is>
          <t>a</t>
        </is>
      </c>
      <c r="C6" s="10" t="inlineStr">
        <is>
          <t>b</t>
        </is>
      </c>
      <c r="D6" s="10" t="inlineStr">
        <is>
          <t>50%热身</t>
        </is>
      </c>
      <c r="E6" s="10" t="inlineStr">
        <is>
          <t>70%热身</t>
        </is>
      </c>
      <c r="F6" s="10" t="inlineStr">
        <is>
          <t>热身负荷</t>
        </is>
      </c>
      <c r="G6" s="10" t="inlineStr">
        <is>
          <t>实测MCV</t>
        </is>
      </c>
      <c r="H6" s="10" t="inlineStr">
        <is>
          <t>预测MCV</t>
        </is>
      </c>
      <c r="I6" s="10" t="inlineStr">
        <is>
          <t>Δv</t>
        </is>
      </c>
      <c r="J6" s="10" t="inlineStr">
        <is>
          <t>调整量</t>
        </is>
      </c>
      <c r="K6" s="10" t="inlineStr">
        <is>
          <t>校准第1组</t>
        </is>
      </c>
    </row>
    <row r="7">
      <c r="A7" s="7" t="n"/>
      <c r="B7" s="11" t="n">
        <v>1.65</v>
      </c>
      <c r="C7" s="11" t="n">
        <v>-0.0125</v>
      </c>
      <c r="D7" s="11">
        <f>IFERROR(ROUND(V5*0.5/2.5,0)*2.5,"")</f>
        <v/>
      </c>
      <c r="E7" s="11">
        <f>IFERROR(ROUND(V5*0.7/2.5,0)*2.5,"")</f>
        <v/>
      </c>
      <c r="F7" s="11">
        <f>IFERROR(ROUND(V5*0.6/2.5,0)*2.5,"")</f>
        <v/>
      </c>
      <c r="G7" s="9" t="n"/>
      <c r="H7" s="11">
        <f>IFERROR(B7+C7*F7,"")</f>
        <v/>
      </c>
      <c r="I7" s="11">
        <f>IFERROR(G7-H7,"")</f>
        <v/>
      </c>
      <c r="J7" s="11">
        <f>IFERROR(IF(I7&gt;0.08,5,IF(I7&gt;0.04,2.5,IF(I7&gt;=-0.04,0,IF(I7&gt;=-0.08,-2.5,-5)))),"")</f>
        <v/>
      </c>
      <c r="K7" s="11">
        <f>IFERROR(ROUND(V5+J7,0),"")</f>
        <v/>
      </c>
    </row>
    <row r="8">
      <c r="A8" s="12" t="inlineStr">
        <is>
          <t>组</t>
        </is>
      </c>
      <c r="B8" s="12" t="inlineStr">
        <is>
          <t>负荷</t>
        </is>
      </c>
      <c r="C8" s="12" t="inlineStr">
        <is>
          <t>rep1</t>
        </is>
      </c>
      <c r="D8" s="12" t="inlineStr">
        <is>
          <t>rep2</t>
        </is>
      </c>
      <c r="E8" s="12" t="inlineStr">
        <is>
          <t>rep3</t>
        </is>
      </c>
      <c r="F8" s="12" t="inlineStr">
        <is>
          <t>rep4</t>
        </is>
      </c>
      <c r="G8" s="12" t="inlineStr">
        <is>
          <t>rep5</t>
        </is>
      </c>
      <c r="H8" s="12" t="inlineStr">
        <is>
          <t>rep6</t>
        </is>
      </c>
      <c r="I8" s="12" t="inlineStr">
        <is>
          <t>best</t>
        </is>
      </c>
      <c r="J8" s="12" t="inlineStr">
        <is>
          <t>best#</t>
        </is>
      </c>
      <c r="K8" s="12" t="inlineStr">
        <is>
          <t>VL%</t>
        </is>
      </c>
      <c r="L8" s="12" t="inlineStr">
        <is>
          <t>stop_th</t>
        </is>
      </c>
      <c r="M8" s="12" t="inlineStr">
        <is>
          <t>latest</t>
        </is>
      </c>
      <c r="N8" s="12" t="inlineStr">
        <is>
          <t>VL_flag</t>
        </is>
      </c>
      <c r="O8" s="12" t="inlineStr">
        <is>
          <t>safety</t>
        </is>
      </c>
      <c r="P8" s="12" t="inlineStr">
        <is>
          <t>原因</t>
        </is>
      </c>
      <c r="Q8" s="12" t="inlineStr">
        <is>
          <t>建议</t>
        </is>
      </c>
      <c r="R8" s="12" t="inlineStr">
        <is>
          <t>次数</t>
        </is>
      </c>
    </row>
    <row r="9">
      <c r="A9" s="7" t="n">
        <v>1</v>
      </c>
      <c r="B9" s="9">
        <f>IFERROR(K7,"")</f>
        <v/>
      </c>
      <c r="C9" s="9" t="n"/>
      <c r="D9" s="9" t="n"/>
      <c r="E9" s="9" t="n"/>
      <c r="F9" s="9" t="n"/>
      <c r="G9" s="9" t="n"/>
      <c r="H9" s="9" t="n"/>
      <c r="I9" s="7">
        <f>IFERROR(MAX(C9:H9),"")</f>
        <v/>
      </c>
      <c r="J9" s="7">
        <f>IFERROR(MATCH(I9,C9:H9,0),"")</f>
        <v/>
      </c>
      <c r="K9" s="7" t="n">
        <v>18</v>
      </c>
      <c r="L9" s="7">
        <f>IFERROR(I9*(1-(K9/100)),"")</f>
        <v/>
      </c>
      <c r="M9" s="7">
        <f>IFERROR(LOOKUP(9.99E+307,C9:H9),"")</f>
        <v/>
      </c>
      <c r="N9" s="7">
        <f>IFERROR(IF(M9="","",IF(M9&lt;=N9,"停组🛑","继续✓")),"")</f>
        <v/>
      </c>
      <c r="O9" s="7">
        <f>IFERROR(IF(M9="","",IF(M9&lt;0.15,"SAFETY_STOP","")),"")</f>
        <v/>
      </c>
      <c r="P9" s="7">
        <f>IFERROR(IF(M9="","",IF(M9&lt;0.15,"SAFETY_STOP",IF(M9&lt;=N9,"VL_THRESHOLD",""))),"")</f>
        <v/>
      </c>
      <c r="Q9" s="7">
        <f>IFERROR(IF(I9="","",IF(I9&gt;(0.6+0.05),"+5kg",IF(I9&gt;(0.6+0.02),"+2.5kg",IF(I9&gt;=(0.6-0.05),"保持",IF(I9&gt;=(0.6-0.08),"-2.5kg","-5kg"))))),"")</f>
        <v/>
      </c>
      <c r="R9" s="9" t="n"/>
    </row>
    <row r="10">
      <c r="A10" s="7" t="n">
        <v>2</v>
      </c>
      <c r="B10" s="9" t="n"/>
      <c r="C10" s="9" t="n"/>
      <c r="D10" s="9" t="n"/>
      <c r="E10" s="9" t="n"/>
      <c r="F10" s="9" t="n"/>
      <c r="G10" s="9" t="n"/>
      <c r="H10" s="9" t="n"/>
      <c r="I10" s="7">
        <f>IFERROR(MAX(C10:H10),"")</f>
        <v/>
      </c>
      <c r="J10" s="7">
        <f>IFERROR(MATCH(I10,C10:H10,0),"")</f>
        <v/>
      </c>
      <c r="K10" s="7" t="n">
        <v>18</v>
      </c>
      <c r="L10" s="7">
        <f>IFERROR(I10*(1-(K10/100)),"")</f>
        <v/>
      </c>
      <c r="M10" s="7">
        <f>IFERROR(LOOKUP(9.99E+307,C10:H10),"")</f>
        <v/>
      </c>
      <c r="N10" s="7">
        <f>IFERROR(IF(M10="","",IF(M10&lt;=N10,"停组🛑","继续✓")),"")</f>
        <v/>
      </c>
      <c r="O10" s="7">
        <f>IFERROR(IF(M10="","",IF(M10&lt;0.15,"SAFETY_STOP","")),"")</f>
        <v/>
      </c>
      <c r="P10" s="7">
        <f>IFERROR(IF(M10="","",IF(M10&lt;0.15,"SAFETY_STOP",IF(M10&lt;=N10,"VL_THRESHOLD",""))),"")</f>
        <v/>
      </c>
      <c r="Q10" s="7">
        <f>IFERROR(IF(I10="","",IF(I10&gt;(0.6+0.05),"+5kg",IF(I10&gt;(0.6+0.02),"+2.5kg",IF(I10&gt;=(0.6-0.05),"保持",IF(I10&gt;=(0.6-0.08),"-2.5kg","-5kg"))))),"")</f>
        <v/>
      </c>
      <c r="R10" s="9" t="n"/>
    </row>
    <row r="11">
      <c r="A11" s="7" t="n">
        <v>3</v>
      </c>
      <c r="B11" s="9" t="n"/>
      <c r="C11" s="9" t="n"/>
      <c r="D11" s="9" t="n"/>
      <c r="E11" s="9" t="n"/>
      <c r="F11" s="9" t="n"/>
      <c r="G11" s="9" t="n"/>
      <c r="H11" s="9" t="n"/>
      <c r="I11" s="7">
        <f>IFERROR(MAX(C11:H11),"")</f>
        <v/>
      </c>
      <c r="J11" s="7">
        <f>IFERROR(MATCH(I11,C11:H11,0),"")</f>
        <v/>
      </c>
      <c r="K11" s="7" t="n">
        <v>18</v>
      </c>
      <c r="L11" s="7">
        <f>IFERROR(I11*(1-(K11/100)),"")</f>
        <v/>
      </c>
      <c r="M11" s="7">
        <f>IFERROR(LOOKUP(9.99E+307,C11:H11),"")</f>
        <v/>
      </c>
      <c r="N11" s="7">
        <f>IFERROR(IF(M11="","",IF(M11&lt;=N11,"停组🛑","继续✓")),"")</f>
        <v/>
      </c>
      <c r="O11" s="7">
        <f>IFERROR(IF(M11="","",IF(M11&lt;0.15,"SAFETY_STOP","")),"")</f>
        <v/>
      </c>
      <c r="P11" s="7">
        <f>IFERROR(IF(M11="","",IF(M11&lt;0.15,"SAFETY_STOP",IF(M11&lt;=N11,"VL_THRESHOLD",""))),"")</f>
        <v/>
      </c>
      <c r="Q11" s="7">
        <f>IFERROR(IF(I11="","",IF(I11&gt;(0.6+0.05),"+5kg",IF(I11&gt;(0.6+0.02),"+2.5kg",IF(I11&gt;=(0.6-0.05),"保持",IF(I11&gt;=(0.6-0.08),"-2.5kg","-5kg"))))),"")</f>
        <v/>
      </c>
      <c r="R11" s="9" t="n"/>
    </row>
    <row r="12">
      <c r="A12" s="7" t="n">
        <v>4</v>
      </c>
      <c r="B12" s="9" t="n"/>
      <c r="C12" s="9" t="n"/>
      <c r="D12" s="9" t="n"/>
      <c r="E12" s="9" t="n"/>
      <c r="F12" s="9" t="n"/>
      <c r="G12" s="9" t="n"/>
      <c r="H12" s="9" t="n"/>
      <c r="I12" s="7">
        <f>IFERROR(MAX(C12:H12),"")</f>
        <v/>
      </c>
      <c r="J12" s="7">
        <f>IFERROR(MATCH(I12,C12:H12,0),"")</f>
        <v/>
      </c>
      <c r="K12" s="7" t="n">
        <v>18</v>
      </c>
      <c r="L12" s="7">
        <f>IFERROR(I12*(1-(K12/100)),"")</f>
        <v/>
      </c>
      <c r="M12" s="7">
        <f>IFERROR(LOOKUP(9.99E+307,C12:H12),"")</f>
        <v/>
      </c>
      <c r="N12" s="7">
        <f>IFERROR(IF(M12="","",IF(M12&lt;=N12,"停组🛑","继续✓")),"")</f>
        <v/>
      </c>
      <c r="O12" s="7">
        <f>IFERROR(IF(M12="","",IF(M12&lt;0.15,"SAFETY_STOP","")),"")</f>
        <v/>
      </c>
      <c r="P12" s="7">
        <f>IFERROR(IF(M12="","",IF(M12&lt;0.15,"SAFETY_STOP",IF(M12&lt;=N12,"VL_THRESHOLD",""))),"")</f>
        <v/>
      </c>
      <c r="Q12" s="7">
        <f>IFERROR(IF(I12="","",IF(I12&gt;(0.6+0.05),"+5kg",IF(I12&gt;(0.6+0.02),"+2.5kg",IF(I12&gt;=(0.6-0.05),"保持",IF(I12&gt;=(0.6-0.08),"-2.5kg","-5kg"))))),"")</f>
        <v/>
      </c>
      <c r="R12" s="9" t="n"/>
    </row>
    <row r="13">
      <c r="A13" s="7" t="n">
        <v>5</v>
      </c>
      <c r="B13" s="9" t="n"/>
      <c r="C13" s="9" t="n"/>
      <c r="D13" s="9" t="n"/>
      <c r="E13" s="9" t="n"/>
      <c r="F13" s="9" t="n"/>
      <c r="G13" s="9" t="n"/>
      <c r="H13" s="9" t="n"/>
      <c r="I13" s="7">
        <f>IFERROR(MAX(C13:H13),"")</f>
        <v/>
      </c>
      <c r="J13" s="7">
        <f>IFERROR(MATCH(I13,C13:H13,0),"")</f>
        <v/>
      </c>
      <c r="K13" s="7" t="n">
        <v>18</v>
      </c>
      <c r="L13" s="7">
        <f>IFERROR(I13*(1-(K13/100)),"")</f>
        <v/>
      </c>
      <c r="M13" s="7">
        <f>IFERROR(LOOKUP(9.99E+307,C13:H13),"")</f>
        <v/>
      </c>
      <c r="N13" s="7">
        <f>IFERROR(IF(M13="","",IF(M13&lt;=N13,"停组🛑","继续✓")),"")</f>
        <v/>
      </c>
      <c r="O13" s="7">
        <f>IFERROR(IF(M13="","",IF(M13&lt;0.15,"SAFETY_STOP","")),"")</f>
        <v/>
      </c>
      <c r="P13" s="7">
        <f>IFERROR(IF(M13="","",IF(M13&lt;0.15,"SAFETY_STOP",IF(M13&lt;=N13,"VL_THRESHOLD",""))),"")</f>
        <v/>
      </c>
      <c r="Q13" s="7">
        <f>IFERROR(IF(I13="","",IF(I13&gt;(0.6+0.05),"+5kg",IF(I13&gt;(0.6+0.02),"+2.5kg",IF(I13&gt;=(0.6-0.05),"保持",IF(I13&gt;=(0.6-0.08),"-2.5kg","-5kg"))))),"")</f>
        <v/>
      </c>
      <c r="R13" s="9" t="n"/>
    </row>
    <row r="14">
      <c r="A14" s="7" t="n">
        <v>6</v>
      </c>
      <c r="B14" s="9" t="n"/>
      <c r="C14" s="9" t="n"/>
      <c r="D14" s="9" t="n"/>
      <c r="E14" s="9" t="n"/>
      <c r="F14" s="9" t="n"/>
      <c r="G14" s="9" t="n"/>
      <c r="H14" s="9" t="n"/>
      <c r="I14" s="7">
        <f>IFERROR(MAX(C14:H14),"")</f>
        <v/>
      </c>
      <c r="J14" s="7">
        <f>IFERROR(MATCH(I14,C14:H14,0),"")</f>
        <v/>
      </c>
      <c r="K14" s="7" t="n">
        <v>18</v>
      </c>
      <c r="L14" s="7">
        <f>IFERROR(I14*(1-(K14/100)),"")</f>
        <v/>
      </c>
      <c r="M14" s="7">
        <f>IFERROR(LOOKUP(9.99E+307,C14:H14),"")</f>
        <v/>
      </c>
      <c r="N14" s="7">
        <f>IFERROR(IF(M14="","",IF(M14&lt;=N14,"停组🛑","继续✓")),"")</f>
        <v/>
      </c>
      <c r="O14" s="7">
        <f>IFERROR(IF(M14="","",IF(M14&lt;0.15,"SAFETY_STOP","")),"")</f>
        <v/>
      </c>
      <c r="P14" s="7">
        <f>IFERROR(IF(M14="","",IF(M14&lt;0.15,"SAFETY_STOP",IF(M14&lt;=N14,"VL_THRESHOLD",""))),"")</f>
        <v/>
      </c>
      <c r="Q14" s="7">
        <f>IFERROR(IF(I14="","",IF(I14&gt;(0.6+0.05),"+5kg",IF(I14&gt;(0.6+0.02),"+2.5kg",IF(I14&gt;=(0.6-0.05),"保持",IF(I14&gt;=(0.6-0.08),"-2.5kg","-5kg"))))),"")</f>
        <v/>
      </c>
      <c r="R14" s="9" t="n"/>
    </row>
    <row r="15">
      <c r="A15" s="13" t="inlineStr">
        <is>
          <t>辅助</t>
        </is>
      </c>
      <c r="D15" s="14" t="inlineStr">
        <is>
          <t>RDL</t>
        </is>
      </c>
      <c r="E15" s="14" t="inlineStr">
        <is>
          <t>负荷</t>
        </is>
      </c>
      <c r="F15" s="14" t="inlineStr">
        <is>
          <t>完成</t>
        </is>
      </c>
      <c r="I15" t="inlineStr">
        <is>
          <t>VL</t>
        </is>
      </c>
    </row>
    <row r="16">
      <c r="A16" s="15" t="inlineStr">
        <is>
          <t>训练后</t>
        </is>
      </c>
      <c r="B16" s="15" t="inlineStr">
        <is>
          <t>开始</t>
        </is>
      </c>
      <c r="C16" s="15" t="inlineStr">
        <is>
          <t>结束</t>
        </is>
      </c>
      <c r="D16" s="15" t="inlineStr">
        <is>
          <t>时长min</t>
        </is>
      </c>
      <c r="E16" s="15" t="inlineStr">
        <is>
          <t>sRPE</t>
        </is>
      </c>
      <c r="F16" s="15" t="inlineStr">
        <is>
          <t>load</t>
        </is>
      </c>
      <c r="G16" s="15" t="inlineStr">
        <is>
          <t>不适?</t>
        </is>
      </c>
      <c r="H16" s="15" t="inlineStr">
        <is>
          <t>备注</t>
        </is>
      </c>
      <c r="I16" s="15" t="inlineStr">
        <is>
          <t>签名</t>
        </is>
      </c>
    </row>
    <row r="17">
      <c r="A17" s="7" t="n"/>
      <c r="B17" s="9" t="n"/>
      <c r="C17" s="9" t="n"/>
      <c r="D17" s="11">
        <f>IFERROR((C17-B17)*1440,"")</f>
        <v/>
      </c>
      <c r="E17" s="9" t="n"/>
      <c r="F17" s="11">
        <f>IFERROR(E17*D17,"")</f>
        <v/>
      </c>
      <c r="G17" s="9" t="n"/>
      <c r="H17" s="9" t="n"/>
      <c r="I17" s="9" t="n"/>
    </row>
    <row r="18">
      <c r="A18" s="16" t="inlineStr">
        <is>
          <t>跳跃</t>
        </is>
      </c>
      <c r="B18" s="16" t="inlineStr">
        <is>
          <t>类型</t>
        </is>
      </c>
      <c r="C18" s="16" t="inlineStr">
        <is>
          <t>组×次</t>
        </is>
      </c>
      <c r="D18" s="16" t="inlineStr">
        <is>
          <t>负荷kg</t>
        </is>
      </c>
      <c r="E18" s="16" t="inlineStr">
        <is>
          <t>接触</t>
        </is>
      </c>
    </row>
    <row r="19">
      <c r="B19" t="inlineStr">
        <is>
          <t>CMJ</t>
        </is>
      </c>
      <c r="C19" t="inlineStr">
        <is>
          <t>3×3</t>
        </is>
      </c>
      <c r="D19" t="n">
        <v>0</v>
      </c>
      <c r="E19" t="n">
        <v>9</v>
      </c>
    </row>
    <row r="20">
      <c r="B20" t="inlineStr">
        <is>
          <t>箱跳</t>
        </is>
      </c>
      <c r="C20" t="inlineStr">
        <is>
          <t>2×3</t>
        </is>
      </c>
      <c r="D20" t="n">
        <v>0</v>
      </c>
      <c r="E20" t="n">
        <v>6</v>
      </c>
    </row>
    <row r="21">
      <c r="A21" s="17" t="inlineStr">
        <is>
          <t>▶ 暴露量汇总</t>
        </is>
      </c>
      <c r="B21" s="17" t="inlineStr">
        <is>
          <t>说明</t>
        </is>
      </c>
      <c r="C21" s="17" t="inlineStr">
        <is>
          <t>公式/来源</t>
        </is>
      </c>
      <c r="D21" s="17" t="inlineStr">
        <is>
          <t>数值</t>
        </is>
      </c>
    </row>
    <row r="22">
      <c r="A22" s="18" t="inlineStr">
        <is>
          <t>① 无负荷跳跃接触</t>
        </is>
      </c>
      <c r="B22" s="18" t="inlineStr">
        <is>
          <t>CMJ+SJ+箱跳</t>
        </is>
      </c>
      <c r="C22" s="19">
        <f>IFERROR(E19+E20,2)</f>
        <v/>
      </c>
    </row>
    <row r="23">
      <c r="A23" s="18" t="inlineStr">
        <is>
          <t>② 负重跳跃接触</t>
        </is>
      </c>
      <c r="B23" s="18" t="inlineStr">
        <is>
          <t>负重深蹲跳</t>
        </is>
      </c>
      <c r="C23" s="19">
        <f>IFERROR(E19,"")</f>
        <v/>
      </c>
    </row>
    <row r="24">
      <c r="A24" s="18" t="inlineStr">
        <is>
          <t>③ 跳跃总计</t>
        </is>
      </c>
      <c r="B24" s="18" t="inlineStr">
        <is>
          <t>①+②</t>
        </is>
      </c>
      <c r="C24" s="19">
        <f>IFERROR(B22+B23,"")</f>
        <v/>
      </c>
    </row>
    <row r="25">
      <c r="A25" s="18" t="inlineStr">
        <is>
          <t>④ 热身VL</t>
        </is>
      </c>
      <c r="B25" s="18" t="inlineStr">
        <is>
          <t>20×5+50%×3(+70%×2)</t>
        </is>
      </c>
      <c r="C25" s="19">
        <f>IFERROR(20*5+ROUND(V5*0.5,0)*3+ROUND(V{dr}*0.7,0)*2,"-")</f>
        <v/>
      </c>
    </row>
    <row r="26">
      <c r="A26" s="20" t="inlineStr">
        <is>
          <t>⑤ 主项工作组VL ★</t>
        </is>
      </c>
      <c r="B26" s="20" t="inlineStr">
        <is>
          <t>Σ(负荷×次数)</t>
        </is>
      </c>
      <c r="C26" s="21">
        <f>SUMPRODUCT($B$9:$B$14,$R$9:$R$14)</f>
        <v/>
      </c>
    </row>
    <row r="27">
      <c r="A27" s="18" t="inlineStr">
        <is>
          <t>⑥ 主项总VL</t>
        </is>
      </c>
      <c r="B27" s="18" t="inlineStr">
        <is>
          <t>④+⑤</t>
        </is>
      </c>
      <c r="C27" s="19">
        <f>IFERROR(D22+D23,"")</f>
        <v/>
      </c>
    </row>
    <row r="28">
      <c r="A28" s="18" t="inlineStr">
        <is>
          <t>⑦ 辅助VL</t>
        </is>
      </c>
      <c r="B28" s="18" t="inlineStr">
        <is>
          <t>RDL/保加利亚</t>
        </is>
      </c>
      <c r="C28" s="19">
        <f>IFERROR(I15,"")</f>
        <v/>
      </c>
    </row>
    <row r="29">
      <c r="A29" s="18" t="inlineStr">
        <is>
          <t>⑧ 总外部负荷</t>
        </is>
      </c>
      <c r="B29" s="18" t="inlineStr">
        <is>
          <t>⑥+⑦(+负重跳)</t>
        </is>
      </c>
      <c r="C29" s="19">
        <f>IFERROR(F22+G22,"")</f>
        <v/>
      </c>
    </row>
    <row r="30">
      <c r="A30" s="18" t="inlineStr">
        <is>
          <t>⑨ sRPE load</t>
        </is>
      </c>
      <c r="B30" s="18" t="inlineStr">
        <is>
          <t>sRPE×时长</t>
        </is>
      </c>
      <c r="C30" s="19">
        <f>IFERROR(F17,"")</f>
        <v/>
      </c>
    </row>
    <row r="33">
      <c r="A33" s="5" t="inlineStr">
        <is>
          <t>P005 曾庆华  a=1.775 b=-0.00875 1RM=155</t>
        </is>
      </c>
    </row>
    <row r="34">
      <c r="A34" s="6" t="inlineStr">
        <is>
          <t>编号</t>
        </is>
      </c>
      <c r="B34" s="6" t="inlineStr">
        <is>
          <t>姓名</t>
        </is>
      </c>
      <c r="C34" s="6" t="inlineStr">
        <is>
          <t>身高</t>
        </is>
      </c>
      <c r="D34" s="6" t="inlineStr">
        <is>
          <t>1RM</t>
        </is>
      </c>
      <c r="E34" s="6" t="inlineStr">
        <is>
          <t>Hooper睡</t>
        </is>
      </c>
      <c r="F34" s="6" t="inlineStr">
        <is>
          <t>Hooper压</t>
        </is>
      </c>
      <c r="G34" s="6" t="inlineStr">
        <is>
          <t>Hooper疲</t>
        </is>
      </c>
      <c r="H34" s="6" t="inlineStr">
        <is>
          <t>Hooper酸</t>
        </is>
      </c>
      <c r="I34" s="6" t="inlineStr">
        <is>
          <t>H总</t>
        </is>
      </c>
      <c r="J34" s="6" t="inlineStr">
        <is>
          <t>不适?</t>
        </is>
      </c>
      <c r="K34" s="6" t="inlineStr">
        <is>
          <t>说明</t>
        </is>
      </c>
      <c r="L34" s="6" t="inlineStr">
        <is>
          <t>CMJ1</t>
        </is>
      </c>
      <c r="M34" s="6" t="inlineStr">
        <is>
          <t>CMJ2</t>
        </is>
      </c>
      <c r="N34" s="6" t="inlineStr">
        <is>
          <t>CMJ3</t>
        </is>
      </c>
      <c r="O34" s="6" t="inlineStr">
        <is>
          <t>CMJμ</t>
        </is>
      </c>
      <c r="P34" s="6" t="inlineStr">
        <is>
          <t>&lt;95%</t>
        </is>
      </c>
      <c r="Q34" s="6" t="inlineStr">
        <is>
          <t>减组</t>
        </is>
      </c>
      <c r="R34" s="6" t="inlineStr">
        <is>
          <t>组数</t>
        </is>
      </c>
      <c r="S34" s="6" t="inlineStr">
        <is>
          <t>a(V0)</t>
        </is>
      </c>
      <c r="T34" s="6" t="inlineStr">
        <is>
          <t>b</t>
        </is>
      </c>
      <c r="U34" s="6" t="inlineStr">
        <is>
          <t>等级</t>
        </is>
      </c>
      <c r="V34" s="6" t="inlineStr">
        <is>
          <t>预测起始</t>
        </is>
      </c>
    </row>
    <row r="35">
      <c r="A35" s="7" t="inlineStr">
        <is>
          <t>P005</t>
        </is>
      </c>
      <c r="B35" s="7" t="inlineStr">
        <is>
          <t>曾庆华</t>
        </is>
      </c>
      <c r="C35" s="7" t="n">
        <v>177</v>
      </c>
      <c r="D35" s="8" t="n">
        <v>155</v>
      </c>
      <c r="E35" s="9" t="n"/>
      <c r="F35" s="9" t="n"/>
      <c r="G35" s="9" t="n"/>
      <c r="H35" s="9" t="n"/>
      <c r="I35" s="7">
        <f>IFERROR(SUM(E35:H35),"")</f>
        <v/>
      </c>
      <c r="J35" s="9" t="n"/>
      <c r="K35" s="9" t="n"/>
      <c r="L35" s="9" t="n"/>
      <c r="M35" s="9" t="n"/>
      <c r="N35" s="9" t="n"/>
      <c r="O35" s="7">
        <f>IFERROR(AVERAGE(L35:N35),"")</f>
        <v/>
      </c>
      <c r="P35" s="7">
        <f>IF(O35="","",IF(O35&lt;57.57,"是⚠","否"))</f>
        <v/>
      </c>
      <c r="Q35" s="7">
        <f>IF(O35="","",IF(O35&lt;57.57,4-1,4))</f>
        <v/>
      </c>
      <c r="R35" s="7" t="n"/>
      <c r="S35" s="8" t="n">
        <v>1.775</v>
      </c>
      <c r="T35" s="8" t="n">
        <v>-0.008750000000000001</v>
      </c>
      <c r="U35" s="7" t="inlineStr">
        <is>
          <t>B</t>
        </is>
      </c>
      <c r="V35" s="8" t="n">
        <v>135</v>
      </c>
    </row>
    <row r="36">
      <c r="A36" s="10" t="inlineStr">
        <is>
          <t>热身校准</t>
        </is>
      </c>
      <c r="B36" s="10" t="inlineStr">
        <is>
          <t>a</t>
        </is>
      </c>
      <c r="C36" s="10" t="inlineStr">
        <is>
          <t>b</t>
        </is>
      </c>
      <c r="D36" s="10" t="inlineStr">
        <is>
          <t>50%热身</t>
        </is>
      </c>
      <c r="E36" s="10" t="inlineStr">
        <is>
          <t>70%热身</t>
        </is>
      </c>
      <c r="F36" s="10" t="inlineStr">
        <is>
          <t>热身负荷</t>
        </is>
      </c>
      <c r="G36" s="10" t="inlineStr">
        <is>
          <t>实测MCV</t>
        </is>
      </c>
      <c r="H36" s="10" t="inlineStr">
        <is>
          <t>预测MCV</t>
        </is>
      </c>
      <c r="I36" s="10" t="inlineStr">
        <is>
          <t>Δv</t>
        </is>
      </c>
      <c r="J36" s="10" t="inlineStr">
        <is>
          <t>调整量</t>
        </is>
      </c>
      <c r="K36" s="10" t="inlineStr">
        <is>
          <t>校准第1组</t>
        </is>
      </c>
    </row>
    <row r="37">
      <c r="A37" s="7" t="n"/>
      <c r="B37" s="11" t="n">
        <v>1.775</v>
      </c>
      <c r="C37" s="11" t="n">
        <v>-0.008750000000000001</v>
      </c>
      <c r="D37" s="11">
        <f>IFERROR(ROUND(V35*0.5/2.5,0)*2.5,"")</f>
        <v/>
      </c>
      <c r="E37" s="11">
        <f>IFERROR(ROUND(V35*0.7/2.5,0)*2.5,"")</f>
        <v/>
      </c>
      <c r="F37" s="11">
        <f>IFERROR(ROUND(V35*0.6/2.5,0)*2.5,"")</f>
        <v/>
      </c>
      <c r="G37" s="9" t="n"/>
      <c r="H37" s="11">
        <f>IFERROR(B37+C37*F37,"")</f>
        <v/>
      </c>
      <c r="I37" s="11">
        <f>IFERROR(G37-H37,"")</f>
        <v/>
      </c>
      <c r="J37" s="11">
        <f>IFERROR(IF(I37&gt;0.08,5,IF(I37&gt;0.04,2.5,IF(I37&gt;=-0.04,0,IF(I37&gt;=-0.08,-2.5,-5)))),"")</f>
        <v/>
      </c>
      <c r="K37" s="11">
        <f>IFERROR(ROUND(V35+J37,0),"")</f>
        <v/>
      </c>
    </row>
    <row r="38">
      <c r="A38" s="12" t="inlineStr">
        <is>
          <t>组</t>
        </is>
      </c>
      <c r="B38" s="12" t="inlineStr">
        <is>
          <t>负荷</t>
        </is>
      </c>
      <c r="C38" s="12" t="inlineStr">
        <is>
          <t>rep1</t>
        </is>
      </c>
      <c r="D38" s="12" t="inlineStr">
        <is>
          <t>rep2</t>
        </is>
      </c>
      <c r="E38" s="12" t="inlineStr">
        <is>
          <t>rep3</t>
        </is>
      </c>
      <c r="F38" s="12" t="inlineStr">
        <is>
          <t>rep4</t>
        </is>
      </c>
      <c r="G38" s="12" t="inlineStr">
        <is>
          <t>rep5</t>
        </is>
      </c>
      <c r="H38" s="12" t="inlineStr">
        <is>
          <t>rep6</t>
        </is>
      </c>
      <c r="I38" s="12" t="inlineStr">
        <is>
          <t>best</t>
        </is>
      </c>
      <c r="J38" s="12" t="inlineStr">
        <is>
          <t>best#</t>
        </is>
      </c>
      <c r="K38" s="12" t="inlineStr">
        <is>
          <t>VL%</t>
        </is>
      </c>
      <c r="L38" s="12" t="inlineStr">
        <is>
          <t>stop_th</t>
        </is>
      </c>
      <c r="M38" s="12" t="inlineStr">
        <is>
          <t>latest</t>
        </is>
      </c>
      <c r="N38" s="12" t="inlineStr">
        <is>
          <t>VL_flag</t>
        </is>
      </c>
      <c r="O38" s="12" t="inlineStr">
        <is>
          <t>safety</t>
        </is>
      </c>
      <c r="P38" s="12" t="inlineStr">
        <is>
          <t>原因</t>
        </is>
      </c>
      <c r="Q38" s="12" t="inlineStr">
        <is>
          <t>建议</t>
        </is>
      </c>
      <c r="R38" s="12" t="inlineStr">
        <is>
          <t>次数</t>
        </is>
      </c>
    </row>
    <row r="39">
      <c r="A39" s="7" t="n">
        <v>1</v>
      </c>
      <c r="B39" s="9">
        <f>IFERROR(K37,"")</f>
        <v/>
      </c>
      <c r="C39" s="9" t="n"/>
      <c r="D39" s="9" t="n"/>
      <c r="E39" s="9" t="n"/>
      <c r="F39" s="9" t="n"/>
      <c r="G39" s="9" t="n"/>
      <c r="H39" s="9" t="n"/>
      <c r="I39" s="7">
        <f>IFERROR(MAX(C39:H39),"")</f>
        <v/>
      </c>
      <c r="J39" s="7">
        <f>IFERROR(MATCH(I39,C39:H39,0),"")</f>
        <v/>
      </c>
      <c r="K39" s="7" t="n">
        <v>18</v>
      </c>
      <c r="L39" s="7">
        <f>IFERROR(I39*(1-(K39/100)),"")</f>
        <v/>
      </c>
      <c r="M39" s="7">
        <f>IFERROR(LOOKUP(9.99E+307,C39:H39),"")</f>
        <v/>
      </c>
      <c r="N39" s="7">
        <f>IFERROR(IF(M39="","",IF(M39&lt;=N39,"停组🛑","继续✓")),"")</f>
        <v/>
      </c>
      <c r="O39" s="7">
        <f>IFERROR(IF(M39="","",IF(M39&lt;0.15,"SAFETY_STOP","")),"")</f>
        <v/>
      </c>
      <c r="P39" s="7">
        <f>IFERROR(IF(M39="","",IF(M39&lt;0.15,"SAFETY_STOP",IF(M39&lt;=N39,"VL_THRESHOLD",""))),"")</f>
        <v/>
      </c>
      <c r="Q39" s="7">
        <f>IFERROR(IF(I39="","",IF(I39&gt;(0.6+0.05),"+5kg",IF(I39&gt;(0.6+0.02),"+2.5kg",IF(I39&gt;=(0.6-0.05),"保持",IF(I39&gt;=(0.6-0.08),"-2.5kg","-5kg"))))),"")</f>
        <v/>
      </c>
      <c r="R39" s="9" t="n"/>
    </row>
    <row r="40">
      <c r="A40" s="7" t="n">
        <v>2</v>
      </c>
      <c r="B40" s="9" t="n"/>
      <c r="C40" s="9" t="n"/>
      <c r="D40" s="9" t="n"/>
      <c r="E40" s="9" t="n"/>
      <c r="F40" s="9" t="n"/>
      <c r="G40" s="9" t="n"/>
      <c r="H40" s="9" t="n"/>
      <c r="I40" s="7">
        <f>IFERROR(MAX(C40:H40),"")</f>
        <v/>
      </c>
      <c r="J40" s="7">
        <f>IFERROR(MATCH(I40,C40:H40,0),"")</f>
        <v/>
      </c>
      <c r="K40" s="7" t="n">
        <v>18</v>
      </c>
      <c r="L40" s="7">
        <f>IFERROR(I40*(1-(K40/100)),"")</f>
        <v/>
      </c>
      <c r="M40" s="7">
        <f>IFERROR(LOOKUP(9.99E+307,C40:H40),"")</f>
        <v/>
      </c>
      <c r="N40" s="7">
        <f>IFERROR(IF(M40="","",IF(M40&lt;=N40,"停组🛑","继续✓")),"")</f>
        <v/>
      </c>
      <c r="O40" s="7">
        <f>IFERROR(IF(M40="","",IF(M40&lt;0.15,"SAFETY_STOP","")),"")</f>
        <v/>
      </c>
      <c r="P40" s="7">
        <f>IFERROR(IF(M40="","",IF(M40&lt;0.15,"SAFETY_STOP",IF(M40&lt;=N40,"VL_THRESHOLD",""))),"")</f>
        <v/>
      </c>
      <c r="Q40" s="7">
        <f>IFERROR(IF(I40="","",IF(I40&gt;(0.6+0.05),"+5kg",IF(I40&gt;(0.6+0.02),"+2.5kg",IF(I40&gt;=(0.6-0.05),"保持",IF(I40&gt;=(0.6-0.08),"-2.5kg","-5kg"))))),"")</f>
        <v/>
      </c>
      <c r="R40" s="9" t="n"/>
    </row>
    <row r="41">
      <c r="A41" s="7" t="n">
        <v>3</v>
      </c>
      <c r="B41" s="9" t="n"/>
      <c r="C41" s="9" t="n"/>
      <c r="D41" s="9" t="n"/>
      <c r="E41" s="9" t="n"/>
      <c r="F41" s="9" t="n"/>
      <c r="G41" s="9" t="n"/>
      <c r="H41" s="9" t="n"/>
      <c r="I41" s="7">
        <f>IFERROR(MAX(C41:H41),"")</f>
        <v/>
      </c>
      <c r="J41" s="7">
        <f>IFERROR(MATCH(I41,C41:H41,0),"")</f>
        <v/>
      </c>
      <c r="K41" s="7" t="n">
        <v>18</v>
      </c>
      <c r="L41" s="7">
        <f>IFERROR(I41*(1-(K41/100)),"")</f>
        <v/>
      </c>
      <c r="M41" s="7">
        <f>IFERROR(LOOKUP(9.99E+307,C41:H41),"")</f>
        <v/>
      </c>
      <c r="N41" s="7">
        <f>IFERROR(IF(M41="","",IF(M41&lt;=N41,"停组🛑","继续✓")),"")</f>
        <v/>
      </c>
      <c r="O41" s="7">
        <f>IFERROR(IF(M41="","",IF(M41&lt;0.15,"SAFETY_STOP","")),"")</f>
        <v/>
      </c>
      <c r="P41" s="7">
        <f>IFERROR(IF(M41="","",IF(M41&lt;0.15,"SAFETY_STOP",IF(M41&lt;=N41,"VL_THRESHOLD",""))),"")</f>
        <v/>
      </c>
      <c r="Q41" s="7">
        <f>IFERROR(IF(I41="","",IF(I41&gt;(0.6+0.05),"+5kg",IF(I41&gt;(0.6+0.02),"+2.5kg",IF(I41&gt;=(0.6-0.05),"保持",IF(I41&gt;=(0.6-0.08),"-2.5kg","-5kg"))))),"")</f>
        <v/>
      </c>
      <c r="R41" s="9" t="n"/>
    </row>
    <row r="42">
      <c r="A42" s="7" t="n">
        <v>4</v>
      </c>
      <c r="B42" s="9" t="n"/>
      <c r="C42" s="9" t="n"/>
      <c r="D42" s="9" t="n"/>
      <c r="E42" s="9" t="n"/>
      <c r="F42" s="9" t="n"/>
      <c r="G42" s="9" t="n"/>
      <c r="H42" s="9" t="n"/>
      <c r="I42" s="7">
        <f>IFERROR(MAX(C42:H42),"")</f>
        <v/>
      </c>
      <c r="J42" s="7">
        <f>IFERROR(MATCH(I42,C42:H42,0),"")</f>
        <v/>
      </c>
      <c r="K42" s="7" t="n">
        <v>18</v>
      </c>
      <c r="L42" s="7">
        <f>IFERROR(I42*(1-(K42/100)),"")</f>
        <v/>
      </c>
      <c r="M42" s="7">
        <f>IFERROR(LOOKUP(9.99E+307,C42:H42),"")</f>
        <v/>
      </c>
      <c r="N42" s="7">
        <f>IFERROR(IF(M42="","",IF(M42&lt;=N42,"停组🛑","继续✓")),"")</f>
        <v/>
      </c>
      <c r="O42" s="7">
        <f>IFERROR(IF(M42="","",IF(M42&lt;0.15,"SAFETY_STOP","")),"")</f>
        <v/>
      </c>
      <c r="P42" s="7">
        <f>IFERROR(IF(M42="","",IF(M42&lt;0.15,"SAFETY_STOP",IF(M42&lt;=N42,"VL_THRESHOLD",""))),"")</f>
        <v/>
      </c>
      <c r="Q42" s="7">
        <f>IFERROR(IF(I42="","",IF(I42&gt;(0.6+0.05),"+5kg",IF(I42&gt;(0.6+0.02),"+2.5kg",IF(I42&gt;=(0.6-0.05),"保持",IF(I42&gt;=(0.6-0.08),"-2.5kg","-5kg"))))),"")</f>
        <v/>
      </c>
      <c r="R42" s="9" t="n"/>
    </row>
    <row r="43">
      <c r="A43" s="7" t="n">
        <v>5</v>
      </c>
      <c r="B43" s="9" t="n"/>
      <c r="C43" s="9" t="n"/>
      <c r="D43" s="9" t="n"/>
      <c r="E43" s="9" t="n"/>
      <c r="F43" s="9" t="n"/>
      <c r="G43" s="9" t="n"/>
      <c r="H43" s="9" t="n"/>
      <c r="I43" s="7">
        <f>IFERROR(MAX(C43:H43),"")</f>
        <v/>
      </c>
      <c r="J43" s="7">
        <f>IFERROR(MATCH(I43,C43:H43,0),"")</f>
        <v/>
      </c>
      <c r="K43" s="7" t="n">
        <v>18</v>
      </c>
      <c r="L43" s="7">
        <f>IFERROR(I43*(1-(K43/100)),"")</f>
        <v/>
      </c>
      <c r="M43" s="7">
        <f>IFERROR(LOOKUP(9.99E+307,C43:H43),"")</f>
        <v/>
      </c>
      <c r="N43" s="7">
        <f>IFERROR(IF(M43="","",IF(M43&lt;=N43,"停组🛑","继续✓")),"")</f>
        <v/>
      </c>
      <c r="O43" s="7">
        <f>IFERROR(IF(M43="","",IF(M43&lt;0.15,"SAFETY_STOP","")),"")</f>
        <v/>
      </c>
      <c r="P43" s="7">
        <f>IFERROR(IF(M43="","",IF(M43&lt;0.15,"SAFETY_STOP",IF(M43&lt;=N43,"VL_THRESHOLD",""))),"")</f>
        <v/>
      </c>
      <c r="Q43" s="7">
        <f>IFERROR(IF(I43="","",IF(I43&gt;(0.6+0.05),"+5kg",IF(I43&gt;(0.6+0.02),"+2.5kg",IF(I43&gt;=(0.6-0.05),"保持",IF(I43&gt;=(0.6-0.08),"-2.5kg","-5kg"))))),"")</f>
        <v/>
      </c>
      <c r="R43" s="9" t="n"/>
    </row>
    <row r="44">
      <c r="A44" s="7" t="n">
        <v>6</v>
      </c>
      <c r="B44" s="9" t="n"/>
      <c r="C44" s="9" t="n"/>
      <c r="D44" s="9" t="n"/>
      <c r="E44" s="9" t="n"/>
      <c r="F44" s="9" t="n"/>
      <c r="G44" s="9" t="n"/>
      <c r="H44" s="9" t="n"/>
      <c r="I44" s="7">
        <f>IFERROR(MAX(C44:H44),"")</f>
        <v/>
      </c>
      <c r="J44" s="7">
        <f>IFERROR(MATCH(I44,C44:H44,0),"")</f>
        <v/>
      </c>
      <c r="K44" s="7" t="n">
        <v>18</v>
      </c>
      <c r="L44" s="7">
        <f>IFERROR(I44*(1-(K44/100)),"")</f>
        <v/>
      </c>
      <c r="M44" s="7">
        <f>IFERROR(LOOKUP(9.99E+307,C44:H44),"")</f>
        <v/>
      </c>
      <c r="N44" s="7">
        <f>IFERROR(IF(M44="","",IF(M44&lt;=N44,"停组🛑","继续✓")),"")</f>
        <v/>
      </c>
      <c r="O44" s="7">
        <f>IFERROR(IF(M44="","",IF(M44&lt;0.15,"SAFETY_STOP","")),"")</f>
        <v/>
      </c>
      <c r="P44" s="7">
        <f>IFERROR(IF(M44="","",IF(M44&lt;0.15,"SAFETY_STOP",IF(M44&lt;=N44,"VL_THRESHOLD",""))),"")</f>
        <v/>
      </c>
      <c r="Q44" s="7">
        <f>IFERROR(IF(I44="","",IF(I44&gt;(0.6+0.05),"+5kg",IF(I44&gt;(0.6+0.02),"+2.5kg",IF(I44&gt;=(0.6-0.05),"保持",IF(I44&gt;=(0.6-0.08),"-2.5kg","-5kg"))))),"")</f>
        <v/>
      </c>
      <c r="R44" s="9" t="n"/>
    </row>
    <row r="45">
      <c r="A45" s="13" t="inlineStr">
        <is>
          <t>辅助</t>
        </is>
      </c>
      <c r="D45" s="14" t="inlineStr">
        <is>
          <t>RDL</t>
        </is>
      </c>
      <c r="E45" s="14" t="inlineStr">
        <is>
          <t>负荷</t>
        </is>
      </c>
      <c r="F45" s="14" t="inlineStr">
        <is>
          <t>完成</t>
        </is>
      </c>
      <c r="I45" t="inlineStr">
        <is>
          <t>VL</t>
        </is>
      </c>
    </row>
    <row r="46">
      <c r="A46" s="15" t="inlineStr">
        <is>
          <t>训练后</t>
        </is>
      </c>
      <c r="B46" s="15" t="inlineStr">
        <is>
          <t>开始</t>
        </is>
      </c>
      <c r="C46" s="15" t="inlineStr">
        <is>
          <t>结束</t>
        </is>
      </c>
      <c r="D46" s="15" t="inlineStr">
        <is>
          <t>时长min</t>
        </is>
      </c>
      <c r="E46" s="15" t="inlineStr">
        <is>
          <t>sRPE</t>
        </is>
      </c>
      <c r="F46" s="15" t="inlineStr">
        <is>
          <t>load</t>
        </is>
      </c>
      <c r="G46" s="15" t="inlineStr">
        <is>
          <t>不适?</t>
        </is>
      </c>
      <c r="H46" s="15" t="inlineStr">
        <is>
          <t>备注</t>
        </is>
      </c>
      <c r="I46" s="15" t="inlineStr">
        <is>
          <t>签名</t>
        </is>
      </c>
    </row>
    <row r="47">
      <c r="A47" s="7" t="n"/>
      <c r="B47" s="9" t="n"/>
      <c r="C47" s="9" t="n"/>
      <c r="D47" s="11">
        <f>IFERROR((C47-B47)*1440,"")</f>
        <v/>
      </c>
      <c r="E47" s="9" t="n"/>
      <c r="F47" s="11">
        <f>IFERROR(E47*D47,"")</f>
        <v/>
      </c>
      <c r="G47" s="9" t="n"/>
      <c r="H47" s="9" t="n"/>
      <c r="I47" s="9" t="n"/>
    </row>
    <row r="48">
      <c r="A48" s="16" t="inlineStr">
        <is>
          <t>跳跃</t>
        </is>
      </c>
      <c r="B48" s="16" t="inlineStr">
        <is>
          <t>类型</t>
        </is>
      </c>
      <c r="C48" s="16" t="inlineStr">
        <is>
          <t>组×次</t>
        </is>
      </c>
      <c r="D48" s="16" t="inlineStr">
        <is>
          <t>负荷kg</t>
        </is>
      </c>
      <c r="E48" s="16" t="inlineStr">
        <is>
          <t>接触</t>
        </is>
      </c>
    </row>
    <row r="49">
      <c r="B49" t="inlineStr">
        <is>
          <t>CMJ</t>
        </is>
      </c>
      <c r="C49" t="inlineStr">
        <is>
          <t>3×3</t>
        </is>
      </c>
      <c r="D49" t="n">
        <v>0</v>
      </c>
      <c r="E49" t="n">
        <v>9</v>
      </c>
    </row>
    <row r="50">
      <c r="B50" t="inlineStr">
        <is>
          <t>箱跳</t>
        </is>
      </c>
      <c r="C50" t="inlineStr">
        <is>
          <t>2×3</t>
        </is>
      </c>
      <c r="D50" t="n">
        <v>0</v>
      </c>
      <c r="E50" t="n">
        <v>6</v>
      </c>
    </row>
    <row r="51">
      <c r="A51" s="17" t="inlineStr">
        <is>
          <t>▶ 暴露量汇总</t>
        </is>
      </c>
      <c r="B51" s="17" t="inlineStr">
        <is>
          <t>说明</t>
        </is>
      </c>
      <c r="C51" s="17" t="inlineStr">
        <is>
          <t>公式/来源</t>
        </is>
      </c>
      <c r="D51" s="17" t="inlineStr">
        <is>
          <t>数值</t>
        </is>
      </c>
    </row>
    <row r="52">
      <c r="A52" s="18" t="inlineStr">
        <is>
          <t>① 无负荷跳跃接触</t>
        </is>
      </c>
      <c r="B52" s="18" t="inlineStr">
        <is>
          <t>CMJ+SJ+箱跳</t>
        </is>
      </c>
      <c r="C52" s="19">
        <f>IFERROR(E49+E50,2)</f>
        <v/>
      </c>
    </row>
    <row r="53">
      <c r="A53" s="18" t="inlineStr">
        <is>
          <t>② 负重跳跃接触</t>
        </is>
      </c>
      <c r="B53" s="18" t="inlineStr">
        <is>
          <t>负重深蹲跳</t>
        </is>
      </c>
      <c r="C53" s="19">
        <f>IFERROR(E49,"")</f>
        <v/>
      </c>
    </row>
    <row r="54">
      <c r="A54" s="18" t="inlineStr">
        <is>
          <t>③ 跳跃总计</t>
        </is>
      </c>
      <c r="B54" s="18" t="inlineStr">
        <is>
          <t>①+②</t>
        </is>
      </c>
      <c r="C54" s="19">
        <f>IFERROR(B52+B53,"")</f>
        <v/>
      </c>
    </row>
    <row r="55">
      <c r="A55" s="18" t="inlineStr">
        <is>
          <t>④ 热身VL</t>
        </is>
      </c>
      <c r="B55" s="18" t="inlineStr">
        <is>
          <t>20×5+50%×3(+70%×2)</t>
        </is>
      </c>
      <c r="C55" s="19">
        <f>IFERROR(20*5+ROUND(V35*0.5,0)*3+ROUND(V{dr}*0.7,0)*2,"-")</f>
        <v/>
      </c>
    </row>
    <row r="56">
      <c r="A56" s="20" t="inlineStr">
        <is>
          <t>⑤ 主项工作组VL ★</t>
        </is>
      </c>
      <c r="B56" s="20" t="inlineStr">
        <is>
          <t>Σ(负荷×次数)</t>
        </is>
      </c>
      <c r="C56" s="21">
        <f>SUMPRODUCT($B$39:$B$44,$R$39:$R$44)</f>
        <v/>
      </c>
    </row>
    <row r="57">
      <c r="A57" s="18" t="inlineStr">
        <is>
          <t>⑥ 主项总VL</t>
        </is>
      </c>
      <c r="B57" s="18" t="inlineStr">
        <is>
          <t>④+⑤</t>
        </is>
      </c>
      <c r="C57" s="19">
        <f>IFERROR(D52+D53,"")</f>
        <v/>
      </c>
    </row>
    <row r="58">
      <c r="A58" s="18" t="inlineStr">
        <is>
          <t>⑦ 辅助VL</t>
        </is>
      </c>
      <c r="B58" s="18" t="inlineStr">
        <is>
          <t>RDL/保加利亚</t>
        </is>
      </c>
      <c r="C58" s="19">
        <f>IFERROR(I45,"")</f>
        <v/>
      </c>
    </row>
    <row r="59">
      <c r="A59" s="18" t="inlineStr">
        <is>
          <t>⑧ 总外部负荷</t>
        </is>
      </c>
      <c r="B59" s="18" t="inlineStr">
        <is>
          <t>⑥+⑦(+负重跳)</t>
        </is>
      </c>
      <c r="C59" s="19">
        <f>IFERROR(F52+G52,"")</f>
        <v/>
      </c>
    </row>
    <row r="60">
      <c r="A60" s="18" t="inlineStr">
        <is>
          <t>⑨ sRPE load</t>
        </is>
      </c>
      <c r="B60" s="18" t="inlineStr">
        <is>
          <t>sRPE×时长</t>
        </is>
      </c>
      <c r="C60" s="19">
        <f>IFERROR(F47,"")</f>
        <v/>
      </c>
    </row>
    <row r="63">
      <c r="A63" s="5" t="inlineStr">
        <is>
          <t>P002 何天元  a=1.487 b=-0.0054 1RM=150</t>
        </is>
      </c>
    </row>
    <row r="64">
      <c r="A64" s="6" t="inlineStr">
        <is>
          <t>编号</t>
        </is>
      </c>
      <c r="B64" s="6" t="inlineStr">
        <is>
          <t>姓名</t>
        </is>
      </c>
      <c r="C64" s="6" t="inlineStr">
        <is>
          <t>身高</t>
        </is>
      </c>
      <c r="D64" s="6" t="inlineStr">
        <is>
          <t>1RM</t>
        </is>
      </c>
      <c r="E64" s="6" t="inlineStr">
        <is>
          <t>Hooper睡</t>
        </is>
      </c>
      <c r="F64" s="6" t="inlineStr">
        <is>
          <t>Hooper压</t>
        </is>
      </c>
      <c r="G64" s="6" t="inlineStr">
        <is>
          <t>Hooper疲</t>
        </is>
      </c>
      <c r="H64" s="6" t="inlineStr">
        <is>
          <t>Hooper酸</t>
        </is>
      </c>
      <c r="I64" s="6" t="inlineStr">
        <is>
          <t>H总</t>
        </is>
      </c>
      <c r="J64" s="6" t="inlineStr">
        <is>
          <t>不适?</t>
        </is>
      </c>
      <c r="K64" s="6" t="inlineStr">
        <is>
          <t>说明</t>
        </is>
      </c>
      <c r="L64" s="6" t="inlineStr">
        <is>
          <t>CMJ1</t>
        </is>
      </c>
      <c r="M64" s="6" t="inlineStr">
        <is>
          <t>CMJ2</t>
        </is>
      </c>
      <c r="N64" s="6" t="inlineStr">
        <is>
          <t>CMJ3</t>
        </is>
      </c>
      <c r="O64" s="6" t="inlineStr">
        <is>
          <t>CMJμ</t>
        </is>
      </c>
      <c r="P64" s="6" t="inlineStr">
        <is>
          <t>&lt;95%</t>
        </is>
      </c>
      <c r="Q64" s="6" t="inlineStr">
        <is>
          <t>减组</t>
        </is>
      </c>
      <c r="R64" s="6" t="inlineStr">
        <is>
          <t>组数</t>
        </is>
      </c>
      <c r="S64" s="6" t="inlineStr">
        <is>
          <t>a(V0)</t>
        </is>
      </c>
      <c r="T64" s="6" t="inlineStr">
        <is>
          <t>b</t>
        </is>
      </c>
      <c r="U64" s="6" t="inlineStr">
        <is>
          <t>等级</t>
        </is>
      </c>
      <c r="V64" s="6" t="inlineStr">
        <is>
          <t>预测起始</t>
        </is>
      </c>
    </row>
    <row r="65">
      <c r="A65" s="7" t="inlineStr">
        <is>
          <t>P002</t>
        </is>
      </c>
      <c r="B65" s="7" t="inlineStr">
        <is>
          <t>何天元</t>
        </is>
      </c>
      <c r="C65" s="7" t="n">
        <v>178</v>
      </c>
      <c r="D65" s="8" t="n">
        <v>150</v>
      </c>
      <c r="E65" s="9" t="n"/>
      <c r="F65" s="9" t="n"/>
      <c r="G65" s="9" t="n"/>
      <c r="H65" s="9" t="n"/>
      <c r="I65" s="7">
        <f>IFERROR(SUM(E65:H65),"")</f>
        <v/>
      </c>
      <c r="J65" s="9" t="n"/>
      <c r="K65" s="9" t="n"/>
      <c r="L65" s="9" t="n"/>
      <c r="M65" s="9" t="n"/>
      <c r="N65" s="9" t="n"/>
      <c r="O65" s="7">
        <f>IFERROR(AVERAGE(L65:N65),"")</f>
        <v/>
      </c>
      <c r="P65" s="7">
        <f>IF(O65="","",IF(O65&lt;60.54,"是⚠","否"))</f>
        <v/>
      </c>
      <c r="Q65" s="7">
        <f>IF(O65="","",IF(O65&lt;60.54,4-1,4))</f>
        <v/>
      </c>
      <c r="R65" s="7" t="n"/>
      <c r="S65" s="8" t="n">
        <v>1.487</v>
      </c>
      <c r="T65" s="8" t="n">
        <v>-0.0054</v>
      </c>
      <c r="U65" s="7" t="inlineStr">
        <is>
          <t>B</t>
        </is>
      </c>
      <c r="V65" s="8" t="n">
        <v>165</v>
      </c>
    </row>
    <row r="66">
      <c r="A66" s="10" t="inlineStr">
        <is>
          <t>热身校准</t>
        </is>
      </c>
      <c r="B66" s="10" t="inlineStr">
        <is>
          <t>a</t>
        </is>
      </c>
      <c r="C66" s="10" t="inlineStr">
        <is>
          <t>b</t>
        </is>
      </c>
      <c r="D66" s="10" t="inlineStr">
        <is>
          <t>50%热身</t>
        </is>
      </c>
      <c r="E66" s="10" t="inlineStr">
        <is>
          <t>70%热身</t>
        </is>
      </c>
      <c r="F66" s="10" t="inlineStr">
        <is>
          <t>热身负荷</t>
        </is>
      </c>
      <c r="G66" s="10" t="inlineStr">
        <is>
          <t>实测MCV</t>
        </is>
      </c>
      <c r="H66" s="10" t="inlineStr">
        <is>
          <t>预测MCV</t>
        </is>
      </c>
      <c r="I66" s="10" t="inlineStr">
        <is>
          <t>Δv</t>
        </is>
      </c>
      <c r="J66" s="10" t="inlineStr">
        <is>
          <t>调整量</t>
        </is>
      </c>
      <c r="K66" s="10" t="inlineStr">
        <is>
          <t>校准第1组</t>
        </is>
      </c>
    </row>
    <row r="67">
      <c r="A67" s="7" t="n"/>
      <c r="B67" s="11" t="n">
        <v>1.487</v>
      </c>
      <c r="C67" s="11" t="n">
        <v>-0.0054</v>
      </c>
      <c r="D67" s="11">
        <f>IFERROR(ROUND(V65*0.5/2.5,0)*2.5,"")</f>
        <v/>
      </c>
      <c r="E67" s="11">
        <f>IFERROR(ROUND(V65*0.7/2.5,0)*2.5,"")</f>
        <v/>
      </c>
      <c r="F67" s="11">
        <f>IFERROR(ROUND(V65*0.6/2.5,0)*2.5,"")</f>
        <v/>
      </c>
      <c r="G67" s="9" t="n"/>
      <c r="H67" s="11">
        <f>IFERROR(B67+C67*F67,"")</f>
        <v/>
      </c>
      <c r="I67" s="11">
        <f>IFERROR(G67-H67,"")</f>
        <v/>
      </c>
      <c r="J67" s="11">
        <f>IFERROR(IF(I67&gt;0.08,5,IF(I67&gt;0.04,2.5,IF(I67&gt;=-0.04,0,IF(I67&gt;=-0.08,-2.5,-5)))),"")</f>
        <v/>
      </c>
      <c r="K67" s="11">
        <f>IFERROR(ROUND(V65+J67,0),"")</f>
        <v/>
      </c>
    </row>
    <row r="68">
      <c r="A68" s="12" t="inlineStr">
        <is>
          <t>组</t>
        </is>
      </c>
      <c r="B68" s="12" t="inlineStr">
        <is>
          <t>负荷</t>
        </is>
      </c>
      <c r="C68" s="12" t="inlineStr">
        <is>
          <t>rep1</t>
        </is>
      </c>
      <c r="D68" s="12" t="inlineStr">
        <is>
          <t>rep2</t>
        </is>
      </c>
      <c r="E68" s="12" t="inlineStr">
        <is>
          <t>rep3</t>
        </is>
      </c>
      <c r="F68" s="12" t="inlineStr">
        <is>
          <t>rep4</t>
        </is>
      </c>
      <c r="G68" s="12" t="inlineStr">
        <is>
          <t>rep5</t>
        </is>
      </c>
      <c r="H68" s="12" t="inlineStr">
        <is>
          <t>rep6</t>
        </is>
      </c>
      <c r="I68" s="12" t="inlineStr">
        <is>
          <t>best</t>
        </is>
      </c>
      <c r="J68" s="12" t="inlineStr">
        <is>
          <t>best#</t>
        </is>
      </c>
      <c r="K68" s="12" t="inlineStr">
        <is>
          <t>VL%</t>
        </is>
      </c>
      <c r="L68" s="12" t="inlineStr">
        <is>
          <t>stop_th</t>
        </is>
      </c>
      <c r="M68" s="12" t="inlineStr">
        <is>
          <t>latest</t>
        </is>
      </c>
      <c r="N68" s="12" t="inlineStr">
        <is>
          <t>VL_flag</t>
        </is>
      </c>
      <c r="O68" s="12" t="inlineStr">
        <is>
          <t>safety</t>
        </is>
      </c>
      <c r="P68" s="12" t="inlineStr">
        <is>
          <t>原因</t>
        </is>
      </c>
      <c r="Q68" s="12" t="inlineStr">
        <is>
          <t>建议</t>
        </is>
      </c>
      <c r="R68" s="12" t="inlineStr">
        <is>
          <t>次数</t>
        </is>
      </c>
    </row>
    <row r="69">
      <c r="A69" s="7" t="n">
        <v>1</v>
      </c>
      <c r="B69" s="9">
        <f>IFERROR(K67,"")</f>
        <v/>
      </c>
      <c r="C69" s="9" t="n"/>
      <c r="D69" s="9" t="n"/>
      <c r="E69" s="9" t="n"/>
      <c r="F69" s="9" t="n"/>
      <c r="G69" s="9" t="n"/>
      <c r="H69" s="9" t="n"/>
      <c r="I69" s="7">
        <f>IFERROR(MAX(C69:H69),"")</f>
        <v/>
      </c>
      <c r="J69" s="7">
        <f>IFERROR(MATCH(I69,C69:H69,0),"")</f>
        <v/>
      </c>
      <c r="K69" s="7" t="n">
        <v>18</v>
      </c>
      <c r="L69" s="7">
        <f>IFERROR(I69*(1-(K69/100)),"")</f>
        <v/>
      </c>
      <c r="M69" s="7">
        <f>IFERROR(LOOKUP(9.99E+307,C69:H69),"")</f>
        <v/>
      </c>
      <c r="N69" s="7">
        <f>IFERROR(IF(M69="","",IF(M69&lt;=N69,"停组🛑","继续✓")),"")</f>
        <v/>
      </c>
      <c r="O69" s="7">
        <f>IFERROR(IF(M69="","",IF(M69&lt;0.15,"SAFETY_STOP","")),"")</f>
        <v/>
      </c>
      <c r="P69" s="7">
        <f>IFERROR(IF(M69="","",IF(M69&lt;0.15,"SAFETY_STOP",IF(M69&lt;=N69,"VL_THRESHOLD",""))),"")</f>
        <v/>
      </c>
      <c r="Q69" s="7">
        <f>IFERROR(IF(I69="","",IF(I69&gt;(0.6+0.05),"+5kg",IF(I69&gt;(0.6+0.02),"+2.5kg",IF(I69&gt;=(0.6-0.05),"保持",IF(I69&gt;=(0.6-0.08),"-2.5kg","-5kg"))))),"")</f>
        <v/>
      </c>
      <c r="R69" s="9" t="n"/>
    </row>
    <row r="70">
      <c r="A70" s="7" t="n">
        <v>2</v>
      </c>
      <c r="B70" s="9" t="n"/>
      <c r="C70" s="9" t="n"/>
      <c r="D70" s="9" t="n"/>
      <c r="E70" s="9" t="n"/>
      <c r="F70" s="9" t="n"/>
      <c r="G70" s="9" t="n"/>
      <c r="H70" s="9" t="n"/>
      <c r="I70" s="7">
        <f>IFERROR(MAX(C70:H70),"")</f>
        <v/>
      </c>
      <c r="J70" s="7">
        <f>IFERROR(MATCH(I70,C70:H70,0),"")</f>
        <v/>
      </c>
      <c r="K70" s="7" t="n">
        <v>18</v>
      </c>
      <c r="L70" s="7">
        <f>IFERROR(I70*(1-(K70/100)),"")</f>
        <v/>
      </c>
      <c r="M70" s="7">
        <f>IFERROR(LOOKUP(9.99E+307,C70:H70),"")</f>
        <v/>
      </c>
      <c r="N70" s="7">
        <f>IFERROR(IF(M70="","",IF(M70&lt;=N70,"停组🛑","继续✓")),"")</f>
        <v/>
      </c>
      <c r="O70" s="7">
        <f>IFERROR(IF(M70="","",IF(M70&lt;0.15,"SAFETY_STOP","")),"")</f>
        <v/>
      </c>
      <c r="P70" s="7">
        <f>IFERROR(IF(M70="","",IF(M70&lt;0.15,"SAFETY_STOP",IF(M70&lt;=N70,"VL_THRESHOLD",""))),"")</f>
        <v/>
      </c>
      <c r="Q70" s="7">
        <f>IFERROR(IF(I70="","",IF(I70&gt;(0.6+0.05),"+5kg",IF(I70&gt;(0.6+0.02),"+2.5kg",IF(I70&gt;=(0.6-0.05),"保持",IF(I70&gt;=(0.6-0.08),"-2.5kg","-5kg"))))),"")</f>
        <v/>
      </c>
      <c r="R70" s="9" t="n"/>
    </row>
    <row r="71">
      <c r="A71" s="7" t="n">
        <v>3</v>
      </c>
      <c r="B71" s="9" t="n"/>
      <c r="C71" s="9" t="n"/>
      <c r="D71" s="9" t="n"/>
      <c r="E71" s="9" t="n"/>
      <c r="F71" s="9" t="n"/>
      <c r="G71" s="9" t="n"/>
      <c r="H71" s="9" t="n"/>
      <c r="I71" s="7">
        <f>IFERROR(MAX(C71:H71),"")</f>
        <v/>
      </c>
      <c r="J71" s="7">
        <f>IFERROR(MATCH(I71,C71:H71,0),"")</f>
        <v/>
      </c>
      <c r="K71" s="7" t="n">
        <v>18</v>
      </c>
      <c r="L71" s="7">
        <f>IFERROR(I71*(1-(K71/100)),"")</f>
        <v/>
      </c>
      <c r="M71" s="7">
        <f>IFERROR(LOOKUP(9.99E+307,C71:H71),"")</f>
        <v/>
      </c>
      <c r="N71" s="7">
        <f>IFERROR(IF(M71="","",IF(M71&lt;=N71,"停组🛑","继续✓")),"")</f>
        <v/>
      </c>
      <c r="O71" s="7">
        <f>IFERROR(IF(M71="","",IF(M71&lt;0.15,"SAFETY_STOP","")),"")</f>
        <v/>
      </c>
      <c r="P71" s="7">
        <f>IFERROR(IF(M71="","",IF(M71&lt;0.15,"SAFETY_STOP",IF(M71&lt;=N71,"VL_THRESHOLD",""))),"")</f>
        <v/>
      </c>
      <c r="Q71" s="7">
        <f>IFERROR(IF(I71="","",IF(I71&gt;(0.6+0.05),"+5kg",IF(I71&gt;(0.6+0.02),"+2.5kg",IF(I71&gt;=(0.6-0.05),"保持",IF(I71&gt;=(0.6-0.08),"-2.5kg","-5kg"))))),"")</f>
        <v/>
      </c>
      <c r="R71" s="9" t="n"/>
    </row>
    <row r="72">
      <c r="A72" s="7" t="n">
        <v>4</v>
      </c>
      <c r="B72" s="9" t="n"/>
      <c r="C72" s="9" t="n"/>
      <c r="D72" s="9" t="n"/>
      <c r="E72" s="9" t="n"/>
      <c r="F72" s="9" t="n"/>
      <c r="G72" s="9" t="n"/>
      <c r="H72" s="9" t="n"/>
      <c r="I72" s="7">
        <f>IFERROR(MAX(C72:H72),"")</f>
        <v/>
      </c>
      <c r="J72" s="7">
        <f>IFERROR(MATCH(I72,C72:H72,0),"")</f>
        <v/>
      </c>
      <c r="K72" s="7" t="n">
        <v>18</v>
      </c>
      <c r="L72" s="7">
        <f>IFERROR(I72*(1-(K72/100)),"")</f>
        <v/>
      </c>
      <c r="M72" s="7">
        <f>IFERROR(LOOKUP(9.99E+307,C72:H72),"")</f>
        <v/>
      </c>
      <c r="N72" s="7">
        <f>IFERROR(IF(M72="","",IF(M72&lt;=N72,"停组🛑","继续✓")),"")</f>
        <v/>
      </c>
      <c r="O72" s="7">
        <f>IFERROR(IF(M72="","",IF(M72&lt;0.15,"SAFETY_STOP","")),"")</f>
        <v/>
      </c>
      <c r="P72" s="7">
        <f>IFERROR(IF(M72="","",IF(M72&lt;0.15,"SAFETY_STOP",IF(M72&lt;=N72,"VL_THRESHOLD",""))),"")</f>
        <v/>
      </c>
      <c r="Q72" s="7">
        <f>IFERROR(IF(I72="","",IF(I72&gt;(0.6+0.05),"+5kg",IF(I72&gt;(0.6+0.02),"+2.5kg",IF(I72&gt;=(0.6-0.05),"保持",IF(I72&gt;=(0.6-0.08),"-2.5kg","-5kg"))))),"")</f>
        <v/>
      </c>
      <c r="R72" s="9" t="n"/>
    </row>
    <row r="73">
      <c r="A73" s="7" t="n">
        <v>5</v>
      </c>
      <c r="B73" s="9" t="n"/>
      <c r="C73" s="9" t="n"/>
      <c r="D73" s="9" t="n"/>
      <c r="E73" s="9" t="n"/>
      <c r="F73" s="9" t="n"/>
      <c r="G73" s="9" t="n"/>
      <c r="H73" s="9" t="n"/>
      <c r="I73" s="7">
        <f>IFERROR(MAX(C73:H73),"")</f>
        <v/>
      </c>
      <c r="J73" s="7">
        <f>IFERROR(MATCH(I73,C73:H73,0),"")</f>
        <v/>
      </c>
      <c r="K73" s="7" t="n">
        <v>18</v>
      </c>
      <c r="L73" s="7">
        <f>IFERROR(I73*(1-(K73/100)),"")</f>
        <v/>
      </c>
      <c r="M73" s="7">
        <f>IFERROR(LOOKUP(9.99E+307,C73:H73),"")</f>
        <v/>
      </c>
      <c r="N73" s="7">
        <f>IFERROR(IF(M73="","",IF(M73&lt;=N73,"停组🛑","继续✓")),"")</f>
        <v/>
      </c>
      <c r="O73" s="7">
        <f>IFERROR(IF(M73="","",IF(M73&lt;0.15,"SAFETY_STOP","")),"")</f>
        <v/>
      </c>
      <c r="P73" s="7">
        <f>IFERROR(IF(M73="","",IF(M73&lt;0.15,"SAFETY_STOP",IF(M73&lt;=N73,"VL_THRESHOLD",""))),"")</f>
        <v/>
      </c>
      <c r="Q73" s="7">
        <f>IFERROR(IF(I73="","",IF(I73&gt;(0.6+0.05),"+5kg",IF(I73&gt;(0.6+0.02),"+2.5kg",IF(I73&gt;=(0.6-0.05),"保持",IF(I73&gt;=(0.6-0.08),"-2.5kg","-5kg"))))),"")</f>
        <v/>
      </c>
      <c r="R73" s="9" t="n"/>
    </row>
    <row r="74">
      <c r="A74" s="7" t="n">
        <v>6</v>
      </c>
      <c r="B74" s="9" t="n"/>
      <c r="C74" s="9" t="n"/>
      <c r="D74" s="9" t="n"/>
      <c r="E74" s="9" t="n"/>
      <c r="F74" s="9" t="n"/>
      <c r="G74" s="9" t="n"/>
      <c r="H74" s="9" t="n"/>
      <c r="I74" s="7">
        <f>IFERROR(MAX(C74:H74),"")</f>
        <v/>
      </c>
      <c r="J74" s="7">
        <f>IFERROR(MATCH(I74,C74:H74,0),"")</f>
        <v/>
      </c>
      <c r="K74" s="7" t="n">
        <v>18</v>
      </c>
      <c r="L74" s="7">
        <f>IFERROR(I74*(1-(K74/100)),"")</f>
        <v/>
      </c>
      <c r="M74" s="7">
        <f>IFERROR(LOOKUP(9.99E+307,C74:H74),"")</f>
        <v/>
      </c>
      <c r="N74" s="7">
        <f>IFERROR(IF(M74="","",IF(M74&lt;=N74,"停组🛑","继续✓")),"")</f>
        <v/>
      </c>
      <c r="O74" s="7">
        <f>IFERROR(IF(M74="","",IF(M74&lt;0.15,"SAFETY_STOP","")),"")</f>
        <v/>
      </c>
      <c r="P74" s="7">
        <f>IFERROR(IF(M74="","",IF(M74&lt;0.15,"SAFETY_STOP",IF(M74&lt;=N74,"VL_THRESHOLD",""))),"")</f>
        <v/>
      </c>
      <c r="Q74" s="7">
        <f>IFERROR(IF(I74="","",IF(I74&gt;(0.6+0.05),"+5kg",IF(I74&gt;(0.6+0.02),"+2.5kg",IF(I74&gt;=(0.6-0.05),"保持",IF(I74&gt;=(0.6-0.08),"-2.5kg","-5kg"))))),"")</f>
        <v/>
      </c>
      <c r="R74" s="9" t="n"/>
    </row>
    <row r="75">
      <c r="A75" s="13" t="inlineStr">
        <is>
          <t>辅助</t>
        </is>
      </c>
      <c r="D75" s="14" t="inlineStr">
        <is>
          <t>RDL</t>
        </is>
      </c>
      <c r="E75" s="14" t="inlineStr">
        <is>
          <t>负荷</t>
        </is>
      </c>
      <c r="F75" s="14" t="inlineStr">
        <is>
          <t>完成</t>
        </is>
      </c>
      <c r="I75" t="inlineStr">
        <is>
          <t>VL</t>
        </is>
      </c>
    </row>
    <row r="76">
      <c r="A76" s="15" t="inlineStr">
        <is>
          <t>训练后</t>
        </is>
      </c>
      <c r="B76" s="15" t="inlineStr">
        <is>
          <t>开始</t>
        </is>
      </c>
      <c r="C76" s="15" t="inlineStr">
        <is>
          <t>结束</t>
        </is>
      </c>
      <c r="D76" s="15" t="inlineStr">
        <is>
          <t>时长min</t>
        </is>
      </c>
      <c r="E76" s="15" t="inlineStr">
        <is>
          <t>sRPE</t>
        </is>
      </c>
      <c r="F76" s="15" t="inlineStr">
        <is>
          <t>load</t>
        </is>
      </c>
      <c r="G76" s="15" t="inlineStr">
        <is>
          <t>不适?</t>
        </is>
      </c>
      <c r="H76" s="15" t="inlineStr">
        <is>
          <t>备注</t>
        </is>
      </c>
      <c r="I76" s="15" t="inlineStr">
        <is>
          <t>签名</t>
        </is>
      </c>
    </row>
    <row r="77">
      <c r="A77" s="7" t="n"/>
      <c r="B77" s="9" t="n"/>
      <c r="C77" s="9" t="n"/>
      <c r="D77" s="11">
        <f>IFERROR((C77-B77)*1440,"")</f>
        <v/>
      </c>
      <c r="E77" s="9" t="n"/>
      <c r="F77" s="11">
        <f>IFERROR(E77*D77,"")</f>
        <v/>
      </c>
      <c r="G77" s="9" t="n"/>
      <c r="H77" s="9" t="n"/>
      <c r="I77" s="9" t="n"/>
    </row>
    <row r="78">
      <c r="A78" s="16" t="inlineStr">
        <is>
          <t>跳跃</t>
        </is>
      </c>
      <c r="B78" s="16" t="inlineStr">
        <is>
          <t>类型</t>
        </is>
      </c>
      <c r="C78" s="16" t="inlineStr">
        <is>
          <t>组×次</t>
        </is>
      </c>
      <c r="D78" s="16" t="inlineStr">
        <is>
          <t>负荷kg</t>
        </is>
      </c>
      <c r="E78" s="16" t="inlineStr">
        <is>
          <t>接触</t>
        </is>
      </c>
    </row>
    <row r="79">
      <c r="B79" t="inlineStr">
        <is>
          <t>CMJ</t>
        </is>
      </c>
      <c r="C79" t="inlineStr">
        <is>
          <t>3×3</t>
        </is>
      </c>
      <c r="D79" t="n">
        <v>0</v>
      </c>
      <c r="E79" t="n">
        <v>9</v>
      </c>
    </row>
    <row r="80">
      <c r="B80" t="inlineStr">
        <is>
          <t>箱跳</t>
        </is>
      </c>
      <c r="C80" t="inlineStr">
        <is>
          <t>2×3</t>
        </is>
      </c>
      <c r="D80" t="n">
        <v>0</v>
      </c>
      <c r="E80" t="n">
        <v>6</v>
      </c>
    </row>
    <row r="81">
      <c r="A81" s="17" t="inlineStr">
        <is>
          <t>▶ 暴露量汇总</t>
        </is>
      </c>
      <c r="B81" s="17" t="inlineStr">
        <is>
          <t>说明</t>
        </is>
      </c>
      <c r="C81" s="17" t="inlineStr">
        <is>
          <t>公式/来源</t>
        </is>
      </c>
      <c r="D81" s="17" t="inlineStr">
        <is>
          <t>数值</t>
        </is>
      </c>
    </row>
    <row r="82">
      <c r="A82" s="18" t="inlineStr">
        <is>
          <t>① 无负荷跳跃接触</t>
        </is>
      </c>
      <c r="B82" s="18" t="inlineStr">
        <is>
          <t>CMJ+SJ+箱跳</t>
        </is>
      </c>
      <c r="C82" s="19">
        <f>IFERROR(E79+E80,2)</f>
        <v/>
      </c>
    </row>
    <row r="83">
      <c r="A83" s="18" t="inlineStr">
        <is>
          <t>② 负重跳跃接触</t>
        </is>
      </c>
      <c r="B83" s="18" t="inlineStr">
        <is>
          <t>负重深蹲跳</t>
        </is>
      </c>
      <c r="C83" s="19">
        <f>IFERROR(E79,"")</f>
        <v/>
      </c>
    </row>
    <row r="84">
      <c r="A84" s="18" t="inlineStr">
        <is>
          <t>③ 跳跃总计</t>
        </is>
      </c>
      <c r="B84" s="18" t="inlineStr">
        <is>
          <t>①+②</t>
        </is>
      </c>
      <c r="C84" s="19">
        <f>IFERROR(B82+B83,"")</f>
        <v/>
      </c>
    </row>
    <row r="85">
      <c r="A85" s="18" t="inlineStr">
        <is>
          <t>④ 热身VL</t>
        </is>
      </c>
      <c r="B85" s="18" t="inlineStr">
        <is>
          <t>20×5+50%×3(+70%×2)</t>
        </is>
      </c>
      <c r="C85" s="19">
        <f>IFERROR(20*5+ROUND(V65*0.5,0)*3+ROUND(V{dr}*0.7,0)*2,"-")</f>
        <v/>
      </c>
    </row>
    <row r="86">
      <c r="A86" s="20" t="inlineStr">
        <is>
          <t>⑤ 主项工作组VL ★</t>
        </is>
      </c>
      <c r="B86" s="20" t="inlineStr">
        <is>
          <t>Σ(负荷×次数)</t>
        </is>
      </c>
      <c r="C86" s="21">
        <f>SUMPRODUCT($B$69:$B$74,$R$69:$R$74)</f>
        <v/>
      </c>
    </row>
    <row r="87">
      <c r="A87" s="18" t="inlineStr">
        <is>
          <t>⑥ 主项总VL</t>
        </is>
      </c>
      <c r="B87" s="18" t="inlineStr">
        <is>
          <t>④+⑤</t>
        </is>
      </c>
      <c r="C87" s="19">
        <f>IFERROR(D82+D83,"")</f>
        <v/>
      </c>
    </row>
    <row r="88">
      <c r="A88" s="18" t="inlineStr">
        <is>
          <t>⑦ 辅助VL</t>
        </is>
      </c>
      <c r="B88" s="18" t="inlineStr">
        <is>
          <t>RDL/保加利亚</t>
        </is>
      </c>
      <c r="C88" s="19">
        <f>IFERROR(I75,"")</f>
        <v/>
      </c>
    </row>
    <row r="89">
      <c r="A89" s="18" t="inlineStr">
        <is>
          <t>⑧ 总外部负荷</t>
        </is>
      </c>
      <c r="B89" s="18" t="inlineStr">
        <is>
          <t>⑥+⑦(+负重跳)</t>
        </is>
      </c>
      <c r="C89" s="19">
        <f>IFERROR(F82+G82,"")</f>
        <v/>
      </c>
    </row>
    <row r="90">
      <c r="A90" s="18" t="inlineStr">
        <is>
          <t>⑨ sRPE load</t>
        </is>
      </c>
      <c r="B90" s="18" t="inlineStr">
        <is>
          <t>sRPE×时长</t>
        </is>
      </c>
      <c r="C90" s="19">
        <f>IFERROR(F77,"")</f>
        <v/>
      </c>
    </row>
    <row r="93">
      <c r="A93" s="5" t="inlineStr">
        <is>
          <t>P006 陈镕垚  a=1.694 b=-0.01015 1RM=145</t>
        </is>
      </c>
    </row>
    <row r="94">
      <c r="A94" s="6" t="inlineStr">
        <is>
          <t>编号</t>
        </is>
      </c>
      <c r="B94" s="6" t="inlineStr">
        <is>
          <t>姓名</t>
        </is>
      </c>
      <c r="C94" s="6" t="inlineStr">
        <is>
          <t>身高</t>
        </is>
      </c>
      <c r="D94" s="6" t="inlineStr">
        <is>
          <t>1RM</t>
        </is>
      </c>
      <c r="E94" s="6" t="inlineStr">
        <is>
          <t>Hooper睡</t>
        </is>
      </c>
      <c r="F94" s="6" t="inlineStr">
        <is>
          <t>Hooper压</t>
        </is>
      </c>
      <c r="G94" s="6" t="inlineStr">
        <is>
          <t>Hooper疲</t>
        </is>
      </c>
      <c r="H94" s="6" t="inlineStr">
        <is>
          <t>Hooper酸</t>
        </is>
      </c>
      <c r="I94" s="6" t="inlineStr">
        <is>
          <t>H总</t>
        </is>
      </c>
      <c r="J94" s="6" t="inlineStr">
        <is>
          <t>不适?</t>
        </is>
      </c>
      <c r="K94" s="6" t="inlineStr">
        <is>
          <t>说明</t>
        </is>
      </c>
      <c r="L94" s="6" t="inlineStr">
        <is>
          <t>CMJ1</t>
        </is>
      </c>
      <c r="M94" s="6" t="inlineStr">
        <is>
          <t>CMJ2</t>
        </is>
      </c>
      <c r="N94" s="6" t="inlineStr">
        <is>
          <t>CMJ3</t>
        </is>
      </c>
      <c r="O94" s="6" t="inlineStr">
        <is>
          <t>CMJμ</t>
        </is>
      </c>
      <c r="P94" s="6" t="inlineStr">
        <is>
          <t>&lt;95%</t>
        </is>
      </c>
      <c r="Q94" s="6" t="inlineStr">
        <is>
          <t>减组</t>
        </is>
      </c>
      <c r="R94" s="6" t="inlineStr">
        <is>
          <t>组数</t>
        </is>
      </c>
      <c r="S94" s="6" t="inlineStr">
        <is>
          <t>a(V0)</t>
        </is>
      </c>
      <c r="T94" s="6" t="inlineStr">
        <is>
          <t>b</t>
        </is>
      </c>
      <c r="U94" s="6" t="inlineStr">
        <is>
          <t>等级</t>
        </is>
      </c>
      <c r="V94" s="6" t="inlineStr">
        <is>
          <t>预测起始</t>
        </is>
      </c>
    </row>
    <row r="95">
      <c r="A95" s="7" t="inlineStr">
        <is>
          <t>P006</t>
        </is>
      </c>
      <c r="B95" s="7" t="inlineStr">
        <is>
          <t>陈镕垚</t>
        </is>
      </c>
      <c r="C95" s="7" t="n">
        <v>181</v>
      </c>
      <c r="D95" s="8" t="n">
        <v>145</v>
      </c>
      <c r="E95" s="9" t="n"/>
      <c r="F95" s="9" t="n"/>
      <c r="G95" s="9" t="n"/>
      <c r="H95" s="9" t="n"/>
      <c r="I95" s="7">
        <f>IFERROR(SUM(E95:H95),"")</f>
        <v/>
      </c>
      <c r="J95" s="9" t="n"/>
      <c r="K95" s="9" t="n"/>
      <c r="L95" s="9" t="n"/>
      <c r="M95" s="9" t="n"/>
      <c r="N95" s="9" t="n"/>
      <c r="O95" s="7">
        <f>IFERROR(AVERAGE(L95:N95),"")</f>
        <v/>
      </c>
      <c r="P95" s="7">
        <f>IF(O95="","",IF(O95&lt;59.06,"是⚠","否"))</f>
        <v/>
      </c>
      <c r="Q95" s="7">
        <f>IF(O95="","",IF(O95&lt;59.06,4-1,4))</f>
        <v/>
      </c>
      <c r="R95" s="7" t="n"/>
      <c r="S95" s="8" t="n">
        <v>1.694</v>
      </c>
      <c r="T95" s="8" t="n">
        <v>-0.01015</v>
      </c>
      <c r="U95" s="7" t="inlineStr">
        <is>
          <t>A</t>
        </is>
      </c>
      <c r="V95" s="8" t="n">
        <v>107.5</v>
      </c>
    </row>
    <row r="96">
      <c r="A96" s="10" t="inlineStr">
        <is>
          <t>热身校准</t>
        </is>
      </c>
      <c r="B96" s="10" t="inlineStr">
        <is>
          <t>a</t>
        </is>
      </c>
      <c r="C96" s="10" t="inlineStr">
        <is>
          <t>b</t>
        </is>
      </c>
      <c r="D96" s="10" t="inlineStr">
        <is>
          <t>50%热身</t>
        </is>
      </c>
      <c r="E96" s="10" t="inlineStr">
        <is>
          <t>70%热身</t>
        </is>
      </c>
      <c r="F96" s="10" t="inlineStr">
        <is>
          <t>热身负荷</t>
        </is>
      </c>
      <c r="G96" s="10" t="inlineStr">
        <is>
          <t>实测MCV</t>
        </is>
      </c>
      <c r="H96" s="10" t="inlineStr">
        <is>
          <t>预测MCV</t>
        </is>
      </c>
      <c r="I96" s="10" t="inlineStr">
        <is>
          <t>Δv</t>
        </is>
      </c>
      <c r="J96" s="10" t="inlineStr">
        <is>
          <t>调整量</t>
        </is>
      </c>
      <c r="K96" s="10" t="inlineStr">
        <is>
          <t>校准第1组</t>
        </is>
      </c>
    </row>
    <row r="97">
      <c r="A97" s="7" t="n"/>
      <c r="B97" s="11" t="n">
        <v>1.694</v>
      </c>
      <c r="C97" s="11" t="n">
        <v>-0.01015</v>
      </c>
      <c r="D97" s="11">
        <f>IFERROR(ROUND(V95*0.5/2.5,0)*2.5,"")</f>
        <v/>
      </c>
      <c r="E97" s="11">
        <f>IFERROR(ROUND(V95*0.7/2.5,0)*2.5,"")</f>
        <v/>
      </c>
      <c r="F97" s="11">
        <f>IFERROR(ROUND(V95*0.6/2.5,0)*2.5,"")</f>
        <v/>
      </c>
      <c r="G97" s="9" t="n"/>
      <c r="H97" s="11">
        <f>IFERROR(B97+C97*F97,"")</f>
        <v/>
      </c>
      <c r="I97" s="11">
        <f>IFERROR(G97-H97,"")</f>
        <v/>
      </c>
      <c r="J97" s="11">
        <f>IFERROR(IF(I97&gt;0.08,5,IF(I97&gt;0.04,2.5,IF(I97&gt;=-0.04,0,IF(I97&gt;=-0.08,-2.5,-5)))),"")</f>
        <v/>
      </c>
      <c r="K97" s="11">
        <f>IFERROR(ROUND(V95+J97,0),"")</f>
        <v/>
      </c>
    </row>
    <row r="98">
      <c r="A98" s="12" t="inlineStr">
        <is>
          <t>组</t>
        </is>
      </c>
      <c r="B98" s="12" t="inlineStr">
        <is>
          <t>负荷</t>
        </is>
      </c>
      <c r="C98" s="12" t="inlineStr">
        <is>
          <t>rep1</t>
        </is>
      </c>
      <c r="D98" s="12" t="inlineStr">
        <is>
          <t>rep2</t>
        </is>
      </c>
      <c r="E98" s="12" t="inlineStr">
        <is>
          <t>rep3</t>
        </is>
      </c>
      <c r="F98" s="12" t="inlineStr">
        <is>
          <t>rep4</t>
        </is>
      </c>
      <c r="G98" s="12" t="inlineStr">
        <is>
          <t>rep5</t>
        </is>
      </c>
      <c r="H98" s="12" t="inlineStr">
        <is>
          <t>rep6</t>
        </is>
      </c>
      <c r="I98" s="12" t="inlineStr">
        <is>
          <t>best</t>
        </is>
      </c>
      <c r="J98" s="12" t="inlineStr">
        <is>
          <t>best#</t>
        </is>
      </c>
      <c r="K98" s="12" t="inlineStr">
        <is>
          <t>VL%</t>
        </is>
      </c>
      <c r="L98" s="12" t="inlineStr">
        <is>
          <t>stop_th</t>
        </is>
      </c>
      <c r="M98" s="12" t="inlineStr">
        <is>
          <t>latest</t>
        </is>
      </c>
      <c r="N98" s="12" t="inlineStr">
        <is>
          <t>VL_flag</t>
        </is>
      </c>
      <c r="O98" s="12" t="inlineStr">
        <is>
          <t>safety</t>
        </is>
      </c>
      <c r="P98" s="12" t="inlineStr">
        <is>
          <t>原因</t>
        </is>
      </c>
      <c r="Q98" s="12" t="inlineStr">
        <is>
          <t>建议</t>
        </is>
      </c>
      <c r="R98" s="12" t="inlineStr">
        <is>
          <t>次数</t>
        </is>
      </c>
    </row>
    <row r="99">
      <c r="A99" s="7" t="n">
        <v>1</v>
      </c>
      <c r="B99" s="9">
        <f>IFERROR(K97,"")</f>
        <v/>
      </c>
      <c r="C99" s="9" t="n"/>
      <c r="D99" s="9" t="n"/>
      <c r="E99" s="9" t="n"/>
      <c r="F99" s="9" t="n"/>
      <c r="G99" s="9" t="n"/>
      <c r="H99" s="9" t="n"/>
      <c r="I99" s="7">
        <f>IFERROR(MAX(C99:H99),"")</f>
        <v/>
      </c>
      <c r="J99" s="7">
        <f>IFERROR(MATCH(I99,C99:H99,0),"")</f>
        <v/>
      </c>
      <c r="K99" s="7" t="n">
        <v>18</v>
      </c>
      <c r="L99" s="7">
        <f>IFERROR(I99*(1-(K99/100)),"")</f>
        <v/>
      </c>
      <c r="M99" s="7">
        <f>IFERROR(LOOKUP(9.99E+307,C99:H99),"")</f>
        <v/>
      </c>
      <c r="N99" s="7">
        <f>IFERROR(IF(M99="","",IF(M99&lt;=N99,"停组🛑","继续✓")),"")</f>
        <v/>
      </c>
      <c r="O99" s="7">
        <f>IFERROR(IF(M99="","",IF(M99&lt;0.15,"SAFETY_STOP","")),"")</f>
        <v/>
      </c>
      <c r="P99" s="7">
        <f>IFERROR(IF(M99="","",IF(M99&lt;0.15,"SAFETY_STOP",IF(M99&lt;=N99,"VL_THRESHOLD",""))),"")</f>
        <v/>
      </c>
      <c r="Q99" s="7">
        <f>IFERROR(IF(I99="","",IF(I99&gt;(0.6+0.05),"+5kg",IF(I99&gt;(0.6+0.02),"+2.5kg",IF(I99&gt;=(0.6-0.05),"保持",IF(I99&gt;=(0.6-0.08),"-2.5kg","-5kg"))))),"")</f>
        <v/>
      </c>
      <c r="R99" s="9" t="n"/>
    </row>
    <row r="100">
      <c r="A100" s="7" t="n">
        <v>2</v>
      </c>
      <c r="B100" s="9" t="n"/>
      <c r="C100" s="9" t="n"/>
      <c r="D100" s="9" t="n"/>
      <c r="E100" s="9" t="n"/>
      <c r="F100" s="9" t="n"/>
      <c r="G100" s="9" t="n"/>
      <c r="H100" s="9" t="n"/>
      <c r="I100" s="7">
        <f>IFERROR(MAX(C100:H100),"")</f>
        <v/>
      </c>
      <c r="J100" s="7">
        <f>IFERROR(MATCH(I100,C100:H100,0),"")</f>
        <v/>
      </c>
      <c r="K100" s="7" t="n">
        <v>18</v>
      </c>
      <c r="L100" s="7">
        <f>IFERROR(I100*(1-(K100/100)),"")</f>
        <v/>
      </c>
      <c r="M100" s="7">
        <f>IFERROR(LOOKUP(9.99E+307,C100:H100),"")</f>
        <v/>
      </c>
      <c r="N100" s="7">
        <f>IFERROR(IF(M100="","",IF(M100&lt;=N100,"停组🛑","继续✓")),"")</f>
        <v/>
      </c>
      <c r="O100" s="7">
        <f>IFERROR(IF(M100="","",IF(M100&lt;0.15,"SAFETY_STOP","")),"")</f>
        <v/>
      </c>
      <c r="P100" s="7">
        <f>IFERROR(IF(M100="","",IF(M100&lt;0.15,"SAFETY_STOP",IF(M100&lt;=N100,"VL_THRESHOLD",""))),"")</f>
        <v/>
      </c>
      <c r="Q100" s="7">
        <f>IFERROR(IF(I100="","",IF(I100&gt;(0.6+0.05),"+5kg",IF(I100&gt;(0.6+0.02),"+2.5kg",IF(I100&gt;=(0.6-0.05),"保持",IF(I100&gt;=(0.6-0.08),"-2.5kg","-5kg"))))),"")</f>
        <v/>
      </c>
      <c r="R100" s="9" t="n"/>
    </row>
    <row r="101">
      <c r="A101" s="7" t="n">
        <v>3</v>
      </c>
      <c r="B101" s="9" t="n"/>
      <c r="C101" s="9" t="n"/>
      <c r="D101" s="9" t="n"/>
      <c r="E101" s="9" t="n"/>
      <c r="F101" s="9" t="n"/>
      <c r="G101" s="9" t="n"/>
      <c r="H101" s="9" t="n"/>
      <c r="I101" s="7">
        <f>IFERROR(MAX(C101:H101),"")</f>
        <v/>
      </c>
      <c r="J101" s="7">
        <f>IFERROR(MATCH(I101,C101:H101,0),"")</f>
        <v/>
      </c>
      <c r="K101" s="7" t="n">
        <v>18</v>
      </c>
      <c r="L101" s="7">
        <f>IFERROR(I101*(1-(K101/100)),"")</f>
        <v/>
      </c>
      <c r="M101" s="7">
        <f>IFERROR(LOOKUP(9.99E+307,C101:H101),"")</f>
        <v/>
      </c>
      <c r="N101" s="7">
        <f>IFERROR(IF(M101="","",IF(M101&lt;=N101,"停组🛑","继续✓")),"")</f>
        <v/>
      </c>
      <c r="O101" s="7">
        <f>IFERROR(IF(M101="","",IF(M101&lt;0.15,"SAFETY_STOP","")),"")</f>
        <v/>
      </c>
      <c r="P101" s="7">
        <f>IFERROR(IF(M101="","",IF(M101&lt;0.15,"SAFETY_STOP",IF(M101&lt;=N101,"VL_THRESHOLD",""))),"")</f>
        <v/>
      </c>
      <c r="Q101" s="7">
        <f>IFERROR(IF(I101="","",IF(I101&gt;(0.6+0.05),"+5kg",IF(I101&gt;(0.6+0.02),"+2.5kg",IF(I101&gt;=(0.6-0.05),"保持",IF(I101&gt;=(0.6-0.08),"-2.5kg","-5kg"))))),"")</f>
        <v/>
      </c>
      <c r="R101" s="9" t="n"/>
    </row>
    <row r="102">
      <c r="A102" s="7" t="n">
        <v>4</v>
      </c>
      <c r="B102" s="9" t="n"/>
      <c r="C102" s="9" t="n"/>
      <c r="D102" s="9" t="n"/>
      <c r="E102" s="9" t="n"/>
      <c r="F102" s="9" t="n"/>
      <c r="G102" s="9" t="n"/>
      <c r="H102" s="9" t="n"/>
      <c r="I102" s="7">
        <f>IFERROR(MAX(C102:H102),"")</f>
        <v/>
      </c>
      <c r="J102" s="7">
        <f>IFERROR(MATCH(I102,C102:H102,0),"")</f>
        <v/>
      </c>
      <c r="K102" s="7" t="n">
        <v>18</v>
      </c>
      <c r="L102" s="7">
        <f>IFERROR(I102*(1-(K102/100)),"")</f>
        <v/>
      </c>
      <c r="M102" s="7">
        <f>IFERROR(LOOKUP(9.99E+307,C102:H102),"")</f>
        <v/>
      </c>
      <c r="N102" s="7">
        <f>IFERROR(IF(M102="","",IF(M102&lt;=N102,"停组🛑","继续✓")),"")</f>
        <v/>
      </c>
      <c r="O102" s="7">
        <f>IFERROR(IF(M102="","",IF(M102&lt;0.15,"SAFETY_STOP","")),"")</f>
        <v/>
      </c>
      <c r="P102" s="7">
        <f>IFERROR(IF(M102="","",IF(M102&lt;0.15,"SAFETY_STOP",IF(M102&lt;=N102,"VL_THRESHOLD",""))),"")</f>
        <v/>
      </c>
      <c r="Q102" s="7">
        <f>IFERROR(IF(I102="","",IF(I102&gt;(0.6+0.05),"+5kg",IF(I102&gt;(0.6+0.02),"+2.5kg",IF(I102&gt;=(0.6-0.05),"保持",IF(I102&gt;=(0.6-0.08),"-2.5kg","-5kg"))))),"")</f>
        <v/>
      </c>
      <c r="R102" s="9" t="n"/>
    </row>
    <row r="103">
      <c r="A103" s="7" t="n">
        <v>5</v>
      </c>
      <c r="B103" s="9" t="n"/>
      <c r="C103" s="9" t="n"/>
      <c r="D103" s="9" t="n"/>
      <c r="E103" s="9" t="n"/>
      <c r="F103" s="9" t="n"/>
      <c r="G103" s="9" t="n"/>
      <c r="H103" s="9" t="n"/>
      <c r="I103" s="7">
        <f>IFERROR(MAX(C103:H103),"")</f>
        <v/>
      </c>
      <c r="J103" s="7">
        <f>IFERROR(MATCH(I103,C103:H103,0),"")</f>
        <v/>
      </c>
      <c r="K103" s="7" t="n">
        <v>18</v>
      </c>
      <c r="L103" s="7">
        <f>IFERROR(I103*(1-(K103/100)),"")</f>
        <v/>
      </c>
      <c r="M103" s="7">
        <f>IFERROR(LOOKUP(9.99E+307,C103:H103),"")</f>
        <v/>
      </c>
      <c r="N103" s="7">
        <f>IFERROR(IF(M103="","",IF(M103&lt;=N103,"停组🛑","继续✓")),"")</f>
        <v/>
      </c>
      <c r="O103" s="7">
        <f>IFERROR(IF(M103="","",IF(M103&lt;0.15,"SAFETY_STOP","")),"")</f>
        <v/>
      </c>
      <c r="P103" s="7">
        <f>IFERROR(IF(M103="","",IF(M103&lt;0.15,"SAFETY_STOP",IF(M103&lt;=N103,"VL_THRESHOLD",""))),"")</f>
        <v/>
      </c>
      <c r="Q103" s="7">
        <f>IFERROR(IF(I103="","",IF(I103&gt;(0.6+0.05),"+5kg",IF(I103&gt;(0.6+0.02),"+2.5kg",IF(I103&gt;=(0.6-0.05),"保持",IF(I103&gt;=(0.6-0.08),"-2.5kg","-5kg"))))),"")</f>
        <v/>
      </c>
      <c r="R103" s="9" t="n"/>
    </row>
    <row r="104">
      <c r="A104" s="7" t="n">
        <v>6</v>
      </c>
      <c r="B104" s="9" t="n"/>
      <c r="C104" s="9" t="n"/>
      <c r="D104" s="9" t="n"/>
      <c r="E104" s="9" t="n"/>
      <c r="F104" s="9" t="n"/>
      <c r="G104" s="9" t="n"/>
      <c r="H104" s="9" t="n"/>
      <c r="I104" s="7">
        <f>IFERROR(MAX(C104:H104),"")</f>
        <v/>
      </c>
      <c r="J104" s="7">
        <f>IFERROR(MATCH(I104,C104:H104,0),"")</f>
        <v/>
      </c>
      <c r="K104" s="7" t="n">
        <v>18</v>
      </c>
      <c r="L104" s="7">
        <f>IFERROR(I104*(1-(K104/100)),"")</f>
        <v/>
      </c>
      <c r="M104" s="7">
        <f>IFERROR(LOOKUP(9.99E+307,C104:H104),"")</f>
        <v/>
      </c>
      <c r="N104" s="7">
        <f>IFERROR(IF(M104="","",IF(M104&lt;=N104,"停组🛑","继续✓")),"")</f>
        <v/>
      </c>
      <c r="O104" s="7">
        <f>IFERROR(IF(M104="","",IF(M104&lt;0.15,"SAFETY_STOP","")),"")</f>
        <v/>
      </c>
      <c r="P104" s="7">
        <f>IFERROR(IF(M104="","",IF(M104&lt;0.15,"SAFETY_STOP",IF(M104&lt;=N104,"VL_THRESHOLD",""))),"")</f>
        <v/>
      </c>
      <c r="Q104" s="7">
        <f>IFERROR(IF(I104="","",IF(I104&gt;(0.6+0.05),"+5kg",IF(I104&gt;(0.6+0.02),"+2.5kg",IF(I104&gt;=(0.6-0.05),"保持",IF(I104&gt;=(0.6-0.08),"-2.5kg","-5kg"))))),"")</f>
        <v/>
      </c>
      <c r="R104" s="9" t="n"/>
    </row>
    <row r="105">
      <c r="A105" s="13" t="inlineStr">
        <is>
          <t>辅助</t>
        </is>
      </c>
      <c r="D105" s="14" t="inlineStr">
        <is>
          <t>RDL</t>
        </is>
      </c>
      <c r="E105" s="14" t="inlineStr">
        <is>
          <t>负荷</t>
        </is>
      </c>
      <c r="F105" s="14" t="inlineStr">
        <is>
          <t>完成</t>
        </is>
      </c>
      <c r="I105" t="inlineStr">
        <is>
          <t>VL</t>
        </is>
      </c>
    </row>
    <row r="106">
      <c r="A106" s="15" t="inlineStr">
        <is>
          <t>训练后</t>
        </is>
      </c>
      <c r="B106" s="15" t="inlineStr">
        <is>
          <t>开始</t>
        </is>
      </c>
      <c r="C106" s="15" t="inlineStr">
        <is>
          <t>结束</t>
        </is>
      </c>
      <c r="D106" s="15" t="inlineStr">
        <is>
          <t>时长min</t>
        </is>
      </c>
      <c r="E106" s="15" t="inlineStr">
        <is>
          <t>sRPE</t>
        </is>
      </c>
      <c r="F106" s="15" t="inlineStr">
        <is>
          <t>load</t>
        </is>
      </c>
      <c r="G106" s="15" t="inlineStr">
        <is>
          <t>不适?</t>
        </is>
      </c>
      <c r="H106" s="15" t="inlineStr">
        <is>
          <t>备注</t>
        </is>
      </c>
      <c r="I106" s="15" t="inlineStr">
        <is>
          <t>签名</t>
        </is>
      </c>
    </row>
    <row r="107">
      <c r="A107" s="7" t="n"/>
      <c r="B107" s="9" t="n"/>
      <c r="C107" s="9" t="n"/>
      <c r="D107" s="11">
        <f>IFERROR((C107-B107)*1440,"")</f>
        <v/>
      </c>
      <c r="E107" s="9" t="n"/>
      <c r="F107" s="11">
        <f>IFERROR(E107*D107,"")</f>
        <v/>
      </c>
      <c r="G107" s="9" t="n"/>
      <c r="H107" s="9" t="n"/>
      <c r="I107" s="9" t="n"/>
    </row>
    <row r="108">
      <c r="A108" s="16" t="inlineStr">
        <is>
          <t>跳跃</t>
        </is>
      </c>
      <c r="B108" s="16" t="inlineStr">
        <is>
          <t>类型</t>
        </is>
      </c>
      <c r="C108" s="16" t="inlineStr">
        <is>
          <t>组×次</t>
        </is>
      </c>
      <c r="D108" s="16" t="inlineStr">
        <is>
          <t>负荷kg</t>
        </is>
      </c>
      <c r="E108" s="16" t="inlineStr">
        <is>
          <t>接触</t>
        </is>
      </c>
    </row>
    <row r="109">
      <c r="B109" t="inlineStr">
        <is>
          <t>CMJ</t>
        </is>
      </c>
      <c r="C109" t="inlineStr">
        <is>
          <t>3×3</t>
        </is>
      </c>
      <c r="D109" t="n">
        <v>0</v>
      </c>
      <c r="E109" t="n">
        <v>9</v>
      </c>
    </row>
    <row r="110">
      <c r="B110" t="inlineStr">
        <is>
          <t>箱跳</t>
        </is>
      </c>
      <c r="C110" t="inlineStr">
        <is>
          <t>2×3</t>
        </is>
      </c>
      <c r="D110" t="n">
        <v>0</v>
      </c>
      <c r="E110" t="n">
        <v>6</v>
      </c>
    </row>
    <row r="111">
      <c r="A111" s="17" t="inlineStr">
        <is>
          <t>▶ 暴露量汇总</t>
        </is>
      </c>
      <c r="B111" s="17" t="inlineStr">
        <is>
          <t>说明</t>
        </is>
      </c>
      <c r="C111" s="17" t="inlineStr">
        <is>
          <t>公式/来源</t>
        </is>
      </c>
      <c r="D111" s="17" t="inlineStr">
        <is>
          <t>数值</t>
        </is>
      </c>
    </row>
    <row r="112">
      <c r="A112" s="18" t="inlineStr">
        <is>
          <t>① 无负荷跳跃接触</t>
        </is>
      </c>
      <c r="B112" s="18" t="inlineStr">
        <is>
          <t>CMJ+SJ+箱跳</t>
        </is>
      </c>
      <c r="C112" s="19">
        <f>IFERROR(E109+E110,2)</f>
        <v/>
      </c>
    </row>
    <row r="113">
      <c r="A113" s="18" t="inlineStr">
        <is>
          <t>② 负重跳跃接触</t>
        </is>
      </c>
      <c r="B113" s="18" t="inlineStr">
        <is>
          <t>负重深蹲跳</t>
        </is>
      </c>
      <c r="C113" s="19">
        <f>IFERROR(E109,"")</f>
        <v/>
      </c>
    </row>
    <row r="114">
      <c r="A114" s="18" t="inlineStr">
        <is>
          <t>③ 跳跃总计</t>
        </is>
      </c>
      <c r="B114" s="18" t="inlineStr">
        <is>
          <t>①+②</t>
        </is>
      </c>
      <c r="C114" s="19">
        <f>IFERROR(B112+B113,"")</f>
        <v/>
      </c>
    </row>
    <row r="115">
      <c r="A115" s="18" t="inlineStr">
        <is>
          <t>④ 热身VL</t>
        </is>
      </c>
      <c r="B115" s="18" t="inlineStr">
        <is>
          <t>20×5+50%×3(+70%×2)</t>
        </is>
      </c>
      <c r="C115" s="19">
        <f>IFERROR(20*5+ROUND(V95*0.5,0)*3+ROUND(V{dr}*0.7,0)*2,"-")</f>
        <v/>
      </c>
    </row>
    <row r="116">
      <c r="A116" s="20" t="inlineStr">
        <is>
          <t>⑤ 主项工作组VL ★</t>
        </is>
      </c>
      <c r="B116" s="20" t="inlineStr">
        <is>
          <t>Σ(负荷×次数)</t>
        </is>
      </c>
      <c r="C116" s="21">
        <f>SUMPRODUCT($B$99:$B$104,$R$99:$R$104)</f>
        <v/>
      </c>
    </row>
    <row r="117">
      <c r="A117" s="18" t="inlineStr">
        <is>
          <t>⑥ 主项总VL</t>
        </is>
      </c>
      <c r="B117" s="18" t="inlineStr">
        <is>
          <t>④+⑤</t>
        </is>
      </c>
      <c r="C117" s="19">
        <f>IFERROR(D112+D113,"")</f>
        <v/>
      </c>
    </row>
    <row r="118">
      <c r="A118" s="18" t="inlineStr">
        <is>
          <t>⑦ 辅助VL</t>
        </is>
      </c>
      <c r="B118" s="18" t="inlineStr">
        <is>
          <t>RDL/保加利亚</t>
        </is>
      </c>
      <c r="C118" s="19">
        <f>IFERROR(I105,"")</f>
        <v/>
      </c>
    </row>
    <row r="119">
      <c r="A119" s="18" t="inlineStr">
        <is>
          <t>⑧ 总外部负荷</t>
        </is>
      </c>
      <c r="B119" s="18" t="inlineStr">
        <is>
          <t>⑥+⑦(+负重跳)</t>
        </is>
      </c>
      <c r="C119" s="19">
        <f>IFERROR(F112+G112,"")</f>
        <v/>
      </c>
    </row>
    <row r="120">
      <c r="A120" s="18" t="inlineStr">
        <is>
          <t>⑨ sRPE load</t>
        </is>
      </c>
      <c r="B120" s="18" t="inlineStr">
        <is>
          <t>sRPE×时长</t>
        </is>
      </c>
      <c r="C120" s="19">
        <f>IFERROR(F107,"")</f>
        <v/>
      </c>
    </row>
    <row r="123">
      <c r="A123" s="5" t="inlineStr">
        <is>
          <t>P015 陈先栋  a=1.77 b=-0.01025 1RM=135</t>
        </is>
      </c>
    </row>
    <row r="124">
      <c r="A124" s="6" t="inlineStr">
        <is>
          <t>编号</t>
        </is>
      </c>
      <c r="B124" s="6" t="inlineStr">
        <is>
          <t>姓名</t>
        </is>
      </c>
      <c r="C124" s="6" t="inlineStr">
        <is>
          <t>身高</t>
        </is>
      </c>
      <c r="D124" s="6" t="inlineStr">
        <is>
          <t>1RM</t>
        </is>
      </c>
      <c r="E124" s="6" t="inlineStr">
        <is>
          <t>Hooper睡</t>
        </is>
      </c>
      <c r="F124" s="6" t="inlineStr">
        <is>
          <t>Hooper压</t>
        </is>
      </c>
      <c r="G124" s="6" t="inlineStr">
        <is>
          <t>Hooper疲</t>
        </is>
      </c>
      <c r="H124" s="6" t="inlineStr">
        <is>
          <t>Hooper酸</t>
        </is>
      </c>
      <c r="I124" s="6" t="inlineStr">
        <is>
          <t>H总</t>
        </is>
      </c>
      <c r="J124" s="6" t="inlineStr">
        <is>
          <t>不适?</t>
        </is>
      </c>
      <c r="K124" s="6" t="inlineStr">
        <is>
          <t>说明</t>
        </is>
      </c>
      <c r="L124" s="6" t="inlineStr">
        <is>
          <t>CMJ1</t>
        </is>
      </c>
      <c r="M124" s="6" t="inlineStr">
        <is>
          <t>CMJ2</t>
        </is>
      </c>
      <c r="N124" s="6" t="inlineStr">
        <is>
          <t>CMJ3</t>
        </is>
      </c>
      <c r="O124" s="6" t="inlineStr">
        <is>
          <t>CMJμ</t>
        </is>
      </c>
      <c r="P124" s="6" t="inlineStr">
        <is>
          <t>&lt;95%</t>
        </is>
      </c>
      <c r="Q124" s="6" t="inlineStr">
        <is>
          <t>减组</t>
        </is>
      </c>
      <c r="R124" s="6" t="inlineStr">
        <is>
          <t>组数</t>
        </is>
      </c>
      <c r="S124" s="6" t="inlineStr">
        <is>
          <t>a(V0)</t>
        </is>
      </c>
      <c r="T124" s="6" t="inlineStr">
        <is>
          <t>b</t>
        </is>
      </c>
      <c r="U124" s="6" t="inlineStr">
        <is>
          <t>等级</t>
        </is>
      </c>
      <c r="V124" s="6" t="inlineStr">
        <is>
          <t>预测起始</t>
        </is>
      </c>
    </row>
    <row r="125">
      <c r="A125" s="7" t="inlineStr">
        <is>
          <t>P015</t>
        </is>
      </c>
      <c r="B125" s="7" t="inlineStr">
        <is>
          <t>陈先栋</t>
        </is>
      </c>
      <c r="C125" s="7" t="n">
        <v>175</v>
      </c>
      <c r="D125" s="8" t="n">
        <v>135</v>
      </c>
      <c r="E125" s="9" t="n"/>
      <c r="F125" s="9" t="n"/>
      <c r="G125" s="9" t="n"/>
      <c r="H125" s="9" t="n"/>
      <c r="I125" s="7">
        <f>IFERROR(SUM(E125:H125),"")</f>
        <v/>
      </c>
      <c r="J125" s="9" t="n"/>
      <c r="K125" s="9" t="n"/>
      <c r="L125" s="9" t="n"/>
      <c r="M125" s="9" t="n"/>
      <c r="N125" s="9" t="n"/>
      <c r="O125" s="7">
        <f>IFERROR(AVERAGE(L125:N125),"")</f>
        <v/>
      </c>
      <c r="P125" s="7">
        <f>IF(O125="","",IF(O125&lt;54.25,"是⚠","否"))</f>
        <v/>
      </c>
      <c r="Q125" s="7">
        <f>IF(O125="","",IF(O125&lt;54.25,4-1,4))</f>
        <v/>
      </c>
      <c r="R125" s="7" t="n"/>
      <c r="S125" s="8" t="n">
        <v>1.77</v>
      </c>
      <c r="T125" s="8" t="n">
        <v>-0.01025</v>
      </c>
      <c r="U125" s="7" t="inlineStr">
        <is>
          <t>C</t>
        </is>
      </c>
      <c r="V125" s="8" t="n">
        <v>115</v>
      </c>
    </row>
    <row r="126">
      <c r="A126" s="10" t="inlineStr">
        <is>
          <t>热身校准</t>
        </is>
      </c>
      <c r="B126" s="10" t="inlineStr">
        <is>
          <t>a</t>
        </is>
      </c>
      <c r="C126" s="10" t="inlineStr">
        <is>
          <t>b</t>
        </is>
      </c>
      <c r="D126" s="10" t="inlineStr">
        <is>
          <t>50%热身</t>
        </is>
      </c>
      <c r="E126" s="10" t="inlineStr">
        <is>
          <t>70%热身</t>
        </is>
      </c>
      <c r="F126" s="10" t="inlineStr">
        <is>
          <t>热身负荷</t>
        </is>
      </c>
      <c r="G126" s="10" t="inlineStr">
        <is>
          <t>实测MCV</t>
        </is>
      </c>
      <c r="H126" s="10" t="inlineStr">
        <is>
          <t>预测MCV</t>
        </is>
      </c>
      <c r="I126" s="10" t="inlineStr">
        <is>
          <t>Δv</t>
        </is>
      </c>
      <c r="J126" s="10" t="inlineStr">
        <is>
          <t>调整量</t>
        </is>
      </c>
      <c r="K126" s="10" t="inlineStr">
        <is>
          <t>校准第1组</t>
        </is>
      </c>
    </row>
    <row r="127">
      <c r="A127" s="7" t="n"/>
      <c r="B127" s="11" t="n">
        <v>1.77</v>
      </c>
      <c r="C127" s="11" t="n">
        <v>-0.01025</v>
      </c>
      <c r="D127" s="11">
        <f>IFERROR(ROUND(V125*0.5/2.5,0)*2.5,"")</f>
        <v/>
      </c>
      <c r="E127" s="11">
        <f>IFERROR(ROUND(V125*0.7/2.5,0)*2.5,"")</f>
        <v/>
      </c>
      <c r="F127" s="11">
        <f>IFERROR(ROUND(V125*0.6/2.5,0)*2.5,"")</f>
        <v/>
      </c>
      <c r="G127" s="9" t="n"/>
      <c r="H127" s="11">
        <f>IFERROR(B127+C127*F127,"")</f>
        <v/>
      </c>
      <c r="I127" s="11">
        <f>IFERROR(G127-H127,"")</f>
        <v/>
      </c>
      <c r="J127" s="11">
        <f>IFERROR(IF(I127&gt;0.08,5,IF(I127&gt;0.04,2.5,IF(I127&gt;=-0.04,0,IF(I127&gt;=-0.08,-2.5,-5)))),"")</f>
        <v/>
      </c>
      <c r="K127" s="11">
        <f>IFERROR(ROUND(V125+J127,0),"")</f>
        <v/>
      </c>
    </row>
    <row r="128">
      <c r="A128" s="12" t="inlineStr">
        <is>
          <t>组</t>
        </is>
      </c>
      <c r="B128" s="12" t="inlineStr">
        <is>
          <t>负荷</t>
        </is>
      </c>
      <c r="C128" s="12" t="inlineStr">
        <is>
          <t>rep1</t>
        </is>
      </c>
      <c r="D128" s="12" t="inlineStr">
        <is>
          <t>rep2</t>
        </is>
      </c>
      <c r="E128" s="12" t="inlineStr">
        <is>
          <t>rep3</t>
        </is>
      </c>
      <c r="F128" s="12" t="inlineStr">
        <is>
          <t>rep4</t>
        </is>
      </c>
      <c r="G128" s="12" t="inlineStr">
        <is>
          <t>rep5</t>
        </is>
      </c>
      <c r="H128" s="12" t="inlineStr">
        <is>
          <t>rep6</t>
        </is>
      </c>
      <c r="I128" s="12" t="inlineStr">
        <is>
          <t>best</t>
        </is>
      </c>
      <c r="J128" s="12" t="inlineStr">
        <is>
          <t>best#</t>
        </is>
      </c>
      <c r="K128" s="12" t="inlineStr">
        <is>
          <t>VL%</t>
        </is>
      </c>
      <c r="L128" s="12" t="inlineStr">
        <is>
          <t>stop_th</t>
        </is>
      </c>
      <c r="M128" s="12" t="inlineStr">
        <is>
          <t>latest</t>
        </is>
      </c>
      <c r="N128" s="12" t="inlineStr">
        <is>
          <t>VL_flag</t>
        </is>
      </c>
      <c r="O128" s="12" t="inlineStr">
        <is>
          <t>safety</t>
        </is>
      </c>
      <c r="P128" s="12" t="inlineStr">
        <is>
          <t>原因</t>
        </is>
      </c>
      <c r="Q128" s="12" t="inlineStr">
        <is>
          <t>建议</t>
        </is>
      </c>
      <c r="R128" s="12" t="inlineStr">
        <is>
          <t>次数</t>
        </is>
      </c>
    </row>
    <row r="129">
      <c r="A129" s="7" t="n">
        <v>1</v>
      </c>
      <c r="B129" s="9">
        <f>IFERROR(K127,"")</f>
        <v/>
      </c>
      <c r="C129" s="9" t="n"/>
      <c r="D129" s="9" t="n"/>
      <c r="E129" s="9" t="n"/>
      <c r="F129" s="9" t="n"/>
      <c r="G129" s="9" t="n"/>
      <c r="H129" s="9" t="n"/>
      <c r="I129" s="7">
        <f>IFERROR(MAX(C129:H129),"")</f>
        <v/>
      </c>
      <c r="J129" s="7">
        <f>IFERROR(MATCH(I129,C129:H129,0),"")</f>
        <v/>
      </c>
      <c r="K129" s="7" t="n">
        <v>18</v>
      </c>
      <c r="L129" s="7">
        <f>IFERROR(I129*(1-(K129/100)),"")</f>
        <v/>
      </c>
      <c r="M129" s="7">
        <f>IFERROR(LOOKUP(9.99E+307,C129:H129),"")</f>
        <v/>
      </c>
      <c r="N129" s="7">
        <f>IFERROR(IF(M129="","",IF(M129&lt;=N129,"停组🛑","继续✓")),"")</f>
        <v/>
      </c>
      <c r="O129" s="7">
        <f>IFERROR(IF(M129="","",IF(M129&lt;0.15,"SAFETY_STOP","")),"")</f>
        <v/>
      </c>
      <c r="P129" s="7">
        <f>IFERROR(IF(M129="","",IF(M129&lt;0.15,"SAFETY_STOP",IF(M129&lt;=N129,"VL_THRESHOLD",""))),"")</f>
        <v/>
      </c>
      <c r="Q129" s="7">
        <f>IFERROR(IF(I129="","",IF(I129&gt;(0.6+0.05),"+5kg",IF(I129&gt;(0.6+0.02),"+2.5kg",IF(I129&gt;=(0.6-0.05),"保持",IF(I129&gt;=(0.6-0.08),"-2.5kg","-5kg"))))),"")</f>
        <v/>
      </c>
      <c r="R129" s="9" t="n"/>
    </row>
    <row r="130">
      <c r="A130" s="7" t="n">
        <v>2</v>
      </c>
      <c r="B130" s="9" t="n"/>
      <c r="C130" s="9" t="n"/>
      <c r="D130" s="9" t="n"/>
      <c r="E130" s="9" t="n"/>
      <c r="F130" s="9" t="n"/>
      <c r="G130" s="9" t="n"/>
      <c r="H130" s="9" t="n"/>
      <c r="I130" s="7">
        <f>IFERROR(MAX(C130:H130),"")</f>
        <v/>
      </c>
      <c r="J130" s="7">
        <f>IFERROR(MATCH(I130,C130:H130,0),"")</f>
        <v/>
      </c>
      <c r="K130" s="7" t="n">
        <v>18</v>
      </c>
      <c r="L130" s="7">
        <f>IFERROR(I130*(1-(K130/100)),"")</f>
        <v/>
      </c>
      <c r="M130" s="7">
        <f>IFERROR(LOOKUP(9.99E+307,C130:H130),"")</f>
        <v/>
      </c>
      <c r="N130" s="7">
        <f>IFERROR(IF(M130="","",IF(M130&lt;=N130,"停组🛑","继续✓")),"")</f>
        <v/>
      </c>
      <c r="O130" s="7">
        <f>IFERROR(IF(M130="","",IF(M130&lt;0.15,"SAFETY_STOP","")),"")</f>
        <v/>
      </c>
      <c r="P130" s="7">
        <f>IFERROR(IF(M130="","",IF(M130&lt;0.15,"SAFETY_STOP",IF(M130&lt;=N130,"VL_THRESHOLD",""))),"")</f>
        <v/>
      </c>
      <c r="Q130" s="7">
        <f>IFERROR(IF(I130="","",IF(I130&gt;(0.6+0.05),"+5kg",IF(I130&gt;(0.6+0.02),"+2.5kg",IF(I130&gt;=(0.6-0.05),"保持",IF(I130&gt;=(0.6-0.08),"-2.5kg","-5kg"))))),"")</f>
        <v/>
      </c>
      <c r="R130" s="9" t="n"/>
    </row>
    <row r="131">
      <c r="A131" s="7" t="n">
        <v>3</v>
      </c>
      <c r="B131" s="9" t="n"/>
      <c r="C131" s="9" t="n"/>
      <c r="D131" s="9" t="n"/>
      <c r="E131" s="9" t="n"/>
      <c r="F131" s="9" t="n"/>
      <c r="G131" s="9" t="n"/>
      <c r="H131" s="9" t="n"/>
      <c r="I131" s="7">
        <f>IFERROR(MAX(C131:H131),"")</f>
        <v/>
      </c>
      <c r="J131" s="7">
        <f>IFERROR(MATCH(I131,C131:H131,0),"")</f>
        <v/>
      </c>
      <c r="K131" s="7" t="n">
        <v>18</v>
      </c>
      <c r="L131" s="7">
        <f>IFERROR(I131*(1-(K131/100)),"")</f>
        <v/>
      </c>
      <c r="M131" s="7">
        <f>IFERROR(LOOKUP(9.99E+307,C131:H131),"")</f>
        <v/>
      </c>
      <c r="N131" s="7">
        <f>IFERROR(IF(M131="","",IF(M131&lt;=N131,"停组🛑","继续✓")),"")</f>
        <v/>
      </c>
      <c r="O131" s="7">
        <f>IFERROR(IF(M131="","",IF(M131&lt;0.15,"SAFETY_STOP","")),"")</f>
        <v/>
      </c>
      <c r="P131" s="7">
        <f>IFERROR(IF(M131="","",IF(M131&lt;0.15,"SAFETY_STOP",IF(M131&lt;=N131,"VL_THRESHOLD",""))),"")</f>
        <v/>
      </c>
      <c r="Q131" s="7">
        <f>IFERROR(IF(I131="","",IF(I131&gt;(0.6+0.05),"+5kg",IF(I131&gt;(0.6+0.02),"+2.5kg",IF(I131&gt;=(0.6-0.05),"保持",IF(I131&gt;=(0.6-0.08),"-2.5kg","-5kg"))))),"")</f>
        <v/>
      </c>
      <c r="R131" s="9" t="n"/>
    </row>
    <row r="132">
      <c r="A132" s="7" t="n">
        <v>4</v>
      </c>
      <c r="B132" s="9" t="n"/>
      <c r="C132" s="9" t="n"/>
      <c r="D132" s="9" t="n"/>
      <c r="E132" s="9" t="n"/>
      <c r="F132" s="9" t="n"/>
      <c r="G132" s="9" t="n"/>
      <c r="H132" s="9" t="n"/>
      <c r="I132" s="7">
        <f>IFERROR(MAX(C132:H132),"")</f>
        <v/>
      </c>
      <c r="J132" s="7">
        <f>IFERROR(MATCH(I132,C132:H132,0),"")</f>
        <v/>
      </c>
      <c r="K132" s="7" t="n">
        <v>18</v>
      </c>
      <c r="L132" s="7">
        <f>IFERROR(I132*(1-(K132/100)),"")</f>
        <v/>
      </c>
      <c r="M132" s="7">
        <f>IFERROR(LOOKUP(9.99E+307,C132:H132),"")</f>
        <v/>
      </c>
      <c r="N132" s="7">
        <f>IFERROR(IF(M132="","",IF(M132&lt;=N132,"停组🛑","继续✓")),"")</f>
        <v/>
      </c>
      <c r="O132" s="7">
        <f>IFERROR(IF(M132="","",IF(M132&lt;0.15,"SAFETY_STOP","")),"")</f>
        <v/>
      </c>
      <c r="P132" s="7">
        <f>IFERROR(IF(M132="","",IF(M132&lt;0.15,"SAFETY_STOP",IF(M132&lt;=N132,"VL_THRESHOLD",""))),"")</f>
        <v/>
      </c>
      <c r="Q132" s="7">
        <f>IFERROR(IF(I132="","",IF(I132&gt;(0.6+0.05),"+5kg",IF(I132&gt;(0.6+0.02),"+2.5kg",IF(I132&gt;=(0.6-0.05),"保持",IF(I132&gt;=(0.6-0.08),"-2.5kg","-5kg"))))),"")</f>
        <v/>
      </c>
      <c r="R132" s="9" t="n"/>
    </row>
    <row r="133">
      <c r="A133" s="7" t="n">
        <v>5</v>
      </c>
      <c r="B133" s="9" t="n"/>
      <c r="C133" s="9" t="n"/>
      <c r="D133" s="9" t="n"/>
      <c r="E133" s="9" t="n"/>
      <c r="F133" s="9" t="n"/>
      <c r="G133" s="9" t="n"/>
      <c r="H133" s="9" t="n"/>
      <c r="I133" s="7">
        <f>IFERROR(MAX(C133:H133),"")</f>
        <v/>
      </c>
      <c r="J133" s="7">
        <f>IFERROR(MATCH(I133,C133:H133,0),"")</f>
        <v/>
      </c>
      <c r="K133" s="7" t="n">
        <v>18</v>
      </c>
      <c r="L133" s="7">
        <f>IFERROR(I133*(1-(K133/100)),"")</f>
        <v/>
      </c>
      <c r="M133" s="7">
        <f>IFERROR(LOOKUP(9.99E+307,C133:H133),"")</f>
        <v/>
      </c>
      <c r="N133" s="7">
        <f>IFERROR(IF(M133="","",IF(M133&lt;=N133,"停组🛑","继续✓")),"")</f>
        <v/>
      </c>
      <c r="O133" s="7">
        <f>IFERROR(IF(M133="","",IF(M133&lt;0.15,"SAFETY_STOP","")),"")</f>
        <v/>
      </c>
      <c r="P133" s="7">
        <f>IFERROR(IF(M133="","",IF(M133&lt;0.15,"SAFETY_STOP",IF(M133&lt;=N133,"VL_THRESHOLD",""))),"")</f>
        <v/>
      </c>
      <c r="Q133" s="7">
        <f>IFERROR(IF(I133="","",IF(I133&gt;(0.6+0.05),"+5kg",IF(I133&gt;(0.6+0.02),"+2.5kg",IF(I133&gt;=(0.6-0.05),"保持",IF(I133&gt;=(0.6-0.08),"-2.5kg","-5kg"))))),"")</f>
        <v/>
      </c>
      <c r="R133" s="9" t="n"/>
    </row>
    <row r="134">
      <c r="A134" s="7" t="n">
        <v>6</v>
      </c>
      <c r="B134" s="9" t="n"/>
      <c r="C134" s="9" t="n"/>
      <c r="D134" s="9" t="n"/>
      <c r="E134" s="9" t="n"/>
      <c r="F134" s="9" t="n"/>
      <c r="G134" s="9" t="n"/>
      <c r="H134" s="9" t="n"/>
      <c r="I134" s="7">
        <f>IFERROR(MAX(C134:H134),"")</f>
        <v/>
      </c>
      <c r="J134" s="7">
        <f>IFERROR(MATCH(I134,C134:H134,0),"")</f>
        <v/>
      </c>
      <c r="K134" s="7" t="n">
        <v>18</v>
      </c>
      <c r="L134" s="7">
        <f>IFERROR(I134*(1-(K134/100)),"")</f>
        <v/>
      </c>
      <c r="M134" s="7">
        <f>IFERROR(LOOKUP(9.99E+307,C134:H134),"")</f>
        <v/>
      </c>
      <c r="N134" s="7">
        <f>IFERROR(IF(M134="","",IF(M134&lt;=N134,"停组🛑","继续✓")),"")</f>
        <v/>
      </c>
      <c r="O134" s="7">
        <f>IFERROR(IF(M134="","",IF(M134&lt;0.15,"SAFETY_STOP","")),"")</f>
        <v/>
      </c>
      <c r="P134" s="7">
        <f>IFERROR(IF(M134="","",IF(M134&lt;0.15,"SAFETY_STOP",IF(M134&lt;=N134,"VL_THRESHOLD",""))),"")</f>
        <v/>
      </c>
      <c r="Q134" s="7">
        <f>IFERROR(IF(I134="","",IF(I134&gt;(0.6+0.05),"+5kg",IF(I134&gt;(0.6+0.02),"+2.5kg",IF(I134&gt;=(0.6-0.05),"保持",IF(I134&gt;=(0.6-0.08),"-2.5kg","-5kg"))))),"")</f>
        <v/>
      </c>
      <c r="R134" s="9" t="n"/>
    </row>
    <row r="135">
      <c r="A135" s="13" t="inlineStr">
        <is>
          <t>辅助</t>
        </is>
      </c>
      <c r="D135" s="14" t="inlineStr">
        <is>
          <t>RDL</t>
        </is>
      </c>
      <c r="E135" s="14" t="inlineStr">
        <is>
          <t>负荷</t>
        </is>
      </c>
      <c r="F135" s="14" t="inlineStr">
        <is>
          <t>完成</t>
        </is>
      </c>
      <c r="I135" t="inlineStr">
        <is>
          <t>VL</t>
        </is>
      </c>
    </row>
    <row r="136">
      <c r="A136" s="15" t="inlineStr">
        <is>
          <t>训练后</t>
        </is>
      </c>
      <c r="B136" s="15" t="inlineStr">
        <is>
          <t>开始</t>
        </is>
      </c>
      <c r="C136" s="15" t="inlineStr">
        <is>
          <t>结束</t>
        </is>
      </c>
      <c r="D136" s="15" t="inlineStr">
        <is>
          <t>时长min</t>
        </is>
      </c>
      <c r="E136" s="15" t="inlineStr">
        <is>
          <t>sRPE</t>
        </is>
      </c>
      <c r="F136" s="15" t="inlineStr">
        <is>
          <t>load</t>
        </is>
      </c>
      <c r="G136" s="15" t="inlineStr">
        <is>
          <t>不适?</t>
        </is>
      </c>
      <c r="H136" s="15" t="inlineStr">
        <is>
          <t>备注</t>
        </is>
      </c>
      <c r="I136" s="15" t="inlineStr">
        <is>
          <t>签名</t>
        </is>
      </c>
    </row>
    <row r="137">
      <c r="A137" s="7" t="n"/>
      <c r="B137" s="9" t="n"/>
      <c r="C137" s="9" t="n"/>
      <c r="D137" s="11">
        <f>IFERROR((C137-B137)*1440,"")</f>
        <v/>
      </c>
      <c r="E137" s="9" t="n"/>
      <c r="F137" s="11">
        <f>IFERROR(E137*D137,"")</f>
        <v/>
      </c>
      <c r="G137" s="9" t="n"/>
      <c r="H137" s="9" t="n"/>
      <c r="I137" s="9" t="n"/>
    </row>
    <row r="138">
      <c r="A138" s="16" t="inlineStr">
        <is>
          <t>跳跃</t>
        </is>
      </c>
      <c r="B138" s="16" t="inlineStr">
        <is>
          <t>类型</t>
        </is>
      </c>
      <c r="C138" s="16" t="inlineStr">
        <is>
          <t>组×次</t>
        </is>
      </c>
      <c r="D138" s="16" t="inlineStr">
        <is>
          <t>负荷kg</t>
        </is>
      </c>
      <c r="E138" s="16" t="inlineStr">
        <is>
          <t>接触</t>
        </is>
      </c>
    </row>
    <row r="139">
      <c r="B139" t="inlineStr">
        <is>
          <t>CMJ</t>
        </is>
      </c>
      <c r="C139" t="inlineStr">
        <is>
          <t>3×3</t>
        </is>
      </c>
      <c r="D139" t="n">
        <v>0</v>
      </c>
      <c r="E139" t="n">
        <v>9</v>
      </c>
    </row>
    <row r="140">
      <c r="B140" t="inlineStr">
        <is>
          <t>箱跳</t>
        </is>
      </c>
      <c r="C140" t="inlineStr">
        <is>
          <t>2×3</t>
        </is>
      </c>
      <c r="D140" t="n">
        <v>0</v>
      </c>
      <c r="E140" t="n">
        <v>6</v>
      </c>
    </row>
    <row r="141">
      <c r="A141" s="17" t="inlineStr">
        <is>
          <t>▶ 暴露量汇总</t>
        </is>
      </c>
      <c r="B141" s="17" t="inlineStr">
        <is>
          <t>说明</t>
        </is>
      </c>
      <c r="C141" s="17" t="inlineStr">
        <is>
          <t>公式/来源</t>
        </is>
      </c>
      <c r="D141" s="17" t="inlineStr">
        <is>
          <t>数值</t>
        </is>
      </c>
    </row>
    <row r="142">
      <c r="A142" s="18" t="inlineStr">
        <is>
          <t>① 无负荷跳跃接触</t>
        </is>
      </c>
      <c r="B142" s="18" t="inlineStr">
        <is>
          <t>CMJ+SJ+箱跳</t>
        </is>
      </c>
      <c r="C142" s="19">
        <f>IFERROR(E139+E140,2)</f>
        <v/>
      </c>
    </row>
    <row r="143">
      <c r="A143" s="18" t="inlineStr">
        <is>
          <t>② 负重跳跃接触</t>
        </is>
      </c>
      <c r="B143" s="18" t="inlineStr">
        <is>
          <t>负重深蹲跳</t>
        </is>
      </c>
      <c r="C143" s="19">
        <f>IFERROR(E139,"")</f>
        <v/>
      </c>
    </row>
    <row r="144">
      <c r="A144" s="18" t="inlineStr">
        <is>
          <t>③ 跳跃总计</t>
        </is>
      </c>
      <c r="B144" s="18" t="inlineStr">
        <is>
          <t>①+②</t>
        </is>
      </c>
      <c r="C144" s="19">
        <f>IFERROR(B142+B143,"")</f>
        <v/>
      </c>
    </row>
    <row r="145">
      <c r="A145" s="18" t="inlineStr">
        <is>
          <t>④ 热身VL</t>
        </is>
      </c>
      <c r="B145" s="18" t="inlineStr">
        <is>
          <t>20×5+50%×3(+70%×2)</t>
        </is>
      </c>
      <c r="C145" s="19">
        <f>IFERROR(20*5+ROUND(V125*0.5,0)*3+ROUND(V{dr}*0.7,0)*2,"-")</f>
        <v/>
      </c>
    </row>
    <row r="146">
      <c r="A146" s="20" t="inlineStr">
        <is>
          <t>⑤ 主项工作组VL ★</t>
        </is>
      </c>
      <c r="B146" s="20" t="inlineStr">
        <is>
          <t>Σ(负荷×次数)</t>
        </is>
      </c>
      <c r="C146" s="21">
        <f>SUMPRODUCT($B$129:$B$134,$R$129:$R$134)</f>
        <v/>
      </c>
    </row>
    <row r="147">
      <c r="A147" s="18" t="inlineStr">
        <is>
          <t>⑥ 主项总VL</t>
        </is>
      </c>
      <c r="B147" s="18" t="inlineStr">
        <is>
          <t>④+⑤</t>
        </is>
      </c>
      <c r="C147" s="19">
        <f>IFERROR(D142+D143,"")</f>
        <v/>
      </c>
    </row>
    <row r="148">
      <c r="A148" s="18" t="inlineStr">
        <is>
          <t>⑦ 辅助VL</t>
        </is>
      </c>
      <c r="B148" s="18" t="inlineStr">
        <is>
          <t>RDL/保加利亚</t>
        </is>
      </c>
      <c r="C148" s="19">
        <f>IFERROR(I135,"")</f>
        <v/>
      </c>
    </row>
    <row r="149">
      <c r="A149" s="18" t="inlineStr">
        <is>
          <t>⑧ 总外部负荷</t>
        </is>
      </c>
      <c r="B149" s="18" t="inlineStr">
        <is>
          <t>⑥+⑦(+负重跳)</t>
        </is>
      </c>
      <c r="C149" s="19">
        <f>IFERROR(F142+G142,"")</f>
        <v/>
      </c>
    </row>
    <row r="150">
      <c r="A150" s="18" t="inlineStr">
        <is>
          <t>⑨ sRPE load</t>
        </is>
      </c>
      <c r="B150" s="18" t="inlineStr">
        <is>
          <t>sRPE×时长</t>
        </is>
      </c>
      <c r="C150" s="19">
        <f>IFERROR(F137,"")</f>
        <v/>
      </c>
    </row>
    <row r="153">
      <c r="A153" s="5" t="inlineStr">
        <is>
          <t>P011 朱怀远  a=1.258 b=-0.00613 1RM=125</t>
        </is>
      </c>
    </row>
    <row r="154">
      <c r="A154" s="6" t="inlineStr">
        <is>
          <t>编号</t>
        </is>
      </c>
      <c r="B154" s="6" t="inlineStr">
        <is>
          <t>姓名</t>
        </is>
      </c>
      <c r="C154" s="6" t="inlineStr">
        <is>
          <t>身高</t>
        </is>
      </c>
      <c r="D154" s="6" t="inlineStr">
        <is>
          <t>1RM</t>
        </is>
      </c>
      <c r="E154" s="6" t="inlineStr">
        <is>
          <t>Hooper睡</t>
        </is>
      </c>
      <c r="F154" s="6" t="inlineStr">
        <is>
          <t>Hooper压</t>
        </is>
      </c>
      <c r="G154" s="6" t="inlineStr">
        <is>
          <t>Hooper疲</t>
        </is>
      </c>
      <c r="H154" s="6" t="inlineStr">
        <is>
          <t>Hooper酸</t>
        </is>
      </c>
      <c r="I154" s="6" t="inlineStr">
        <is>
          <t>H总</t>
        </is>
      </c>
      <c r="J154" s="6" t="inlineStr">
        <is>
          <t>不适?</t>
        </is>
      </c>
      <c r="K154" s="6" t="inlineStr">
        <is>
          <t>说明</t>
        </is>
      </c>
      <c r="L154" s="6" t="inlineStr">
        <is>
          <t>CMJ1</t>
        </is>
      </c>
      <c r="M154" s="6" t="inlineStr">
        <is>
          <t>CMJ2</t>
        </is>
      </c>
      <c r="N154" s="6" t="inlineStr">
        <is>
          <t>CMJ3</t>
        </is>
      </c>
      <c r="O154" s="6" t="inlineStr">
        <is>
          <t>CMJμ</t>
        </is>
      </c>
      <c r="P154" s="6" t="inlineStr">
        <is>
          <t>&lt;95%</t>
        </is>
      </c>
      <c r="Q154" s="6" t="inlineStr">
        <is>
          <t>减组</t>
        </is>
      </c>
      <c r="R154" s="6" t="inlineStr">
        <is>
          <t>组数</t>
        </is>
      </c>
      <c r="S154" s="6" t="inlineStr">
        <is>
          <t>a(V0)</t>
        </is>
      </c>
      <c r="T154" s="6" t="inlineStr">
        <is>
          <t>b</t>
        </is>
      </c>
      <c r="U154" s="6" t="inlineStr">
        <is>
          <t>等级</t>
        </is>
      </c>
      <c r="V154" s="6" t="inlineStr">
        <is>
          <t>预测起始</t>
        </is>
      </c>
    </row>
    <row r="155">
      <c r="A155" s="7" t="inlineStr">
        <is>
          <t>P011</t>
        </is>
      </c>
      <c r="B155" s="7" t="inlineStr">
        <is>
          <t>朱怀远</t>
        </is>
      </c>
      <c r="C155" s="7" t="n">
        <v>165</v>
      </c>
      <c r="D155" s="8" t="n">
        <v>125</v>
      </c>
      <c r="E155" s="9" t="n"/>
      <c r="F155" s="9" t="n"/>
      <c r="G155" s="9" t="n"/>
      <c r="H155" s="9" t="n"/>
      <c r="I155" s="7">
        <f>IFERROR(SUM(E155:H155),"")</f>
        <v/>
      </c>
      <c r="J155" s="9" t="n"/>
      <c r="K155" s="9" t="n"/>
      <c r="L155" s="9" t="n"/>
      <c r="M155" s="9" t="n"/>
      <c r="N155" s="9" t="n"/>
      <c r="O155" s="7">
        <f>IFERROR(AVERAGE(L155:N155),"")</f>
        <v/>
      </c>
      <c r="P155" s="7">
        <f>IF(O155="","",IF(O155&lt;64.98,"是⚠","否"))</f>
        <v/>
      </c>
      <c r="Q155" s="7">
        <f>IF(O155="","",IF(O155&lt;64.98,4-1,4))</f>
        <v/>
      </c>
      <c r="R155" s="7" t="n"/>
      <c r="S155" s="8" t="n">
        <v>1.258</v>
      </c>
      <c r="T155" s="8" t="n">
        <v>-0.00613</v>
      </c>
      <c r="U155" s="7" t="inlineStr">
        <is>
          <t>D</t>
        </is>
      </c>
      <c r="V155" s="8" t="n">
        <v>107.5</v>
      </c>
    </row>
    <row r="156">
      <c r="A156" s="10" t="inlineStr">
        <is>
          <t>热身校准</t>
        </is>
      </c>
      <c r="B156" s="10" t="inlineStr">
        <is>
          <t>a</t>
        </is>
      </c>
      <c r="C156" s="10" t="inlineStr">
        <is>
          <t>b</t>
        </is>
      </c>
      <c r="D156" s="10" t="inlineStr">
        <is>
          <t>50%热身</t>
        </is>
      </c>
      <c r="E156" s="10" t="inlineStr">
        <is>
          <t>70%热身</t>
        </is>
      </c>
      <c r="F156" s="10" t="inlineStr">
        <is>
          <t>热身负荷</t>
        </is>
      </c>
      <c r="G156" s="10" t="inlineStr">
        <is>
          <t>实测MCV</t>
        </is>
      </c>
      <c r="H156" s="10" t="inlineStr">
        <is>
          <t>预测MCV</t>
        </is>
      </c>
      <c r="I156" s="10" t="inlineStr">
        <is>
          <t>Δv</t>
        </is>
      </c>
      <c r="J156" s="10" t="inlineStr">
        <is>
          <t>调整量</t>
        </is>
      </c>
      <c r="K156" s="10" t="inlineStr">
        <is>
          <t>校准第1组</t>
        </is>
      </c>
    </row>
    <row r="157">
      <c r="A157" s="7" t="n"/>
      <c r="B157" s="11" t="n">
        <v>1.258</v>
      </c>
      <c r="C157" s="11" t="n">
        <v>-0.00613</v>
      </c>
      <c r="D157" s="11">
        <f>IFERROR(ROUND(V155*0.5/2.5,0)*2.5,"")</f>
        <v/>
      </c>
      <c r="E157" s="11">
        <f>IFERROR(ROUND(V155*0.7/2.5,0)*2.5,"")</f>
        <v/>
      </c>
      <c r="F157" s="11">
        <f>IFERROR(ROUND(V155*0.6/2.5,0)*2.5,"")</f>
        <v/>
      </c>
      <c r="G157" s="9" t="n"/>
      <c r="H157" s="11">
        <f>IFERROR(B157+C157*F157,"")</f>
        <v/>
      </c>
      <c r="I157" s="11">
        <f>IFERROR(G157-H157,"")</f>
        <v/>
      </c>
      <c r="J157" s="11">
        <f>IFERROR(IF(I157&gt;0.08,5,IF(I157&gt;0.04,2.5,IF(I157&gt;=-0.04,0,IF(I157&gt;=-0.08,-2.5,-5)))),"")</f>
        <v/>
      </c>
      <c r="K157" s="11">
        <f>IFERROR(ROUND(V155+J157,0),"")</f>
        <v/>
      </c>
    </row>
    <row r="158">
      <c r="A158" s="12" t="inlineStr">
        <is>
          <t>组</t>
        </is>
      </c>
      <c r="B158" s="12" t="inlineStr">
        <is>
          <t>负荷</t>
        </is>
      </c>
      <c r="C158" s="12" t="inlineStr">
        <is>
          <t>rep1</t>
        </is>
      </c>
      <c r="D158" s="12" t="inlineStr">
        <is>
          <t>rep2</t>
        </is>
      </c>
      <c r="E158" s="12" t="inlineStr">
        <is>
          <t>rep3</t>
        </is>
      </c>
      <c r="F158" s="12" t="inlineStr">
        <is>
          <t>rep4</t>
        </is>
      </c>
      <c r="G158" s="12" t="inlineStr">
        <is>
          <t>rep5</t>
        </is>
      </c>
      <c r="H158" s="12" t="inlineStr">
        <is>
          <t>rep6</t>
        </is>
      </c>
      <c r="I158" s="12" t="inlineStr">
        <is>
          <t>best</t>
        </is>
      </c>
      <c r="J158" s="12" t="inlineStr">
        <is>
          <t>best#</t>
        </is>
      </c>
      <c r="K158" s="12" t="inlineStr">
        <is>
          <t>VL%</t>
        </is>
      </c>
      <c r="L158" s="12" t="inlineStr">
        <is>
          <t>stop_th</t>
        </is>
      </c>
      <c r="M158" s="12" t="inlineStr">
        <is>
          <t>latest</t>
        </is>
      </c>
      <c r="N158" s="12" t="inlineStr">
        <is>
          <t>VL_flag</t>
        </is>
      </c>
      <c r="O158" s="12" t="inlineStr">
        <is>
          <t>safety</t>
        </is>
      </c>
      <c r="P158" s="12" t="inlineStr">
        <is>
          <t>原因</t>
        </is>
      </c>
      <c r="Q158" s="12" t="inlineStr">
        <is>
          <t>建议</t>
        </is>
      </c>
      <c r="R158" s="12" t="inlineStr">
        <is>
          <t>次数</t>
        </is>
      </c>
    </row>
    <row r="159">
      <c r="A159" s="7" t="n">
        <v>1</v>
      </c>
      <c r="B159" s="9">
        <f>IFERROR(K157,"")</f>
        <v/>
      </c>
      <c r="C159" s="9" t="n"/>
      <c r="D159" s="9" t="n"/>
      <c r="E159" s="9" t="n"/>
      <c r="F159" s="9" t="n"/>
      <c r="G159" s="9" t="n"/>
      <c r="H159" s="9" t="n"/>
      <c r="I159" s="7">
        <f>IFERROR(MAX(C159:H159),"")</f>
        <v/>
      </c>
      <c r="J159" s="7">
        <f>IFERROR(MATCH(I159,C159:H159,0),"")</f>
        <v/>
      </c>
      <c r="K159" s="7" t="n">
        <v>18</v>
      </c>
      <c r="L159" s="7">
        <f>IFERROR(I159*(1-(K159/100)),"")</f>
        <v/>
      </c>
      <c r="M159" s="7">
        <f>IFERROR(LOOKUP(9.99E+307,C159:H159),"")</f>
        <v/>
      </c>
      <c r="N159" s="7">
        <f>IFERROR(IF(M159="","",IF(M159&lt;=N159,"停组🛑","继续✓")),"")</f>
        <v/>
      </c>
      <c r="O159" s="7">
        <f>IFERROR(IF(M159="","",IF(M159&lt;0.15,"SAFETY_STOP","")),"")</f>
        <v/>
      </c>
      <c r="P159" s="7">
        <f>IFERROR(IF(M159="","",IF(M159&lt;0.15,"SAFETY_STOP",IF(M159&lt;=N159,"VL_THRESHOLD",""))),"")</f>
        <v/>
      </c>
      <c r="Q159" s="7">
        <f>IFERROR(IF(I159="","",IF(I159&gt;(0.6+0.05),"+5kg",IF(I159&gt;(0.6+0.02),"+2.5kg",IF(I159&gt;=(0.6-0.05),"保持",IF(I159&gt;=(0.6-0.08),"-2.5kg","-5kg"))))),"")</f>
        <v/>
      </c>
      <c r="R159" s="9" t="n"/>
    </row>
    <row r="160">
      <c r="A160" s="7" t="n">
        <v>2</v>
      </c>
      <c r="B160" s="9" t="n"/>
      <c r="C160" s="9" t="n"/>
      <c r="D160" s="9" t="n"/>
      <c r="E160" s="9" t="n"/>
      <c r="F160" s="9" t="n"/>
      <c r="G160" s="9" t="n"/>
      <c r="H160" s="9" t="n"/>
      <c r="I160" s="7">
        <f>IFERROR(MAX(C160:H160),"")</f>
        <v/>
      </c>
      <c r="J160" s="7">
        <f>IFERROR(MATCH(I160,C160:H160,0),"")</f>
        <v/>
      </c>
      <c r="K160" s="7" t="n">
        <v>18</v>
      </c>
      <c r="L160" s="7">
        <f>IFERROR(I160*(1-(K160/100)),"")</f>
        <v/>
      </c>
      <c r="M160" s="7">
        <f>IFERROR(LOOKUP(9.99E+307,C160:H160),"")</f>
        <v/>
      </c>
      <c r="N160" s="7">
        <f>IFERROR(IF(M160="","",IF(M160&lt;=N160,"停组🛑","继续✓")),"")</f>
        <v/>
      </c>
      <c r="O160" s="7">
        <f>IFERROR(IF(M160="","",IF(M160&lt;0.15,"SAFETY_STOP","")),"")</f>
        <v/>
      </c>
      <c r="P160" s="7">
        <f>IFERROR(IF(M160="","",IF(M160&lt;0.15,"SAFETY_STOP",IF(M160&lt;=N160,"VL_THRESHOLD",""))),"")</f>
        <v/>
      </c>
      <c r="Q160" s="7">
        <f>IFERROR(IF(I160="","",IF(I160&gt;(0.6+0.05),"+5kg",IF(I160&gt;(0.6+0.02),"+2.5kg",IF(I160&gt;=(0.6-0.05),"保持",IF(I160&gt;=(0.6-0.08),"-2.5kg","-5kg"))))),"")</f>
        <v/>
      </c>
      <c r="R160" s="9" t="n"/>
    </row>
    <row r="161">
      <c r="A161" s="7" t="n">
        <v>3</v>
      </c>
      <c r="B161" s="9" t="n"/>
      <c r="C161" s="9" t="n"/>
      <c r="D161" s="9" t="n"/>
      <c r="E161" s="9" t="n"/>
      <c r="F161" s="9" t="n"/>
      <c r="G161" s="9" t="n"/>
      <c r="H161" s="9" t="n"/>
      <c r="I161" s="7">
        <f>IFERROR(MAX(C161:H161),"")</f>
        <v/>
      </c>
      <c r="J161" s="7">
        <f>IFERROR(MATCH(I161,C161:H161,0),"")</f>
        <v/>
      </c>
      <c r="K161" s="7" t="n">
        <v>18</v>
      </c>
      <c r="L161" s="7">
        <f>IFERROR(I161*(1-(K161/100)),"")</f>
        <v/>
      </c>
      <c r="M161" s="7">
        <f>IFERROR(LOOKUP(9.99E+307,C161:H161),"")</f>
        <v/>
      </c>
      <c r="N161" s="7">
        <f>IFERROR(IF(M161="","",IF(M161&lt;=N161,"停组🛑","继续✓")),"")</f>
        <v/>
      </c>
      <c r="O161" s="7">
        <f>IFERROR(IF(M161="","",IF(M161&lt;0.15,"SAFETY_STOP","")),"")</f>
        <v/>
      </c>
      <c r="P161" s="7">
        <f>IFERROR(IF(M161="","",IF(M161&lt;0.15,"SAFETY_STOP",IF(M161&lt;=N161,"VL_THRESHOLD",""))),"")</f>
        <v/>
      </c>
      <c r="Q161" s="7">
        <f>IFERROR(IF(I161="","",IF(I161&gt;(0.6+0.05),"+5kg",IF(I161&gt;(0.6+0.02),"+2.5kg",IF(I161&gt;=(0.6-0.05),"保持",IF(I161&gt;=(0.6-0.08),"-2.5kg","-5kg"))))),"")</f>
        <v/>
      </c>
      <c r="R161" s="9" t="n"/>
    </row>
    <row r="162">
      <c r="A162" s="7" t="n">
        <v>4</v>
      </c>
      <c r="B162" s="9" t="n"/>
      <c r="C162" s="9" t="n"/>
      <c r="D162" s="9" t="n"/>
      <c r="E162" s="9" t="n"/>
      <c r="F162" s="9" t="n"/>
      <c r="G162" s="9" t="n"/>
      <c r="H162" s="9" t="n"/>
      <c r="I162" s="7">
        <f>IFERROR(MAX(C162:H162),"")</f>
        <v/>
      </c>
      <c r="J162" s="7">
        <f>IFERROR(MATCH(I162,C162:H162,0),"")</f>
        <v/>
      </c>
      <c r="K162" s="7" t="n">
        <v>18</v>
      </c>
      <c r="L162" s="7">
        <f>IFERROR(I162*(1-(K162/100)),"")</f>
        <v/>
      </c>
      <c r="M162" s="7">
        <f>IFERROR(LOOKUP(9.99E+307,C162:H162),"")</f>
        <v/>
      </c>
      <c r="N162" s="7">
        <f>IFERROR(IF(M162="","",IF(M162&lt;=N162,"停组🛑","继续✓")),"")</f>
        <v/>
      </c>
      <c r="O162" s="7">
        <f>IFERROR(IF(M162="","",IF(M162&lt;0.15,"SAFETY_STOP","")),"")</f>
        <v/>
      </c>
      <c r="P162" s="7">
        <f>IFERROR(IF(M162="","",IF(M162&lt;0.15,"SAFETY_STOP",IF(M162&lt;=N162,"VL_THRESHOLD",""))),"")</f>
        <v/>
      </c>
      <c r="Q162" s="7">
        <f>IFERROR(IF(I162="","",IF(I162&gt;(0.6+0.05),"+5kg",IF(I162&gt;(0.6+0.02),"+2.5kg",IF(I162&gt;=(0.6-0.05),"保持",IF(I162&gt;=(0.6-0.08),"-2.5kg","-5kg"))))),"")</f>
        <v/>
      </c>
      <c r="R162" s="9" t="n"/>
    </row>
    <row r="163">
      <c r="A163" s="7" t="n">
        <v>5</v>
      </c>
      <c r="B163" s="9" t="n"/>
      <c r="C163" s="9" t="n"/>
      <c r="D163" s="9" t="n"/>
      <c r="E163" s="9" t="n"/>
      <c r="F163" s="9" t="n"/>
      <c r="G163" s="9" t="n"/>
      <c r="H163" s="9" t="n"/>
      <c r="I163" s="7">
        <f>IFERROR(MAX(C163:H163),"")</f>
        <v/>
      </c>
      <c r="J163" s="7">
        <f>IFERROR(MATCH(I163,C163:H163,0),"")</f>
        <v/>
      </c>
      <c r="K163" s="7" t="n">
        <v>18</v>
      </c>
      <c r="L163" s="7">
        <f>IFERROR(I163*(1-(K163/100)),"")</f>
        <v/>
      </c>
      <c r="M163" s="7">
        <f>IFERROR(LOOKUP(9.99E+307,C163:H163),"")</f>
        <v/>
      </c>
      <c r="N163" s="7">
        <f>IFERROR(IF(M163="","",IF(M163&lt;=N163,"停组🛑","继续✓")),"")</f>
        <v/>
      </c>
      <c r="O163" s="7">
        <f>IFERROR(IF(M163="","",IF(M163&lt;0.15,"SAFETY_STOP","")),"")</f>
        <v/>
      </c>
      <c r="P163" s="7">
        <f>IFERROR(IF(M163="","",IF(M163&lt;0.15,"SAFETY_STOP",IF(M163&lt;=N163,"VL_THRESHOLD",""))),"")</f>
        <v/>
      </c>
      <c r="Q163" s="7">
        <f>IFERROR(IF(I163="","",IF(I163&gt;(0.6+0.05),"+5kg",IF(I163&gt;(0.6+0.02),"+2.5kg",IF(I163&gt;=(0.6-0.05),"保持",IF(I163&gt;=(0.6-0.08),"-2.5kg","-5kg"))))),"")</f>
        <v/>
      </c>
      <c r="R163" s="9" t="n"/>
    </row>
    <row r="164">
      <c r="A164" s="7" t="n">
        <v>6</v>
      </c>
      <c r="B164" s="9" t="n"/>
      <c r="C164" s="9" t="n"/>
      <c r="D164" s="9" t="n"/>
      <c r="E164" s="9" t="n"/>
      <c r="F164" s="9" t="n"/>
      <c r="G164" s="9" t="n"/>
      <c r="H164" s="9" t="n"/>
      <c r="I164" s="7">
        <f>IFERROR(MAX(C164:H164),"")</f>
        <v/>
      </c>
      <c r="J164" s="7">
        <f>IFERROR(MATCH(I164,C164:H164,0),"")</f>
        <v/>
      </c>
      <c r="K164" s="7" t="n">
        <v>18</v>
      </c>
      <c r="L164" s="7">
        <f>IFERROR(I164*(1-(K164/100)),"")</f>
        <v/>
      </c>
      <c r="M164" s="7">
        <f>IFERROR(LOOKUP(9.99E+307,C164:H164),"")</f>
        <v/>
      </c>
      <c r="N164" s="7">
        <f>IFERROR(IF(M164="","",IF(M164&lt;=N164,"停组🛑","继续✓")),"")</f>
        <v/>
      </c>
      <c r="O164" s="7">
        <f>IFERROR(IF(M164="","",IF(M164&lt;0.15,"SAFETY_STOP","")),"")</f>
        <v/>
      </c>
      <c r="P164" s="7">
        <f>IFERROR(IF(M164="","",IF(M164&lt;0.15,"SAFETY_STOP",IF(M164&lt;=N164,"VL_THRESHOLD",""))),"")</f>
        <v/>
      </c>
      <c r="Q164" s="7">
        <f>IFERROR(IF(I164="","",IF(I164&gt;(0.6+0.05),"+5kg",IF(I164&gt;(0.6+0.02),"+2.5kg",IF(I164&gt;=(0.6-0.05),"保持",IF(I164&gt;=(0.6-0.08),"-2.5kg","-5kg"))))),"")</f>
        <v/>
      </c>
      <c r="R164" s="9" t="n"/>
    </row>
    <row r="165">
      <c r="A165" s="13" t="inlineStr">
        <is>
          <t>辅助</t>
        </is>
      </c>
      <c r="D165" s="14" t="inlineStr">
        <is>
          <t>RDL</t>
        </is>
      </c>
      <c r="E165" s="14" t="inlineStr">
        <is>
          <t>负荷</t>
        </is>
      </c>
      <c r="F165" s="14" t="inlineStr">
        <is>
          <t>完成</t>
        </is>
      </c>
      <c r="I165" t="inlineStr">
        <is>
          <t>VL</t>
        </is>
      </c>
    </row>
    <row r="166">
      <c r="A166" s="15" t="inlineStr">
        <is>
          <t>训练后</t>
        </is>
      </c>
      <c r="B166" s="15" t="inlineStr">
        <is>
          <t>开始</t>
        </is>
      </c>
      <c r="C166" s="15" t="inlineStr">
        <is>
          <t>结束</t>
        </is>
      </c>
      <c r="D166" s="15" t="inlineStr">
        <is>
          <t>时长min</t>
        </is>
      </c>
      <c r="E166" s="15" t="inlineStr">
        <is>
          <t>sRPE</t>
        </is>
      </c>
      <c r="F166" s="15" t="inlineStr">
        <is>
          <t>load</t>
        </is>
      </c>
      <c r="G166" s="15" t="inlineStr">
        <is>
          <t>不适?</t>
        </is>
      </c>
      <c r="H166" s="15" t="inlineStr">
        <is>
          <t>备注</t>
        </is>
      </c>
      <c r="I166" s="15" t="inlineStr">
        <is>
          <t>签名</t>
        </is>
      </c>
    </row>
    <row r="167">
      <c r="A167" s="7" t="n"/>
      <c r="B167" s="9" t="n"/>
      <c r="C167" s="9" t="n"/>
      <c r="D167" s="11">
        <f>IFERROR((C167-B167)*1440,"")</f>
        <v/>
      </c>
      <c r="E167" s="9" t="n"/>
      <c r="F167" s="11">
        <f>IFERROR(E167*D167,"")</f>
        <v/>
      </c>
      <c r="G167" s="9" t="n"/>
      <c r="H167" s="9" t="n"/>
      <c r="I167" s="9" t="n"/>
    </row>
    <row r="168">
      <c r="A168" s="16" t="inlineStr">
        <is>
          <t>跳跃</t>
        </is>
      </c>
      <c r="B168" s="16" t="inlineStr">
        <is>
          <t>类型</t>
        </is>
      </c>
      <c r="C168" s="16" t="inlineStr">
        <is>
          <t>组×次</t>
        </is>
      </c>
      <c r="D168" s="16" t="inlineStr">
        <is>
          <t>负荷kg</t>
        </is>
      </c>
      <c r="E168" s="16" t="inlineStr">
        <is>
          <t>接触</t>
        </is>
      </c>
    </row>
    <row r="169">
      <c r="B169" t="inlineStr">
        <is>
          <t>CMJ</t>
        </is>
      </c>
      <c r="C169" t="inlineStr">
        <is>
          <t>3×3</t>
        </is>
      </c>
      <c r="D169" t="n">
        <v>0</v>
      </c>
      <c r="E169" t="n">
        <v>9</v>
      </c>
    </row>
    <row r="170">
      <c r="B170" t="inlineStr">
        <is>
          <t>箱跳</t>
        </is>
      </c>
      <c r="C170" t="inlineStr">
        <is>
          <t>2×3</t>
        </is>
      </c>
      <c r="D170" t="n">
        <v>0</v>
      </c>
      <c r="E170" t="n">
        <v>6</v>
      </c>
    </row>
    <row r="171">
      <c r="A171" s="17" t="inlineStr">
        <is>
          <t>▶ 暴露量汇总</t>
        </is>
      </c>
      <c r="B171" s="17" t="inlineStr">
        <is>
          <t>说明</t>
        </is>
      </c>
      <c r="C171" s="17" t="inlineStr">
        <is>
          <t>公式/来源</t>
        </is>
      </c>
      <c r="D171" s="17" t="inlineStr">
        <is>
          <t>数值</t>
        </is>
      </c>
    </row>
    <row r="172">
      <c r="A172" s="18" t="inlineStr">
        <is>
          <t>① 无负荷跳跃接触</t>
        </is>
      </c>
      <c r="B172" s="18" t="inlineStr">
        <is>
          <t>CMJ+SJ+箱跳</t>
        </is>
      </c>
      <c r="C172" s="19">
        <f>IFERROR(E169+E170,2)</f>
        <v/>
      </c>
    </row>
    <row r="173">
      <c r="A173" s="18" t="inlineStr">
        <is>
          <t>② 负重跳跃接触</t>
        </is>
      </c>
      <c r="B173" s="18" t="inlineStr">
        <is>
          <t>负重深蹲跳</t>
        </is>
      </c>
      <c r="C173" s="19">
        <f>IFERROR(E169,"")</f>
        <v/>
      </c>
    </row>
    <row r="174">
      <c r="A174" s="18" t="inlineStr">
        <is>
          <t>③ 跳跃总计</t>
        </is>
      </c>
      <c r="B174" s="18" t="inlineStr">
        <is>
          <t>①+②</t>
        </is>
      </c>
      <c r="C174" s="19">
        <f>IFERROR(B172+B173,"")</f>
        <v/>
      </c>
    </row>
    <row r="175">
      <c r="A175" s="18" t="inlineStr">
        <is>
          <t>④ 热身VL</t>
        </is>
      </c>
      <c r="B175" s="18" t="inlineStr">
        <is>
          <t>20×5+50%×3(+70%×2)</t>
        </is>
      </c>
      <c r="C175" s="19">
        <f>IFERROR(20*5+ROUND(V155*0.5,0)*3+ROUND(V{dr}*0.7,0)*2,"-")</f>
        <v/>
      </c>
    </row>
    <row r="176">
      <c r="A176" s="20" t="inlineStr">
        <is>
          <t>⑤ 主项工作组VL ★</t>
        </is>
      </c>
      <c r="B176" s="20" t="inlineStr">
        <is>
          <t>Σ(负荷×次数)</t>
        </is>
      </c>
      <c r="C176" s="21">
        <f>SUMPRODUCT($B$159:$B$164,$R$159:$R$164)</f>
        <v/>
      </c>
    </row>
    <row r="177">
      <c r="A177" s="18" t="inlineStr">
        <is>
          <t>⑥ 主项总VL</t>
        </is>
      </c>
      <c r="B177" s="18" t="inlineStr">
        <is>
          <t>④+⑤</t>
        </is>
      </c>
      <c r="C177" s="19">
        <f>IFERROR(D172+D173,"")</f>
        <v/>
      </c>
    </row>
    <row r="178">
      <c r="A178" s="18" t="inlineStr">
        <is>
          <t>⑦ 辅助VL</t>
        </is>
      </c>
      <c r="B178" s="18" t="inlineStr">
        <is>
          <t>RDL/保加利亚</t>
        </is>
      </c>
      <c r="C178" s="19">
        <f>IFERROR(I165,"")</f>
        <v/>
      </c>
    </row>
    <row r="179">
      <c r="A179" s="18" t="inlineStr">
        <is>
          <t>⑧ 总外部负荷</t>
        </is>
      </c>
      <c r="B179" s="18" t="inlineStr">
        <is>
          <t>⑥+⑦(+负重跳)</t>
        </is>
      </c>
      <c r="C179" s="19">
        <f>IFERROR(F172+G172,"")</f>
        <v/>
      </c>
    </row>
    <row r="180">
      <c r="A180" s="18" t="inlineStr">
        <is>
          <t>⑨ sRPE load</t>
        </is>
      </c>
      <c r="B180" s="18" t="inlineStr">
        <is>
          <t>sRPE×时长</t>
        </is>
      </c>
      <c r="C180" s="19">
        <f>IFERROR(F167,"")</f>
        <v/>
      </c>
    </row>
    <row r="183">
      <c r="A183" s="5" t="inlineStr">
        <is>
          <t>P016 杜遥  a=1.54 b=-0.0085 1RM=135</t>
        </is>
      </c>
    </row>
    <row r="184">
      <c r="A184" s="6" t="inlineStr">
        <is>
          <t>编号</t>
        </is>
      </c>
      <c r="B184" s="6" t="inlineStr">
        <is>
          <t>姓名</t>
        </is>
      </c>
      <c r="C184" s="6" t="inlineStr">
        <is>
          <t>身高</t>
        </is>
      </c>
      <c r="D184" s="6" t="inlineStr">
        <is>
          <t>1RM</t>
        </is>
      </c>
      <c r="E184" s="6" t="inlineStr">
        <is>
          <t>Hooper睡</t>
        </is>
      </c>
      <c r="F184" s="6" t="inlineStr">
        <is>
          <t>Hooper压</t>
        </is>
      </c>
      <c r="G184" s="6" t="inlineStr">
        <is>
          <t>Hooper疲</t>
        </is>
      </c>
      <c r="H184" s="6" t="inlineStr">
        <is>
          <t>Hooper酸</t>
        </is>
      </c>
      <c r="I184" s="6" t="inlineStr">
        <is>
          <t>H总</t>
        </is>
      </c>
      <c r="J184" s="6" t="inlineStr">
        <is>
          <t>不适?</t>
        </is>
      </c>
      <c r="K184" s="6" t="inlineStr">
        <is>
          <t>说明</t>
        </is>
      </c>
      <c r="L184" s="6" t="inlineStr">
        <is>
          <t>CMJ1</t>
        </is>
      </c>
      <c r="M184" s="6" t="inlineStr">
        <is>
          <t>CMJ2</t>
        </is>
      </c>
      <c r="N184" s="6" t="inlineStr">
        <is>
          <t>CMJ3</t>
        </is>
      </c>
      <c r="O184" s="6" t="inlineStr">
        <is>
          <t>CMJμ</t>
        </is>
      </c>
      <c r="P184" s="6" t="inlineStr">
        <is>
          <t>&lt;95%</t>
        </is>
      </c>
      <c r="Q184" s="6" t="inlineStr">
        <is>
          <t>减组</t>
        </is>
      </c>
      <c r="R184" s="6" t="inlineStr">
        <is>
          <t>组数</t>
        </is>
      </c>
      <c r="S184" s="6" t="inlineStr">
        <is>
          <t>a(V0)</t>
        </is>
      </c>
      <c r="T184" s="6" t="inlineStr">
        <is>
          <t>b</t>
        </is>
      </c>
      <c r="U184" s="6" t="inlineStr">
        <is>
          <t>等级</t>
        </is>
      </c>
      <c r="V184" s="6" t="inlineStr">
        <is>
          <t>预测起始</t>
        </is>
      </c>
    </row>
    <row r="185">
      <c r="A185" s="7" t="inlineStr">
        <is>
          <t>P016</t>
        </is>
      </c>
      <c r="B185" s="7" t="inlineStr">
        <is>
          <t>杜遥</t>
        </is>
      </c>
      <c r="C185" s="7" t="n">
        <v>180</v>
      </c>
      <c r="D185" s="8" t="n">
        <v>135</v>
      </c>
      <c r="E185" s="9" t="n"/>
      <c r="F185" s="9" t="n"/>
      <c r="G185" s="9" t="n"/>
      <c r="H185" s="9" t="n"/>
      <c r="I185" s="7">
        <f>IFERROR(SUM(E185:H185),"")</f>
        <v/>
      </c>
      <c r="J185" s="9" t="n"/>
      <c r="K185" s="9" t="n"/>
      <c r="L185" s="9" t="n"/>
      <c r="M185" s="9" t="n"/>
      <c r="N185" s="9" t="n"/>
      <c r="O185" s="7">
        <f>IFERROR(AVERAGE(L185:N185),"")</f>
        <v/>
      </c>
      <c r="P185" s="7">
        <f>IF(O185="","",IF(O185&lt;49.75,"是⚠","否"))</f>
        <v/>
      </c>
      <c r="Q185" s="7">
        <f>IF(O185="","",IF(O185&lt;49.75,4-1,4))</f>
        <v/>
      </c>
      <c r="R185" s="7" t="n"/>
      <c r="S185" s="8" t="n">
        <v>1.54</v>
      </c>
      <c r="T185" s="8" t="n">
        <v>-0.008500000000000001</v>
      </c>
      <c r="U185" s="7" t="inlineStr">
        <is>
          <t>B</t>
        </is>
      </c>
      <c r="V185" s="8" t="n">
        <v>110</v>
      </c>
    </row>
    <row r="186">
      <c r="A186" s="10" t="inlineStr">
        <is>
          <t>热身校准</t>
        </is>
      </c>
      <c r="B186" s="10" t="inlineStr">
        <is>
          <t>a</t>
        </is>
      </c>
      <c r="C186" s="10" t="inlineStr">
        <is>
          <t>b</t>
        </is>
      </c>
      <c r="D186" s="10" t="inlineStr">
        <is>
          <t>50%热身</t>
        </is>
      </c>
      <c r="E186" s="10" t="inlineStr">
        <is>
          <t>70%热身</t>
        </is>
      </c>
      <c r="F186" s="10" t="inlineStr">
        <is>
          <t>热身负荷</t>
        </is>
      </c>
      <c r="G186" s="10" t="inlineStr">
        <is>
          <t>实测MCV</t>
        </is>
      </c>
      <c r="H186" s="10" t="inlineStr">
        <is>
          <t>预测MCV</t>
        </is>
      </c>
      <c r="I186" s="10" t="inlineStr">
        <is>
          <t>Δv</t>
        </is>
      </c>
      <c r="J186" s="10" t="inlineStr">
        <is>
          <t>调整量</t>
        </is>
      </c>
      <c r="K186" s="10" t="inlineStr">
        <is>
          <t>校准第1组</t>
        </is>
      </c>
    </row>
    <row r="187">
      <c r="A187" s="7" t="n"/>
      <c r="B187" s="11" t="n">
        <v>1.54</v>
      </c>
      <c r="C187" s="11" t="n">
        <v>-0.008500000000000001</v>
      </c>
      <c r="D187" s="11">
        <f>IFERROR(ROUND(V185*0.5/2.5,0)*2.5,"")</f>
        <v/>
      </c>
      <c r="E187" s="11">
        <f>IFERROR(ROUND(V185*0.7/2.5,0)*2.5,"")</f>
        <v/>
      </c>
      <c r="F187" s="11">
        <f>IFERROR(ROUND(V185*0.6/2.5,0)*2.5,"")</f>
        <v/>
      </c>
      <c r="G187" s="9" t="n"/>
      <c r="H187" s="11">
        <f>IFERROR(B187+C187*F187,"")</f>
        <v/>
      </c>
      <c r="I187" s="11">
        <f>IFERROR(G187-H187,"")</f>
        <v/>
      </c>
      <c r="J187" s="11">
        <f>IFERROR(IF(I187&gt;0.08,5,IF(I187&gt;0.04,2.5,IF(I187&gt;=-0.04,0,IF(I187&gt;=-0.08,-2.5,-5)))),"")</f>
        <v/>
      </c>
      <c r="K187" s="11">
        <f>IFERROR(ROUND(V185+J187,0),"")</f>
        <v/>
      </c>
    </row>
    <row r="188">
      <c r="A188" s="12" t="inlineStr">
        <is>
          <t>组</t>
        </is>
      </c>
      <c r="B188" s="12" t="inlineStr">
        <is>
          <t>负荷</t>
        </is>
      </c>
      <c r="C188" s="12" t="inlineStr">
        <is>
          <t>rep1</t>
        </is>
      </c>
      <c r="D188" s="12" t="inlineStr">
        <is>
          <t>rep2</t>
        </is>
      </c>
      <c r="E188" s="12" t="inlineStr">
        <is>
          <t>rep3</t>
        </is>
      </c>
      <c r="F188" s="12" t="inlineStr">
        <is>
          <t>rep4</t>
        </is>
      </c>
      <c r="G188" s="12" t="inlineStr">
        <is>
          <t>rep5</t>
        </is>
      </c>
      <c r="H188" s="12" t="inlineStr">
        <is>
          <t>rep6</t>
        </is>
      </c>
      <c r="I188" s="12" t="inlineStr">
        <is>
          <t>best</t>
        </is>
      </c>
      <c r="J188" s="12" t="inlineStr">
        <is>
          <t>best#</t>
        </is>
      </c>
      <c r="K188" s="12" t="inlineStr">
        <is>
          <t>VL%</t>
        </is>
      </c>
      <c r="L188" s="12" t="inlineStr">
        <is>
          <t>stop_th</t>
        </is>
      </c>
      <c r="M188" s="12" t="inlineStr">
        <is>
          <t>latest</t>
        </is>
      </c>
      <c r="N188" s="12" t="inlineStr">
        <is>
          <t>VL_flag</t>
        </is>
      </c>
      <c r="O188" s="12" t="inlineStr">
        <is>
          <t>safety</t>
        </is>
      </c>
      <c r="P188" s="12" t="inlineStr">
        <is>
          <t>原因</t>
        </is>
      </c>
      <c r="Q188" s="12" t="inlineStr">
        <is>
          <t>建议</t>
        </is>
      </c>
      <c r="R188" s="12" t="inlineStr">
        <is>
          <t>次数</t>
        </is>
      </c>
    </row>
    <row r="189">
      <c r="A189" s="7" t="n">
        <v>1</v>
      </c>
      <c r="B189" s="9">
        <f>IFERROR(K187,"")</f>
        <v/>
      </c>
      <c r="C189" s="9" t="n"/>
      <c r="D189" s="9" t="n"/>
      <c r="E189" s="9" t="n"/>
      <c r="F189" s="9" t="n"/>
      <c r="G189" s="9" t="n"/>
      <c r="H189" s="9" t="n"/>
      <c r="I189" s="7">
        <f>IFERROR(MAX(C189:H189),"")</f>
        <v/>
      </c>
      <c r="J189" s="7">
        <f>IFERROR(MATCH(I189,C189:H189,0),"")</f>
        <v/>
      </c>
      <c r="K189" s="7" t="n">
        <v>18</v>
      </c>
      <c r="L189" s="7">
        <f>IFERROR(I189*(1-(K189/100)),"")</f>
        <v/>
      </c>
      <c r="M189" s="7">
        <f>IFERROR(LOOKUP(9.99E+307,C189:H189),"")</f>
        <v/>
      </c>
      <c r="N189" s="7">
        <f>IFERROR(IF(M189="","",IF(M189&lt;=N189,"停组🛑","继续✓")),"")</f>
        <v/>
      </c>
      <c r="O189" s="7">
        <f>IFERROR(IF(M189="","",IF(M189&lt;0.15,"SAFETY_STOP","")),"")</f>
        <v/>
      </c>
      <c r="P189" s="7">
        <f>IFERROR(IF(M189="","",IF(M189&lt;0.15,"SAFETY_STOP",IF(M189&lt;=N189,"VL_THRESHOLD",""))),"")</f>
        <v/>
      </c>
      <c r="Q189" s="7">
        <f>IFERROR(IF(I189="","",IF(I189&gt;(0.6+0.05),"+5kg",IF(I189&gt;(0.6+0.02),"+2.5kg",IF(I189&gt;=(0.6-0.05),"保持",IF(I189&gt;=(0.6-0.08),"-2.5kg","-5kg"))))),"")</f>
        <v/>
      </c>
      <c r="R189" s="9" t="n"/>
    </row>
    <row r="190">
      <c r="A190" s="7" t="n">
        <v>2</v>
      </c>
      <c r="B190" s="9" t="n"/>
      <c r="C190" s="9" t="n"/>
      <c r="D190" s="9" t="n"/>
      <c r="E190" s="9" t="n"/>
      <c r="F190" s="9" t="n"/>
      <c r="G190" s="9" t="n"/>
      <c r="H190" s="9" t="n"/>
      <c r="I190" s="7">
        <f>IFERROR(MAX(C190:H190),"")</f>
        <v/>
      </c>
      <c r="J190" s="7">
        <f>IFERROR(MATCH(I190,C190:H190,0),"")</f>
        <v/>
      </c>
      <c r="K190" s="7" t="n">
        <v>18</v>
      </c>
      <c r="L190" s="7">
        <f>IFERROR(I190*(1-(K190/100)),"")</f>
        <v/>
      </c>
      <c r="M190" s="7">
        <f>IFERROR(LOOKUP(9.99E+307,C190:H190),"")</f>
        <v/>
      </c>
      <c r="N190" s="7">
        <f>IFERROR(IF(M190="","",IF(M190&lt;=N190,"停组🛑","继续✓")),"")</f>
        <v/>
      </c>
      <c r="O190" s="7">
        <f>IFERROR(IF(M190="","",IF(M190&lt;0.15,"SAFETY_STOP","")),"")</f>
        <v/>
      </c>
      <c r="P190" s="7">
        <f>IFERROR(IF(M190="","",IF(M190&lt;0.15,"SAFETY_STOP",IF(M190&lt;=N190,"VL_THRESHOLD",""))),"")</f>
        <v/>
      </c>
      <c r="Q190" s="7">
        <f>IFERROR(IF(I190="","",IF(I190&gt;(0.6+0.05),"+5kg",IF(I190&gt;(0.6+0.02),"+2.5kg",IF(I190&gt;=(0.6-0.05),"保持",IF(I190&gt;=(0.6-0.08),"-2.5kg","-5kg"))))),"")</f>
        <v/>
      </c>
      <c r="R190" s="9" t="n"/>
    </row>
    <row r="191">
      <c r="A191" s="7" t="n">
        <v>3</v>
      </c>
      <c r="B191" s="9" t="n"/>
      <c r="C191" s="9" t="n"/>
      <c r="D191" s="9" t="n"/>
      <c r="E191" s="9" t="n"/>
      <c r="F191" s="9" t="n"/>
      <c r="G191" s="9" t="n"/>
      <c r="H191" s="9" t="n"/>
      <c r="I191" s="7">
        <f>IFERROR(MAX(C191:H191),"")</f>
        <v/>
      </c>
      <c r="J191" s="7">
        <f>IFERROR(MATCH(I191,C191:H191,0),"")</f>
        <v/>
      </c>
      <c r="K191" s="7" t="n">
        <v>18</v>
      </c>
      <c r="L191" s="7">
        <f>IFERROR(I191*(1-(K191/100)),"")</f>
        <v/>
      </c>
      <c r="M191" s="7">
        <f>IFERROR(LOOKUP(9.99E+307,C191:H191),"")</f>
        <v/>
      </c>
      <c r="N191" s="7">
        <f>IFERROR(IF(M191="","",IF(M191&lt;=N191,"停组🛑","继续✓")),"")</f>
        <v/>
      </c>
      <c r="O191" s="7">
        <f>IFERROR(IF(M191="","",IF(M191&lt;0.15,"SAFETY_STOP","")),"")</f>
        <v/>
      </c>
      <c r="P191" s="7">
        <f>IFERROR(IF(M191="","",IF(M191&lt;0.15,"SAFETY_STOP",IF(M191&lt;=N191,"VL_THRESHOLD",""))),"")</f>
        <v/>
      </c>
      <c r="Q191" s="7">
        <f>IFERROR(IF(I191="","",IF(I191&gt;(0.6+0.05),"+5kg",IF(I191&gt;(0.6+0.02),"+2.5kg",IF(I191&gt;=(0.6-0.05),"保持",IF(I191&gt;=(0.6-0.08),"-2.5kg","-5kg"))))),"")</f>
        <v/>
      </c>
      <c r="R191" s="9" t="n"/>
    </row>
    <row r="192">
      <c r="A192" s="7" t="n">
        <v>4</v>
      </c>
      <c r="B192" s="9" t="n"/>
      <c r="C192" s="9" t="n"/>
      <c r="D192" s="9" t="n"/>
      <c r="E192" s="9" t="n"/>
      <c r="F192" s="9" t="n"/>
      <c r="G192" s="9" t="n"/>
      <c r="H192" s="9" t="n"/>
      <c r="I192" s="7">
        <f>IFERROR(MAX(C192:H192),"")</f>
        <v/>
      </c>
      <c r="J192" s="7">
        <f>IFERROR(MATCH(I192,C192:H192,0),"")</f>
        <v/>
      </c>
      <c r="K192" s="7" t="n">
        <v>18</v>
      </c>
      <c r="L192" s="7">
        <f>IFERROR(I192*(1-(K192/100)),"")</f>
        <v/>
      </c>
      <c r="M192" s="7">
        <f>IFERROR(LOOKUP(9.99E+307,C192:H192),"")</f>
        <v/>
      </c>
      <c r="N192" s="7">
        <f>IFERROR(IF(M192="","",IF(M192&lt;=N192,"停组🛑","继续✓")),"")</f>
        <v/>
      </c>
      <c r="O192" s="7">
        <f>IFERROR(IF(M192="","",IF(M192&lt;0.15,"SAFETY_STOP","")),"")</f>
        <v/>
      </c>
      <c r="P192" s="7">
        <f>IFERROR(IF(M192="","",IF(M192&lt;0.15,"SAFETY_STOP",IF(M192&lt;=N192,"VL_THRESHOLD",""))),"")</f>
        <v/>
      </c>
      <c r="Q192" s="7">
        <f>IFERROR(IF(I192="","",IF(I192&gt;(0.6+0.05),"+5kg",IF(I192&gt;(0.6+0.02),"+2.5kg",IF(I192&gt;=(0.6-0.05),"保持",IF(I192&gt;=(0.6-0.08),"-2.5kg","-5kg"))))),"")</f>
        <v/>
      </c>
      <c r="R192" s="9" t="n"/>
    </row>
    <row r="193">
      <c r="A193" s="7" t="n">
        <v>5</v>
      </c>
      <c r="B193" s="9" t="n"/>
      <c r="C193" s="9" t="n"/>
      <c r="D193" s="9" t="n"/>
      <c r="E193" s="9" t="n"/>
      <c r="F193" s="9" t="n"/>
      <c r="G193" s="9" t="n"/>
      <c r="H193" s="9" t="n"/>
      <c r="I193" s="7">
        <f>IFERROR(MAX(C193:H193),"")</f>
        <v/>
      </c>
      <c r="J193" s="7">
        <f>IFERROR(MATCH(I193,C193:H193,0),"")</f>
        <v/>
      </c>
      <c r="K193" s="7" t="n">
        <v>18</v>
      </c>
      <c r="L193" s="7">
        <f>IFERROR(I193*(1-(K193/100)),"")</f>
        <v/>
      </c>
      <c r="M193" s="7">
        <f>IFERROR(LOOKUP(9.99E+307,C193:H193),"")</f>
        <v/>
      </c>
      <c r="N193" s="7">
        <f>IFERROR(IF(M193="","",IF(M193&lt;=N193,"停组🛑","继续✓")),"")</f>
        <v/>
      </c>
      <c r="O193" s="7">
        <f>IFERROR(IF(M193="","",IF(M193&lt;0.15,"SAFETY_STOP","")),"")</f>
        <v/>
      </c>
      <c r="P193" s="7">
        <f>IFERROR(IF(M193="","",IF(M193&lt;0.15,"SAFETY_STOP",IF(M193&lt;=N193,"VL_THRESHOLD",""))),"")</f>
        <v/>
      </c>
      <c r="Q193" s="7">
        <f>IFERROR(IF(I193="","",IF(I193&gt;(0.6+0.05),"+5kg",IF(I193&gt;(0.6+0.02),"+2.5kg",IF(I193&gt;=(0.6-0.05),"保持",IF(I193&gt;=(0.6-0.08),"-2.5kg","-5kg"))))),"")</f>
        <v/>
      </c>
      <c r="R193" s="9" t="n"/>
    </row>
    <row r="194">
      <c r="A194" s="7" t="n">
        <v>6</v>
      </c>
      <c r="B194" s="9" t="n"/>
      <c r="C194" s="9" t="n"/>
      <c r="D194" s="9" t="n"/>
      <c r="E194" s="9" t="n"/>
      <c r="F194" s="9" t="n"/>
      <c r="G194" s="9" t="n"/>
      <c r="H194" s="9" t="n"/>
      <c r="I194" s="7">
        <f>IFERROR(MAX(C194:H194),"")</f>
        <v/>
      </c>
      <c r="J194" s="7">
        <f>IFERROR(MATCH(I194,C194:H194,0),"")</f>
        <v/>
      </c>
      <c r="K194" s="7" t="n">
        <v>18</v>
      </c>
      <c r="L194" s="7">
        <f>IFERROR(I194*(1-(K194/100)),"")</f>
        <v/>
      </c>
      <c r="M194" s="7">
        <f>IFERROR(LOOKUP(9.99E+307,C194:H194),"")</f>
        <v/>
      </c>
      <c r="N194" s="7">
        <f>IFERROR(IF(M194="","",IF(M194&lt;=N194,"停组🛑","继续✓")),"")</f>
        <v/>
      </c>
      <c r="O194" s="7">
        <f>IFERROR(IF(M194="","",IF(M194&lt;0.15,"SAFETY_STOP","")),"")</f>
        <v/>
      </c>
      <c r="P194" s="7">
        <f>IFERROR(IF(M194="","",IF(M194&lt;0.15,"SAFETY_STOP",IF(M194&lt;=N194,"VL_THRESHOLD",""))),"")</f>
        <v/>
      </c>
      <c r="Q194" s="7">
        <f>IFERROR(IF(I194="","",IF(I194&gt;(0.6+0.05),"+5kg",IF(I194&gt;(0.6+0.02),"+2.5kg",IF(I194&gt;=(0.6-0.05),"保持",IF(I194&gt;=(0.6-0.08),"-2.5kg","-5kg"))))),"")</f>
        <v/>
      </c>
      <c r="R194" s="9" t="n"/>
    </row>
    <row r="195">
      <c r="A195" s="13" t="inlineStr">
        <is>
          <t>辅助</t>
        </is>
      </c>
      <c r="D195" s="14" t="inlineStr">
        <is>
          <t>RDL</t>
        </is>
      </c>
      <c r="E195" s="14" t="inlineStr">
        <is>
          <t>负荷</t>
        </is>
      </c>
      <c r="F195" s="14" t="inlineStr">
        <is>
          <t>完成</t>
        </is>
      </c>
      <c r="I195" t="inlineStr">
        <is>
          <t>VL</t>
        </is>
      </c>
    </row>
    <row r="196">
      <c r="A196" s="15" t="inlineStr">
        <is>
          <t>训练后</t>
        </is>
      </c>
      <c r="B196" s="15" t="inlineStr">
        <is>
          <t>开始</t>
        </is>
      </c>
      <c r="C196" s="15" t="inlineStr">
        <is>
          <t>结束</t>
        </is>
      </c>
      <c r="D196" s="15" t="inlineStr">
        <is>
          <t>时长min</t>
        </is>
      </c>
      <c r="E196" s="15" t="inlineStr">
        <is>
          <t>sRPE</t>
        </is>
      </c>
      <c r="F196" s="15" t="inlineStr">
        <is>
          <t>load</t>
        </is>
      </c>
      <c r="G196" s="15" t="inlineStr">
        <is>
          <t>不适?</t>
        </is>
      </c>
      <c r="H196" s="15" t="inlineStr">
        <is>
          <t>备注</t>
        </is>
      </c>
      <c r="I196" s="15" t="inlineStr">
        <is>
          <t>签名</t>
        </is>
      </c>
    </row>
    <row r="197">
      <c r="A197" s="7" t="n"/>
      <c r="B197" s="9" t="n"/>
      <c r="C197" s="9" t="n"/>
      <c r="D197" s="11">
        <f>IFERROR((C197-B197)*1440,"")</f>
        <v/>
      </c>
      <c r="E197" s="9" t="n"/>
      <c r="F197" s="11">
        <f>IFERROR(E197*D197,"")</f>
        <v/>
      </c>
      <c r="G197" s="9" t="n"/>
      <c r="H197" s="9" t="n"/>
      <c r="I197" s="9" t="n"/>
    </row>
    <row r="198">
      <c r="A198" s="16" t="inlineStr">
        <is>
          <t>跳跃</t>
        </is>
      </c>
      <c r="B198" s="16" t="inlineStr">
        <is>
          <t>类型</t>
        </is>
      </c>
      <c r="C198" s="16" t="inlineStr">
        <is>
          <t>组×次</t>
        </is>
      </c>
      <c r="D198" s="16" t="inlineStr">
        <is>
          <t>负荷kg</t>
        </is>
      </c>
      <c r="E198" s="16" t="inlineStr">
        <is>
          <t>接触</t>
        </is>
      </c>
    </row>
    <row r="199">
      <c r="B199" t="inlineStr">
        <is>
          <t>CMJ</t>
        </is>
      </c>
      <c r="C199" t="inlineStr">
        <is>
          <t>3×3</t>
        </is>
      </c>
      <c r="D199" t="n">
        <v>0</v>
      </c>
      <c r="E199" t="n">
        <v>9</v>
      </c>
    </row>
    <row r="200">
      <c r="B200" t="inlineStr">
        <is>
          <t>箱跳</t>
        </is>
      </c>
      <c r="C200" t="inlineStr">
        <is>
          <t>2×3</t>
        </is>
      </c>
      <c r="D200" t="n">
        <v>0</v>
      </c>
      <c r="E200" t="n">
        <v>6</v>
      </c>
    </row>
    <row r="201">
      <c r="A201" s="17" t="inlineStr">
        <is>
          <t>▶ 暴露量汇总</t>
        </is>
      </c>
      <c r="B201" s="17" t="inlineStr">
        <is>
          <t>说明</t>
        </is>
      </c>
      <c r="C201" s="17" t="inlineStr">
        <is>
          <t>公式/来源</t>
        </is>
      </c>
      <c r="D201" s="17" t="inlineStr">
        <is>
          <t>数值</t>
        </is>
      </c>
    </row>
    <row r="202">
      <c r="A202" s="18" t="inlineStr">
        <is>
          <t>① 无负荷跳跃接触</t>
        </is>
      </c>
      <c r="B202" s="18" t="inlineStr">
        <is>
          <t>CMJ+SJ+箱跳</t>
        </is>
      </c>
      <c r="C202" s="19">
        <f>IFERROR(E199+E200,2)</f>
        <v/>
      </c>
    </row>
    <row r="203">
      <c r="A203" s="18" t="inlineStr">
        <is>
          <t>② 负重跳跃接触</t>
        </is>
      </c>
      <c r="B203" s="18" t="inlineStr">
        <is>
          <t>负重深蹲跳</t>
        </is>
      </c>
      <c r="C203" s="19">
        <f>IFERROR(E199,"")</f>
        <v/>
      </c>
    </row>
    <row r="204">
      <c r="A204" s="18" t="inlineStr">
        <is>
          <t>③ 跳跃总计</t>
        </is>
      </c>
      <c r="B204" s="18" t="inlineStr">
        <is>
          <t>①+②</t>
        </is>
      </c>
      <c r="C204" s="19">
        <f>IFERROR(B202+B203,"")</f>
        <v/>
      </c>
    </row>
    <row r="205">
      <c r="A205" s="18" t="inlineStr">
        <is>
          <t>④ 热身VL</t>
        </is>
      </c>
      <c r="B205" s="18" t="inlineStr">
        <is>
          <t>20×5+50%×3(+70%×2)</t>
        </is>
      </c>
      <c r="C205" s="19">
        <f>IFERROR(20*5+ROUND(V185*0.5,0)*3+ROUND(V{dr}*0.7,0)*2,"-")</f>
        <v/>
      </c>
    </row>
    <row r="206">
      <c r="A206" s="20" t="inlineStr">
        <is>
          <t>⑤ 主项工作组VL ★</t>
        </is>
      </c>
      <c r="B206" s="20" t="inlineStr">
        <is>
          <t>Σ(负荷×次数)</t>
        </is>
      </c>
      <c r="C206" s="21">
        <f>SUMPRODUCT($B$189:$B$194,$R$189:$R$194)</f>
        <v/>
      </c>
    </row>
    <row r="207">
      <c r="A207" s="18" t="inlineStr">
        <is>
          <t>⑥ 主项总VL</t>
        </is>
      </c>
      <c r="B207" s="18" t="inlineStr">
        <is>
          <t>④+⑤</t>
        </is>
      </c>
      <c r="C207" s="19">
        <f>IFERROR(D202+D203,"")</f>
        <v/>
      </c>
    </row>
    <row r="208">
      <c r="A208" s="18" t="inlineStr">
        <is>
          <t>⑦ 辅助VL</t>
        </is>
      </c>
      <c r="B208" s="18" t="inlineStr">
        <is>
          <t>RDL/保加利亚</t>
        </is>
      </c>
      <c r="C208" s="19">
        <f>IFERROR(I195,"")</f>
        <v/>
      </c>
    </row>
    <row r="209">
      <c r="A209" s="18" t="inlineStr">
        <is>
          <t>⑧ 总外部负荷</t>
        </is>
      </c>
      <c r="B209" s="18" t="inlineStr">
        <is>
          <t>⑥+⑦(+负重跳)</t>
        </is>
      </c>
      <c r="C209" s="19">
        <f>IFERROR(F202+G202,"")</f>
        <v/>
      </c>
    </row>
    <row r="210">
      <c r="A210" s="18" t="inlineStr">
        <is>
          <t>⑨ sRPE load</t>
        </is>
      </c>
      <c r="B210" s="18" t="inlineStr">
        <is>
          <t>sRPE×时长</t>
        </is>
      </c>
      <c r="C210" s="19">
        <f>IFERROR(F197,"")</f>
        <v/>
      </c>
    </row>
    <row r="213">
      <c r="A213" s="5" t="inlineStr">
        <is>
          <t>P025 范芳忠  a=1.77 b=-0.0105 1RM=135</t>
        </is>
      </c>
    </row>
    <row r="214">
      <c r="A214" s="6" t="inlineStr">
        <is>
          <t>编号</t>
        </is>
      </c>
      <c r="B214" s="6" t="inlineStr">
        <is>
          <t>姓名</t>
        </is>
      </c>
      <c r="C214" s="6" t="inlineStr">
        <is>
          <t>身高</t>
        </is>
      </c>
      <c r="D214" s="6" t="inlineStr">
        <is>
          <t>1RM</t>
        </is>
      </c>
      <c r="E214" s="6" t="inlineStr">
        <is>
          <t>Hooper睡</t>
        </is>
      </c>
      <c r="F214" s="6" t="inlineStr">
        <is>
          <t>Hooper压</t>
        </is>
      </c>
      <c r="G214" s="6" t="inlineStr">
        <is>
          <t>Hooper疲</t>
        </is>
      </c>
      <c r="H214" s="6" t="inlineStr">
        <is>
          <t>Hooper酸</t>
        </is>
      </c>
      <c r="I214" s="6" t="inlineStr">
        <is>
          <t>H总</t>
        </is>
      </c>
      <c r="J214" s="6" t="inlineStr">
        <is>
          <t>不适?</t>
        </is>
      </c>
      <c r="K214" s="6" t="inlineStr">
        <is>
          <t>说明</t>
        </is>
      </c>
      <c r="L214" s="6" t="inlineStr">
        <is>
          <t>CMJ1</t>
        </is>
      </c>
      <c r="M214" s="6" t="inlineStr">
        <is>
          <t>CMJ2</t>
        </is>
      </c>
      <c r="N214" s="6" t="inlineStr">
        <is>
          <t>CMJ3</t>
        </is>
      </c>
      <c r="O214" s="6" t="inlineStr">
        <is>
          <t>CMJμ</t>
        </is>
      </c>
      <c r="P214" s="6" t="inlineStr">
        <is>
          <t>&lt;95%</t>
        </is>
      </c>
      <c r="Q214" s="6" t="inlineStr">
        <is>
          <t>减组</t>
        </is>
      </c>
      <c r="R214" s="6" t="inlineStr">
        <is>
          <t>组数</t>
        </is>
      </c>
      <c r="S214" s="6" t="inlineStr">
        <is>
          <t>a(V0)</t>
        </is>
      </c>
      <c r="T214" s="6" t="inlineStr">
        <is>
          <t>b</t>
        </is>
      </c>
      <c r="U214" s="6" t="inlineStr">
        <is>
          <t>等级</t>
        </is>
      </c>
      <c r="V214" s="6" t="inlineStr">
        <is>
          <t>预测起始</t>
        </is>
      </c>
    </row>
    <row r="215">
      <c r="A215" s="7" t="inlineStr">
        <is>
          <t>P025</t>
        </is>
      </c>
      <c r="B215" s="7" t="inlineStr">
        <is>
          <t>范芳忠</t>
        </is>
      </c>
      <c r="C215" s="7" t="n">
        <v>178</v>
      </c>
      <c r="D215" s="8" t="n">
        <v>135</v>
      </c>
      <c r="E215" s="9" t="n"/>
      <c r="F215" s="9" t="n"/>
      <c r="G215" s="9" t="n"/>
      <c r="H215" s="9" t="n"/>
      <c r="I215" s="7">
        <f>IFERROR(SUM(E215:H215),"")</f>
        <v/>
      </c>
      <c r="J215" s="9" t="n"/>
      <c r="K215" s="9" t="n"/>
      <c r="L215" s="9" t="n"/>
      <c r="M215" s="9" t="n"/>
      <c r="N215" s="9" t="n"/>
      <c r="O215" s="7">
        <f>IFERROR(AVERAGE(L215:N215),"")</f>
        <v/>
      </c>
      <c r="P215" s="7">
        <f>IF(O215="","",IF(O215&lt;58.43,"是⚠","否"))</f>
        <v/>
      </c>
      <c r="Q215" s="7">
        <f>IF(O215="","",IF(O215&lt;58.43,4-1,4))</f>
        <v/>
      </c>
      <c r="R215" s="7" t="n"/>
      <c r="S215" s="8" t="n">
        <v>1.77</v>
      </c>
      <c r="T215" s="8" t="n">
        <v>-0.0105</v>
      </c>
      <c r="U215" s="7" t="inlineStr">
        <is>
          <t>A</t>
        </is>
      </c>
      <c r="V215" s="8" t="n">
        <v>112.5</v>
      </c>
    </row>
    <row r="216">
      <c r="A216" s="10" t="inlineStr">
        <is>
          <t>热身校准</t>
        </is>
      </c>
      <c r="B216" s="10" t="inlineStr">
        <is>
          <t>a</t>
        </is>
      </c>
      <c r="C216" s="10" t="inlineStr">
        <is>
          <t>b</t>
        </is>
      </c>
      <c r="D216" s="10" t="inlineStr">
        <is>
          <t>50%热身</t>
        </is>
      </c>
      <c r="E216" s="10" t="inlineStr">
        <is>
          <t>70%热身</t>
        </is>
      </c>
      <c r="F216" s="10" t="inlineStr">
        <is>
          <t>热身负荷</t>
        </is>
      </c>
      <c r="G216" s="10" t="inlineStr">
        <is>
          <t>实测MCV</t>
        </is>
      </c>
      <c r="H216" s="10" t="inlineStr">
        <is>
          <t>预测MCV</t>
        </is>
      </c>
      <c r="I216" s="10" t="inlineStr">
        <is>
          <t>Δv</t>
        </is>
      </c>
      <c r="J216" s="10" t="inlineStr">
        <is>
          <t>调整量</t>
        </is>
      </c>
      <c r="K216" s="10" t="inlineStr">
        <is>
          <t>校准第1组</t>
        </is>
      </c>
    </row>
    <row r="217">
      <c r="A217" s="7" t="n"/>
      <c r="B217" s="11" t="n">
        <v>1.77</v>
      </c>
      <c r="C217" s="11" t="n">
        <v>-0.0105</v>
      </c>
      <c r="D217" s="11">
        <f>IFERROR(ROUND(V215*0.5/2.5,0)*2.5,"")</f>
        <v/>
      </c>
      <c r="E217" s="11">
        <f>IFERROR(ROUND(V215*0.7/2.5,0)*2.5,"")</f>
        <v/>
      </c>
      <c r="F217" s="11">
        <f>IFERROR(ROUND(V215*0.6/2.5,0)*2.5,"")</f>
        <v/>
      </c>
      <c r="G217" s="9" t="n"/>
      <c r="H217" s="11">
        <f>IFERROR(B217+C217*F217,"")</f>
        <v/>
      </c>
      <c r="I217" s="11">
        <f>IFERROR(G217-H217,"")</f>
        <v/>
      </c>
      <c r="J217" s="11">
        <f>IFERROR(IF(I217&gt;0.08,5,IF(I217&gt;0.04,2.5,IF(I217&gt;=-0.04,0,IF(I217&gt;=-0.08,-2.5,-5)))),"")</f>
        <v/>
      </c>
      <c r="K217" s="11">
        <f>IFERROR(ROUND(V215+J217,0),"")</f>
        <v/>
      </c>
    </row>
    <row r="218">
      <c r="A218" s="12" t="inlineStr">
        <is>
          <t>组</t>
        </is>
      </c>
      <c r="B218" s="12" t="inlineStr">
        <is>
          <t>负荷</t>
        </is>
      </c>
      <c r="C218" s="12" t="inlineStr">
        <is>
          <t>rep1</t>
        </is>
      </c>
      <c r="D218" s="12" t="inlineStr">
        <is>
          <t>rep2</t>
        </is>
      </c>
      <c r="E218" s="12" t="inlineStr">
        <is>
          <t>rep3</t>
        </is>
      </c>
      <c r="F218" s="12" t="inlineStr">
        <is>
          <t>rep4</t>
        </is>
      </c>
      <c r="G218" s="12" t="inlineStr">
        <is>
          <t>rep5</t>
        </is>
      </c>
      <c r="H218" s="12" t="inlineStr">
        <is>
          <t>rep6</t>
        </is>
      </c>
      <c r="I218" s="12" t="inlineStr">
        <is>
          <t>best</t>
        </is>
      </c>
      <c r="J218" s="12" t="inlineStr">
        <is>
          <t>best#</t>
        </is>
      </c>
      <c r="K218" s="12" t="inlineStr">
        <is>
          <t>VL%</t>
        </is>
      </c>
      <c r="L218" s="12" t="inlineStr">
        <is>
          <t>stop_th</t>
        </is>
      </c>
      <c r="M218" s="12" t="inlineStr">
        <is>
          <t>latest</t>
        </is>
      </c>
      <c r="N218" s="12" t="inlineStr">
        <is>
          <t>VL_flag</t>
        </is>
      </c>
      <c r="O218" s="12" t="inlineStr">
        <is>
          <t>safety</t>
        </is>
      </c>
      <c r="P218" s="12" t="inlineStr">
        <is>
          <t>原因</t>
        </is>
      </c>
      <c r="Q218" s="12" t="inlineStr">
        <is>
          <t>建议</t>
        </is>
      </c>
      <c r="R218" s="12" t="inlineStr">
        <is>
          <t>次数</t>
        </is>
      </c>
    </row>
    <row r="219">
      <c r="A219" s="7" t="n">
        <v>1</v>
      </c>
      <c r="B219" s="9">
        <f>IFERROR(K217,"")</f>
        <v/>
      </c>
      <c r="C219" s="9" t="n"/>
      <c r="D219" s="9" t="n"/>
      <c r="E219" s="9" t="n"/>
      <c r="F219" s="9" t="n"/>
      <c r="G219" s="9" t="n"/>
      <c r="H219" s="9" t="n"/>
      <c r="I219" s="7">
        <f>IFERROR(MAX(C219:H219),"")</f>
        <v/>
      </c>
      <c r="J219" s="7">
        <f>IFERROR(MATCH(I219,C219:H219,0),"")</f>
        <v/>
      </c>
      <c r="K219" s="7" t="n">
        <v>18</v>
      </c>
      <c r="L219" s="7">
        <f>IFERROR(I219*(1-(K219/100)),"")</f>
        <v/>
      </c>
      <c r="M219" s="7">
        <f>IFERROR(LOOKUP(9.99E+307,C219:H219),"")</f>
        <v/>
      </c>
      <c r="N219" s="7">
        <f>IFERROR(IF(M219="","",IF(M219&lt;=N219,"停组🛑","继续✓")),"")</f>
        <v/>
      </c>
      <c r="O219" s="7">
        <f>IFERROR(IF(M219="","",IF(M219&lt;0.15,"SAFETY_STOP","")),"")</f>
        <v/>
      </c>
      <c r="P219" s="7">
        <f>IFERROR(IF(M219="","",IF(M219&lt;0.15,"SAFETY_STOP",IF(M219&lt;=N219,"VL_THRESHOLD",""))),"")</f>
        <v/>
      </c>
      <c r="Q219" s="7">
        <f>IFERROR(IF(I219="","",IF(I219&gt;(0.6+0.05),"+5kg",IF(I219&gt;(0.6+0.02),"+2.5kg",IF(I219&gt;=(0.6-0.05),"保持",IF(I219&gt;=(0.6-0.08),"-2.5kg","-5kg"))))),"")</f>
        <v/>
      </c>
      <c r="R219" s="9" t="n"/>
    </row>
    <row r="220">
      <c r="A220" s="7" t="n">
        <v>2</v>
      </c>
      <c r="B220" s="9" t="n"/>
      <c r="C220" s="9" t="n"/>
      <c r="D220" s="9" t="n"/>
      <c r="E220" s="9" t="n"/>
      <c r="F220" s="9" t="n"/>
      <c r="G220" s="9" t="n"/>
      <c r="H220" s="9" t="n"/>
      <c r="I220" s="7">
        <f>IFERROR(MAX(C220:H220),"")</f>
        <v/>
      </c>
      <c r="J220" s="7">
        <f>IFERROR(MATCH(I220,C220:H220,0),"")</f>
        <v/>
      </c>
      <c r="K220" s="7" t="n">
        <v>18</v>
      </c>
      <c r="L220" s="7">
        <f>IFERROR(I220*(1-(K220/100)),"")</f>
        <v/>
      </c>
      <c r="M220" s="7">
        <f>IFERROR(LOOKUP(9.99E+307,C220:H220),"")</f>
        <v/>
      </c>
      <c r="N220" s="7">
        <f>IFERROR(IF(M220="","",IF(M220&lt;=N220,"停组🛑","继续✓")),"")</f>
        <v/>
      </c>
      <c r="O220" s="7">
        <f>IFERROR(IF(M220="","",IF(M220&lt;0.15,"SAFETY_STOP","")),"")</f>
        <v/>
      </c>
      <c r="P220" s="7">
        <f>IFERROR(IF(M220="","",IF(M220&lt;0.15,"SAFETY_STOP",IF(M220&lt;=N220,"VL_THRESHOLD",""))),"")</f>
        <v/>
      </c>
      <c r="Q220" s="7">
        <f>IFERROR(IF(I220="","",IF(I220&gt;(0.6+0.05),"+5kg",IF(I220&gt;(0.6+0.02),"+2.5kg",IF(I220&gt;=(0.6-0.05),"保持",IF(I220&gt;=(0.6-0.08),"-2.5kg","-5kg"))))),"")</f>
        <v/>
      </c>
      <c r="R220" s="9" t="n"/>
    </row>
    <row r="221">
      <c r="A221" s="7" t="n">
        <v>3</v>
      </c>
      <c r="B221" s="9" t="n"/>
      <c r="C221" s="9" t="n"/>
      <c r="D221" s="9" t="n"/>
      <c r="E221" s="9" t="n"/>
      <c r="F221" s="9" t="n"/>
      <c r="G221" s="9" t="n"/>
      <c r="H221" s="9" t="n"/>
      <c r="I221" s="7">
        <f>IFERROR(MAX(C221:H221),"")</f>
        <v/>
      </c>
      <c r="J221" s="7">
        <f>IFERROR(MATCH(I221,C221:H221,0),"")</f>
        <v/>
      </c>
      <c r="K221" s="7" t="n">
        <v>18</v>
      </c>
      <c r="L221" s="7">
        <f>IFERROR(I221*(1-(K221/100)),"")</f>
        <v/>
      </c>
      <c r="M221" s="7">
        <f>IFERROR(LOOKUP(9.99E+307,C221:H221),"")</f>
        <v/>
      </c>
      <c r="N221" s="7">
        <f>IFERROR(IF(M221="","",IF(M221&lt;=N221,"停组🛑","继续✓")),"")</f>
        <v/>
      </c>
      <c r="O221" s="7">
        <f>IFERROR(IF(M221="","",IF(M221&lt;0.15,"SAFETY_STOP","")),"")</f>
        <v/>
      </c>
      <c r="P221" s="7">
        <f>IFERROR(IF(M221="","",IF(M221&lt;0.15,"SAFETY_STOP",IF(M221&lt;=N221,"VL_THRESHOLD",""))),"")</f>
        <v/>
      </c>
      <c r="Q221" s="7">
        <f>IFERROR(IF(I221="","",IF(I221&gt;(0.6+0.05),"+5kg",IF(I221&gt;(0.6+0.02),"+2.5kg",IF(I221&gt;=(0.6-0.05),"保持",IF(I221&gt;=(0.6-0.08),"-2.5kg","-5kg"))))),"")</f>
        <v/>
      </c>
      <c r="R221" s="9" t="n"/>
    </row>
    <row r="222">
      <c r="A222" s="7" t="n">
        <v>4</v>
      </c>
      <c r="B222" s="9" t="n"/>
      <c r="C222" s="9" t="n"/>
      <c r="D222" s="9" t="n"/>
      <c r="E222" s="9" t="n"/>
      <c r="F222" s="9" t="n"/>
      <c r="G222" s="9" t="n"/>
      <c r="H222" s="9" t="n"/>
      <c r="I222" s="7">
        <f>IFERROR(MAX(C222:H222),"")</f>
        <v/>
      </c>
      <c r="J222" s="7">
        <f>IFERROR(MATCH(I222,C222:H222,0),"")</f>
        <v/>
      </c>
      <c r="K222" s="7" t="n">
        <v>18</v>
      </c>
      <c r="L222" s="7">
        <f>IFERROR(I222*(1-(K222/100)),"")</f>
        <v/>
      </c>
      <c r="M222" s="7">
        <f>IFERROR(LOOKUP(9.99E+307,C222:H222),"")</f>
        <v/>
      </c>
      <c r="N222" s="7">
        <f>IFERROR(IF(M222="","",IF(M222&lt;=N222,"停组🛑","继续✓")),"")</f>
        <v/>
      </c>
      <c r="O222" s="7">
        <f>IFERROR(IF(M222="","",IF(M222&lt;0.15,"SAFETY_STOP","")),"")</f>
        <v/>
      </c>
      <c r="P222" s="7">
        <f>IFERROR(IF(M222="","",IF(M222&lt;0.15,"SAFETY_STOP",IF(M222&lt;=N222,"VL_THRESHOLD",""))),"")</f>
        <v/>
      </c>
      <c r="Q222" s="7">
        <f>IFERROR(IF(I222="","",IF(I222&gt;(0.6+0.05),"+5kg",IF(I222&gt;(0.6+0.02),"+2.5kg",IF(I222&gt;=(0.6-0.05),"保持",IF(I222&gt;=(0.6-0.08),"-2.5kg","-5kg"))))),"")</f>
        <v/>
      </c>
      <c r="R222" s="9" t="n"/>
    </row>
    <row r="223">
      <c r="A223" s="7" t="n">
        <v>5</v>
      </c>
      <c r="B223" s="9" t="n"/>
      <c r="C223" s="9" t="n"/>
      <c r="D223" s="9" t="n"/>
      <c r="E223" s="9" t="n"/>
      <c r="F223" s="9" t="n"/>
      <c r="G223" s="9" t="n"/>
      <c r="H223" s="9" t="n"/>
      <c r="I223" s="7">
        <f>IFERROR(MAX(C223:H223),"")</f>
        <v/>
      </c>
      <c r="J223" s="7">
        <f>IFERROR(MATCH(I223,C223:H223,0),"")</f>
        <v/>
      </c>
      <c r="K223" s="7" t="n">
        <v>18</v>
      </c>
      <c r="L223" s="7">
        <f>IFERROR(I223*(1-(K223/100)),"")</f>
        <v/>
      </c>
      <c r="M223" s="7">
        <f>IFERROR(LOOKUP(9.99E+307,C223:H223),"")</f>
        <v/>
      </c>
      <c r="N223" s="7">
        <f>IFERROR(IF(M223="","",IF(M223&lt;=N223,"停组🛑","继续✓")),"")</f>
        <v/>
      </c>
      <c r="O223" s="7">
        <f>IFERROR(IF(M223="","",IF(M223&lt;0.15,"SAFETY_STOP","")),"")</f>
        <v/>
      </c>
      <c r="P223" s="7">
        <f>IFERROR(IF(M223="","",IF(M223&lt;0.15,"SAFETY_STOP",IF(M223&lt;=N223,"VL_THRESHOLD",""))),"")</f>
        <v/>
      </c>
      <c r="Q223" s="7">
        <f>IFERROR(IF(I223="","",IF(I223&gt;(0.6+0.05),"+5kg",IF(I223&gt;(0.6+0.02),"+2.5kg",IF(I223&gt;=(0.6-0.05),"保持",IF(I223&gt;=(0.6-0.08),"-2.5kg","-5kg"))))),"")</f>
        <v/>
      </c>
      <c r="R223" s="9" t="n"/>
    </row>
    <row r="224">
      <c r="A224" s="7" t="n">
        <v>6</v>
      </c>
      <c r="B224" s="9" t="n"/>
      <c r="C224" s="9" t="n"/>
      <c r="D224" s="9" t="n"/>
      <c r="E224" s="9" t="n"/>
      <c r="F224" s="9" t="n"/>
      <c r="G224" s="9" t="n"/>
      <c r="H224" s="9" t="n"/>
      <c r="I224" s="7">
        <f>IFERROR(MAX(C224:H224),"")</f>
        <v/>
      </c>
      <c r="J224" s="7">
        <f>IFERROR(MATCH(I224,C224:H224,0),"")</f>
        <v/>
      </c>
      <c r="K224" s="7" t="n">
        <v>18</v>
      </c>
      <c r="L224" s="7">
        <f>IFERROR(I224*(1-(K224/100)),"")</f>
        <v/>
      </c>
      <c r="M224" s="7">
        <f>IFERROR(LOOKUP(9.99E+307,C224:H224),"")</f>
        <v/>
      </c>
      <c r="N224" s="7">
        <f>IFERROR(IF(M224="","",IF(M224&lt;=N224,"停组🛑","继续✓")),"")</f>
        <v/>
      </c>
      <c r="O224" s="7">
        <f>IFERROR(IF(M224="","",IF(M224&lt;0.15,"SAFETY_STOP","")),"")</f>
        <v/>
      </c>
      <c r="P224" s="7">
        <f>IFERROR(IF(M224="","",IF(M224&lt;0.15,"SAFETY_STOP",IF(M224&lt;=N224,"VL_THRESHOLD",""))),"")</f>
        <v/>
      </c>
      <c r="Q224" s="7">
        <f>IFERROR(IF(I224="","",IF(I224&gt;(0.6+0.05),"+5kg",IF(I224&gt;(0.6+0.02),"+2.5kg",IF(I224&gt;=(0.6-0.05),"保持",IF(I224&gt;=(0.6-0.08),"-2.5kg","-5kg"))))),"")</f>
        <v/>
      </c>
      <c r="R224" s="9" t="n"/>
    </row>
    <row r="225">
      <c r="A225" s="13" t="inlineStr">
        <is>
          <t>辅助</t>
        </is>
      </c>
      <c r="D225" s="14" t="inlineStr">
        <is>
          <t>RDL</t>
        </is>
      </c>
      <c r="E225" s="14" t="inlineStr">
        <is>
          <t>负荷</t>
        </is>
      </c>
      <c r="F225" s="14" t="inlineStr">
        <is>
          <t>完成</t>
        </is>
      </c>
      <c r="I225" t="inlineStr">
        <is>
          <t>VL</t>
        </is>
      </c>
    </row>
    <row r="226">
      <c r="A226" s="15" t="inlineStr">
        <is>
          <t>训练后</t>
        </is>
      </c>
      <c r="B226" s="15" t="inlineStr">
        <is>
          <t>开始</t>
        </is>
      </c>
      <c r="C226" s="15" t="inlineStr">
        <is>
          <t>结束</t>
        </is>
      </c>
      <c r="D226" s="15" t="inlineStr">
        <is>
          <t>时长min</t>
        </is>
      </c>
      <c r="E226" s="15" t="inlineStr">
        <is>
          <t>sRPE</t>
        </is>
      </c>
      <c r="F226" s="15" t="inlineStr">
        <is>
          <t>load</t>
        </is>
      </c>
      <c r="G226" s="15" t="inlineStr">
        <is>
          <t>不适?</t>
        </is>
      </c>
      <c r="H226" s="15" t="inlineStr">
        <is>
          <t>备注</t>
        </is>
      </c>
      <c r="I226" s="15" t="inlineStr">
        <is>
          <t>签名</t>
        </is>
      </c>
    </row>
    <row r="227">
      <c r="A227" s="7" t="n"/>
      <c r="B227" s="9" t="n"/>
      <c r="C227" s="9" t="n"/>
      <c r="D227" s="11">
        <f>IFERROR((C227-B227)*1440,"")</f>
        <v/>
      </c>
      <c r="E227" s="9" t="n"/>
      <c r="F227" s="11">
        <f>IFERROR(E227*D227,"")</f>
        <v/>
      </c>
      <c r="G227" s="9" t="n"/>
      <c r="H227" s="9" t="n"/>
      <c r="I227" s="9" t="n"/>
    </row>
    <row r="228">
      <c r="A228" s="16" t="inlineStr">
        <is>
          <t>跳跃</t>
        </is>
      </c>
      <c r="B228" s="16" t="inlineStr">
        <is>
          <t>类型</t>
        </is>
      </c>
      <c r="C228" s="16" t="inlineStr">
        <is>
          <t>组×次</t>
        </is>
      </c>
      <c r="D228" s="16" t="inlineStr">
        <is>
          <t>负荷kg</t>
        </is>
      </c>
      <c r="E228" s="16" t="inlineStr">
        <is>
          <t>接触</t>
        </is>
      </c>
    </row>
    <row r="229">
      <c r="B229" t="inlineStr">
        <is>
          <t>CMJ</t>
        </is>
      </c>
      <c r="C229" t="inlineStr">
        <is>
          <t>3×3</t>
        </is>
      </c>
      <c r="D229" t="n">
        <v>0</v>
      </c>
      <c r="E229" t="n">
        <v>9</v>
      </c>
    </row>
    <row r="230">
      <c r="B230" t="inlineStr">
        <is>
          <t>箱跳</t>
        </is>
      </c>
      <c r="C230" t="inlineStr">
        <is>
          <t>2×3</t>
        </is>
      </c>
      <c r="D230" t="n">
        <v>0</v>
      </c>
      <c r="E230" t="n">
        <v>6</v>
      </c>
    </row>
    <row r="231">
      <c r="A231" s="17" t="inlineStr">
        <is>
          <t>▶ 暴露量汇总</t>
        </is>
      </c>
      <c r="B231" s="17" t="inlineStr">
        <is>
          <t>说明</t>
        </is>
      </c>
      <c r="C231" s="17" t="inlineStr">
        <is>
          <t>公式/来源</t>
        </is>
      </c>
      <c r="D231" s="17" t="inlineStr">
        <is>
          <t>数值</t>
        </is>
      </c>
    </row>
    <row r="232">
      <c r="A232" s="18" t="inlineStr">
        <is>
          <t>① 无负荷跳跃接触</t>
        </is>
      </c>
      <c r="B232" s="18" t="inlineStr">
        <is>
          <t>CMJ+SJ+箱跳</t>
        </is>
      </c>
      <c r="C232" s="19">
        <f>IFERROR(E229+E230,2)</f>
        <v/>
      </c>
    </row>
    <row r="233">
      <c r="A233" s="18" t="inlineStr">
        <is>
          <t>② 负重跳跃接触</t>
        </is>
      </c>
      <c r="B233" s="18" t="inlineStr">
        <is>
          <t>负重深蹲跳</t>
        </is>
      </c>
      <c r="C233" s="19">
        <f>IFERROR(E229,"")</f>
        <v/>
      </c>
    </row>
    <row r="234">
      <c r="A234" s="18" t="inlineStr">
        <is>
          <t>③ 跳跃总计</t>
        </is>
      </c>
      <c r="B234" s="18" t="inlineStr">
        <is>
          <t>①+②</t>
        </is>
      </c>
      <c r="C234" s="19">
        <f>IFERROR(B232+B233,"")</f>
        <v/>
      </c>
    </row>
    <row r="235">
      <c r="A235" s="18" t="inlineStr">
        <is>
          <t>④ 热身VL</t>
        </is>
      </c>
      <c r="B235" s="18" t="inlineStr">
        <is>
          <t>20×5+50%×3(+70%×2)</t>
        </is>
      </c>
      <c r="C235" s="19">
        <f>IFERROR(20*5+ROUND(V215*0.5,0)*3+ROUND(V{dr}*0.7,0)*2,"-")</f>
        <v/>
      </c>
    </row>
    <row r="236">
      <c r="A236" s="20" t="inlineStr">
        <is>
          <t>⑤ 主项工作组VL ★</t>
        </is>
      </c>
      <c r="B236" s="20" t="inlineStr">
        <is>
          <t>Σ(负荷×次数)</t>
        </is>
      </c>
      <c r="C236" s="21">
        <f>SUMPRODUCT($B$219:$B$224,$R$219:$R$224)</f>
        <v/>
      </c>
    </row>
    <row r="237">
      <c r="A237" s="18" t="inlineStr">
        <is>
          <t>⑥ 主项总VL</t>
        </is>
      </c>
      <c r="B237" s="18" t="inlineStr">
        <is>
          <t>④+⑤</t>
        </is>
      </c>
      <c r="C237" s="19">
        <f>IFERROR(D232+D233,"")</f>
        <v/>
      </c>
    </row>
    <row r="238">
      <c r="A238" s="18" t="inlineStr">
        <is>
          <t>⑦ 辅助VL</t>
        </is>
      </c>
      <c r="B238" s="18" t="inlineStr">
        <is>
          <t>RDL/保加利亚</t>
        </is>
      </c>
      <c r="C238" s="19">
        <f>IFERROR(I225,"")</f>
        <v/>
      </c>
    </row>
    <row r="239">
      <c r="A239" s="18" t="inlineStr">
        <is>
          <t>⑧ 总外部负荷</t>
        </is>
      </c>
      <c r="B239" s="18" t="inlineStr">
        <is>
          <t>⑥+⑦(+负重跳)</t>
        </is>
      </c>
      <c r="C239" s="19">
        <f>IFERROR(F232+G232,"")</f>
        <v/>
      </c>
    </row>
    <row r="240">
      <c r="A240" s="18" t="inlineStr">
        <is>
          <t>⑨ sRPE load</t>
        </is>
      </c>
      <c r="B240" s="18" t="inlineStr">
        <is>
          <t>sRPE×时长</t>
        </is>
      </c>
      <c r="C240" s="19">
        <f>IFERROR(F227,"")</f>
        <v/>
      </c>
    </row>
    <row r="243">
      <c r="A243" s="5" t="inlineStr">
        <is>
          <t>P018 孟维宇  a=1.71 b=-0.0105 1RM=122.5</t>
        </is>
      </c>
    </row>
    <row r="244">
      <c r="A244" s="6" t="inlineStr">
        <is>
          <t>编号</t>
        </is>
      </c>
      <c r="B244" s="6" t="inlineStr">
        <is>
          <t>姓名</t>
        </is>
      </c>
      <c r="C244" s="6" t="inlineStr">
        <is>
          <t>身高</t>
        </is>
      </c>
      <c r="D244" s="6" t="inlineStr">
        <is>
          <t>1RM</t>
        </is>
      </c>
      <c r="E244" s="6" t="inlineStr">
        <is>
          <t>Hooper睡</t>
        </is>
      </c>
      <c r="F244" s="6" t="inlineStr">
        <is>
          <t>Hooper压</t>
        </is>
      </c>
      <c r="G244" s="6" t="inlineStr">
        <is>
          <t>Hooper疲</t>
        </is>
      </c>
      <c r="H244" s="6" t="inlineStr">
        <is>
          <t>Hooper酸</t>
        </is>
      </c>
      <c r="I244" s="6" t="inlineStr">
        <is>
          <t>H总</t>
        </is>
      </c>
      <c r="J244" s="6" t="inlineStr">
        <is>
          <t>不适?</t>
        </is>
      </c>
      <c r="K244" s="6" t="inlineStr">
        <is>
          <t>说明</t>
        </is>
      </c>
      <c r="L244" s="6" t="inlineStr">
        <is>
          <t>CMJ1</t>
        </is>
      </c>
      <c r="M244" s="6" t="inlineStr">
        <is>
          <t>CMJ2</t>
        </is>
      </c>
      <c r="N244" s="6" t="inlineStr">
        <is>
          <t>CMJ3</t>
        </is>
      </c>
      <c r="O244" s="6" t="inlineStr">
        <is>
          <t>CMJμ</t>
        </is>
      </c>
      <c r="P244" s="6" t="inlineStr">
        <is>
          <t>&lt;95%</t>
        </is>
      </c>
      <c r="Q244" s="6" t="inlineStr">
        <is>
          <t>减组</t>
        </is>
      </c>
      <c r="R244" s="6" t="inlineStr">
        <is>
          <t>组数</t>
        </is>
      </c>
      <c r="S244" s="6" t="inlineStr">
        <is>
          <t>a(V0)</t>
        </is>
      </c>
      <c r="T244" s="6" t="inlineStr">
        <is>
          <t>b</t>
        </is>
      </c>
      <c r="U244" s="6" t="inlineStr">
        <is>
          <t>等级</t>
        </is>
      </c>
      <c r="V244" s="6" t="inlineStr">
        <is>
          <t>预测起始</t>
        </is>
      </c>
    </row>
    <row r="245">
      <c r="A245" s="7" t="inlineStr">
        <is>
          <t>P018</t>
        </is>
      </c>
      <c r="B245" s="7" t="inlineStr">
        <is>
          <t>孟维宇</t>
        </is>
      </c>
      <c r="C245" s="7" t="n">
        <v>173</v>
      </c>
      <c r="D245" s="8" t="n">
        <v>122.5</v>
      </c>
      <c r="E245" s="9" t="n"/>
      <c r="F245" s="9" t="n"/>
      <c r="G245" s="9" t="n"/>
      <c r="H245" s="9" t="n"/>
      <c r="I245" s="7">
        <f>IFERROR(SUM(E245:H245),"")</f>
        <v/>
      </c>
      <c r="J245" s="9" t="n"/>
      <c r="K245" s="9" t="n"/>
      <c r="L245" s="9" t="n"/>
      <c r="M245" s="9" t="n"/>
      <c r="N245" s="9" t="n"/>
      <c r="O245" s="7">
        <f>IFERROR(AVERAGE(L245:N245),"")</f>
        <v/>
      </c>
      <c r="P245" s="7">
        <f>IF(O245="","",IF(O245&lt;52.6,"是⚠","否"))</f>
        <v/>
      </c>
      <c r="Q245" s="7">
        <f>IF(O245="","",IF(O245&lt;52.6,4-1,4))</f>
        <v/>
      </c>
      <c r="R245" s="7" t="n"/>
      <c r="S245" s="8" t="n">
        <v>1.71</v>
      </c>
      <c r="T245" s="8" t="n">
        <v>-0.0105</v>
      </c>
      <c r="U245" s="7" t="inlineStr">
        <is>
          <t>B</t>
        </is>
      </c>
      <c r="V245" s="8" t="n">
        <v>105</v>
      </c>
    </row>
    <row r="246">
      <c r="A246" s="10" t="inlineStr">
        <is>
          <t>热身校准</t>
        </is>
      </c>
      <c r="B246" s="10" t="inlineStr">
        <is>
          <t>a</t>
        </is>
      </c>
      <c r="C246" s="10" t="inlineStr">
        <is>
          <t>b</t>
        </is>
      </c>
      <c r="D246" s="10" t="inlineStr">
        <is>
          <t>50%热身</t>
        </is>
      </c>
      <c r="E246" s="10" t="inlineStr">
        <is>
          <t>70%热身</t>
        </is>
      </c>
      <c r="F246" s="10" t="inlineStr">
        <is>
          <t>热身负荷</t>
        </is>
      </c>
      <c r="G246" s="10" t="inlineStr">
        <is>
          <t>实测MCV</t>
        </is>
      </c>
      <c r="H246" s="10" t="inlineStr">
        <is>
          <t>预测MCV</t>
        </is>
      </c>
      <c r="I246" s="10" t="inlineStr">
        <is>
          <t>Δv</t>
        </is>
      </c>
      <c r="J246" s="10" t="inlineStr">
        <is>
          <t>调整量</t>
        </is>
      </c>
      <c r="K246" s="10" t="inlineStr">
        <is>
          <t>校准第1组</t>
        </is>
      </c>
    </row>
    <row r="247">
      <c r="A247" s="7" t="n"/>
      <c r="B247" s="11" t="n">
        <v>1.71</v>
      </c>
      <c r="C247" s="11" t="n">
        <v>-0.0105</v>
      </c>
      <c r="D247" s="11">
        <f>IFERROR(ROUND(V245*0.5/2.5,0)*2.5,"")</f>
        <v/>
      </c>
      <c r="E247" s="11">
        <f>IFERROR(ROUND(V245*0.7/2.5,0)*2.5,"")</f>
        <v/>
      </c>
      <c r="F247" s="11">
        <f>IFERROR(ROUND(V245*0.6/2.5,0)*2.5,"")</f>
        <v/>
      </c>
      <c r="G247" s="9" t="n"/>
      <c r="H247" s="11">
        <f>IFERROR(B247+C247*F247,"")</f>
        <v/>
      </c>
      <c r="I247" s="11">
        <f>IFERROR(G247-H247,"")</f>
        <v/>
      </c>
      <c r="J247" s="11">
        <f>IFERROR(IF(I247&gt;0.08,5,IF(I247&gt;0.04,2.5,IF(I247&gt;=-0.04,0,IF(I247&gt;=-0.08,-2.5,-5)))),"")</f>
        <v/>
      </c>
      <c r="K247" s="11">
        <f>IFERROR(ROUND(V245+J247,0),"")</f>
        <v/>
      </c>
    </row>
    <row r="248">
      <c r="A248" s="12" t="inlineStr">
        <is>
          <t>组</t>
        </is>
      </c>
      <c r="B248" s="12" t="inlineStr">
        <is>
          <t>负荷</t>
        </is>
      </c>
      <c r="C248" s="12" t="inlineStr">
        <is>
          <t>rep1</t>
        </is>
      </c>
      <c r="D248" s="12" t="inlineStr">
        <is>
          <t>rep2</t>
        </is>
      </c>
      <c r="E248" s="12" t="inlineStr">
        <is>
          <t>rep3</t>
        </is>
      </c>
      <c r="F248" s="12" t="inlineStr">
        <is>
          <t>rep4</t>
        </is>
      </c>
      <c r="G248" s="12" t="inlineStr">
        <is>
          <t>rep5</t>
        </is>
      </c>
      <c r="H248" s="12" t="inlineStr">
        <is>
          <t>rep6</t>
        </is>
      </c>
      <c r="I248" s="12" t="inlineStr">
        <is>
          <t>best</t>
        </is>
      </c>
      <c r="J248" s="12" t="inlineStr">
        <is>
          <t>best#</t>
        </is>
      </c>
      <c r="K248" s="12" t="inlineStr">
        <is>
          <t>VL%</t>
        </is>
      </c>
      <c r="L248" s="12" t="inlineStr">
        <is>
          <t>stop_th</t>
        </is>
      </c>
      <c r="M248" s="12" t="inlineStr">
        <is>
          <t>latest</t>
        </is>
      </c>
      <c r="N248" s="12" t="inlineStr">
        <is>
          <t>VL_flag</t>
        </is>
      </c>
      <c r="O248" s="12" t="inlineStr">
        <is>
          <t>safety</t>
        </is>
      </c>
      <c r="P248" s="12" t="inlineStr">
        <is>
          <t>原因</t>
        </is>
      </c>
      <c r="Q248" s="12" t="inlineStr">
        <is>
          <t>建议</t>
        </is>
      </c>
      <c r="R248" s="12" t="inlineStr">
        <is>
          <t>次数</t>
        </is>
      </c>
    </row>
    <row r="249">
      <c r="A249" s="7" t="n">
        <v>1</v>
      </c>
      <c r="B249" s="9">
        <f>IFERROR(K247,"")</f>
        <v/>
      </c>
      <c r="C249" s="9" t="n"/>
      <c r="D249" s="9" t="n"/>
      <c r="E249" s="9" t="n"/>
      <c r="F249" s="9" t="n"/>
      <c r="G249" s="9" t="n"/>
      <c r="H249" s="9" t="n"/>
      <c r="I249" s="7">
        <f>IFERROR(MAX(C249:H249),"")</f>
        <v/>
      </c>
      <c r="J249" s="7">
        <f>IFERROR(MATCH(I249,C249:H249,0),"")</f>
        <v/>
      </c>
      <c r="K249" s="7" t="n">
        <v>18</v>
      </c>
      <c r="L249" s="7">
        <f>IFERROR(I249*(1-(K249/100)),"")</f>
        <v/>
      </c>
      <c r="M249" s="7">
        <f>IFERROR(LOOKUP(9.99E+307,C249:H249),"")</f>
        <v/>
      </c>
      <c r="N249" s="7">
        <f>IFERROR(IF(M249="","",IF(M249&lt;=N249,"停组🛑","继续✓")),"")</f>
        <v/>
      </c>
      <c r="O249" s="7">
        <f>IFERROR(IF(M249="","",IF(M249&lt;0.15,"SAFETY_STOP","")),"")</f>
        <v/>
      </c>
      <c r="P249" s="7">
        <f>IFERROR(IF(M249="","",IF(M249&lt;0.15,"SAFETY_STOP",IF(M249&lt;=N249,"VL_THRESHOLD",""))),"")</f>
        <v/>
      </c>
      <c r="Q249" s="7">
        <f>IFERROR(IF(I249="","",IF(I249&gt;(0.6+0.05),"+5kg",IF(I249&gt;(0.6+0.02),"+2.5kg",IF(I249&gt;=(0.6-0.05),"保持",IF(I249&gt;=(0.6-0.08),"-2.5kg","-5kg"))))),"")</f>
        <v/>
      </c>
      <c r="R249" s="9" t="n"/>
    </row>
    <row r="250">
      <c r="A250" s="7" t="n">
        <v>2</v>
      </c>
      <c r="B250" s="9" t="n"/>
      <c r="C250" s="9" t="n"/>
      <c r="D250" s="9" t="n"/>
      <c r="E250" s="9" t="n"/>
      <c r="F250" s="9" t="n"/>
      <c r="G250" s="9" t="n"/>
      <c r="H250" s="9" t="n"/>
      <c r="I250" s="7">
        <f>IFERROR(MAX(C250:H250),"")</f>
        <v/>
      </c>
      <c r="J250" s="7">
        <f>IFERROR(MATCH(I250,C250:H250,0),"")</f>
        <v/>
      </c>
      <c r="K250" s="7" t="n">
        <v>18</v>
      </c>
      <c r="L250" s="7">
        <f>IFERROR(I250*(1-(K250/100)),"")</f>
        <v/>
      </c>
      <c r="M250" s="7">
        <f>IFERROR(LOOKUP(9.99E+307,C250:H250),"")</f>
        <v/>
      </c>
      <c r="N250" s="7">
        <f>IFERROR(IF(M250="","",IF(M250&lt;=N250,"停组🛑","继续✓")),"")</f>
        <v/>
      </c>
      <c r="O250" s="7">
        <f>IFERROR(IF(M250="","",IF(M250&lt;0.15,"SAFETY_STOP","")),"")</f>
        <v/>
      </c>
      <c r="P250" s="7">
        <f>IFERROR(IF(M250="","",IF(M250&lt;0.15,"SAFETY_STOP",IF(M250&lt;=N250,"VL_THRESHOLD",""))),"")</f>
        <v/>
      </c>
      <c r="Q250" s="7">
        <f>IFERROR(IF(I250="","",IF(I250&gt;(0.6+0.05),"+5kg",IF(I250&gt;(0.6+0.02),"+2.5kg",IF(I250&gt;=(0.6-0.05),"保持",IF(I250&gt;=(0.6-0.08),"-2.5kg","-5kg"))))),"")</f>
        <v/>
      </c>
      <c r="R250" s="9" t="n"/>
    </row>
    <row r="251">
      <c r="A251" s="7" t="n">
        <v>3</v>
      </c>
      <c r="B251" s="9" t="n"/>
      <c r="C251" s="9" t="n"/>
      <c r="D251" s="9" t="n"/>
      <c r="E251" s="9" t="n"/>
      <c r="F251" s="9" t="n"/>
      <c r="G251" s="9" t="n"/>
      <c r="H251" s="9" t="n"/>
      <c r="I251" s="7">
        <f>IFERROR(MAX(C251:H251),"")</f>
        <v/>
      </c>
      <c r="J251" s="7">
        <f>IFERROR(MATCH(I251,C251:H251,0),"")</f>
        <v/>
      </c>
      <c r="K251" s="7" t="n">
        <v>18</v>
      </c>
      <c r="L251" s="7">
        <f>IFERROR(I251*(1-(K251/100)),"")</f>
        <v/>
      </c>
      <c r="M251" s="7">
        <f>IFERROR(LOOKUP(9.99E+307,C251:H251),"")</f>
        <v/>
      </c>
      <c r="N251" s="7">
        <f>IFERROR(IF(M251="","",IF(M251&lt;=N251,"停组🛑","继续✓")),"")</f>
        <v/>
      </c>
      <c r="O251" s="7">
        <f>IFERROR(IF(M251="","",IF(M251&lt;0.15,"SAFETY_STOP","")),"")</f>
        <v/>
      </c>
      <c r="P251" s="7">
        <f>IFERROR(IF(M251="","",IF(M251&lt;0.15,"SAFETY_STOP",IF(M251&lt;=N251,"VL_THRESHOLD",""))),"")</f>
        <v/>
      </c>
      <c r="Q251" s="7">
        <f>IFERROR(IF(I251="","",IF(I251&gt;(0.6+0.05),"+5kg",IF(I251&gt;(0.6+0.02),"+2.5kg",IF(I251&gt;=(0.6-0.05),"保持",IF(I251&gt;=(0.6-0.08),"-2.5kg","-5kg"))))),"")</f>
        <v/>
      </c>
      <c r="R251" s="9" t="n"/>
    </row>
    <row r="252">
      <c r="A252" s="7" t="n">
        <v>4</v>
      </c>
      <c r="B252" s="9" t="n"/>
      <c r="C252" s="9" t="n"/>
      <c r="D252" s="9" t="n"/>
      <c r="E252" s="9" t="n"/>
      <c r="F252" s="9" t="n"/>
      <c r="G252" s="9" t="n"/>
      <c r="H252" s="9" t="n"/>
      <c r="I252" s="7">
        <f>IFERROR(MAX(C252:H252),"")</f>
        <v/>
      </c>
      <c r="J252" s="7">
        <f>IFERROR(MATCH(I252,C252:H252,0),"")</f>
        <v/>
      </c>
      <c r="K252" s="7" t="n">
        <v>18</v>
      </c>
      <c r="L252" s="7">
        <f>IFERROR(I252*(1-(K252/100)),"")</f>
        <v/>
      </c>
      <c r="M252" s="7">
        <f>IFERROR(LOOKUP(9.99E+307,C252:H252),"")</f>
        <v/>
      </c>
      <c r="N252" s="7">
        <f>IFERROR(IF(M252="","",IF(M252&lt;=N252,"停组🛑","继续✓")),"")</f>
        <v/>
      </c>
      <c r="O252" s="7">
        <f>IFERROR(IF(M252="","",IF(M252&lt;0.15,"SAFETY_STOP","")),"")</f>
        <v/>
      </c>
      <c r="P252" s="7">
        <f>IFERROR(IF(M252="","",IF(M252&lt;0.15,"SAFETY_STOP",IF(M252&lt;=N252,"VL_THRESHOLD",""))),"")</f>
        <v/>
      </c>
      <c r="Q252" s="7">
        <f>IFERROR(IF(I252="","",IF(I252&gt;(0.6+0.05),"+5kg",IF(I252&gt;(0.6+0.02),"+2.5kg",IF(I252&gt;=(0.6-0.05),"保持",IF(I252&gt;=(0.6-0.08),"-2.5kg","-5kg"))))),"")</f>
        <v/>
      </c>
      <c r="R252" s="9" t="n"/>
    </row>
    <row r="253">
      <c r="A253" s="7" t="n">
        <v>5</v>
      </c>
      <c r="B253" s="9" t="n"/>
      <c r="C253" s="9" t="n"/>
      <c r="D253" s="9" t="n"/>
      <c r="E253" s="9" t="n"/>
      <c r="F253" s="9" t="n"/>
      <c r="G253" s="9" t="n"/>
      <c r="H253" s="9" t="n"/>
      <c r="I253" s="7">
        <f>IFERROR(MAX(C253:H253),"")</f>
        <v/>
      </c>
      <c r="J253" s="7">
        <f>IFERROR(MATCH(I253,C253:H253,0),"")</f>
        <v/>
      </c>
      <c r="K253" s="7" t="n">
        <v>18</v>
      </c>
      <c r="L253" s="7">
        <f>IFERROR(I253*(1-(K253/100)),"")</f>
        <v/>
      </c>
      <c r="M253" s="7">
        <f>IFERROR(LOOKUP(9.99E+307,C253:H253),"")</f>
        <v/>
      </c>
      <c r="N253" s="7">
        <f>IFERROR(IF(M253="","",IF(M253&lt;=N253,"停组🛑","继续✓")),"")</f>
        <v/>
      </c>
      <c r="O253" s="7">
        <f>IFERROR(IF(M253="","",IF(M253&lt;0.15,"SAFETY_STOP","")),"")</f>
        <v/>
      </c>
      <c r="P253" s="7">
        <f>IFERROR(IF(M253="","",IF(M253&lt;0.15,"SAFETY_STOP",IF(M253&lt;=N253,"VL_THRESHOLD",""))),"")</f>
        <v/>
      </c>
      <c r="Q253" s="7">
        <f>IFERROR(IF(I253="","",IF(I253&gt;(0.6+0.05),"+5kg",IF(I253&gt;(0.6+0.02),"+2.5kg",IF(I253&gt;=(0.6-0.05),"保持",IF(I253&gt;=(0.6-0.08),"-2.5kg","-5kg"))))),"")</f>
        <v/>
      </c>
      <c r="R253" s="9" t="n"/>
    </row>
    <row r="254">
      <c r="A254" s="7" t="n">
        <v>6</v>
      </c>
      <c r="B254" s="9" t="n"/>
      <c r="C254" s="9" t="n"/>
      <c r="D254" s="9" t="n"/>
      <c r="E254" s="9" t="n"/>
      <c r="F254" s="9" t="n"/>
      <c r="G254" s="9" t="n"/>
      <c r="H254" s="9" t="n"/>
      <c r="I254" s="7">
        <f>IFERROR(MAX(C254:H254),"")</f>
        <v/>
      </c>
      <c r="J254" s="7">
        <f>IFERROR(MATCH(I254,C254:H254,0),"")</f>
        <v/>
      </c>
      <c r="K254" s="7" t="n">
        <v>18</v>
      </c>
      <c r="L254" s="7">
        <f>IFERROR(I254*(1-(K254/100)),"")</f>
        <v/>
      </c>
      <c r="M254" s="7">
        <f>IFERROR(LOOKUP(9.99E+307,C254:H254),"")</f>
        <v/>
      </c>
      <c r="N254" s="7">
        <f>IFERROR(IF(M254="","",IF(M254&lt;=N254,"停组🛑","继续✓")),"")</f>
        <v/>
      </c>
      <c r="O254" s="7">
        <f>IFERROR(IF(M254="","",IF(M254&lt;0.15,"SAFETY_STOP","")),"")</f>
        <v/>
      </c>
      <c r="P254" s="7">
        <f>IFERROR(IF(M254="","",IF(M254&lt;0.15,"SAFETY_STOP",IF(M254&lt;=N254,"VL_THRESHOLD",""))),"")</f>
        <v/>
      </c>
      <c r="Q254" s="7">
        <f>IFERROR(IF(I254="","",IF(I254&gt;(0.6+0.05),"+5kg",IF(I254&gt;(0.6+0.02),"+2.5kg",IF(I254&gt;=(0.6-0.05),"保持",IF(I254&gt;=(0.6-0.08),"-2.5kg","-5kg"))))),"")</f>
        <v/>
      </c>
      <c r="R254" s="9" t="n"/>
    </row>
    <row r="255">
      <c r="A255" s="13" t="inlineStr">
        <is>
          <t>辅助</t>
        </is>
      </c>
      <c r="D255" s="14" t="inlineStr">
        <is>
          <t>RDL</t>
        </is>
      </c>
      <c r="E255" s="14" t="inlineStr">
        <is>
          <t>负荷</t>
        </is>
      </c>
      <c r="F255" s="14" t="inlineStr">
        <is>
          <t>完成</t>
        </is>
      </c>
      <c r="I255" t="inlineStr">
        <is>
          <t>VL</t>
        </is>
      </c>
    </row>
    <row r="256">
      <c r="A256" s="15" t="inlineStr">
        <is>
          <t>训练后</t>
        </is>
      </c>
      <c r="B256" s="15" t="inlineStr">
        <is>
          <t>开始</t>
        </is>
      </c>
      <c r="C256" s="15" t="inlineStr">
        <is>
          <t>结束</t>
        </is>
      </c>
      <c r="D256" s="15" t="inlineStr">
        <is>
          <t>时长min</t>
        </is>
      </c>
      <c r="E256" s="15" t="inlineStr">
        <is>
          <t>sRPE</t>
        </is>
      </c>
      <c r="F256" s="15" t="inlineStr">
        <is>
          <t>load</t>
        </is>
      </c>
      <c r="G256" s="15" t="inlineStr">
        <is>
          <t>不适?</t>
        </is>
      </c>
      <c r="H256" s="15" t="inlineStr">
        <is>
          <t>备注</t>
        </is>
      </c>
      <c r="I256" s="15" t="inlineStr">
        <is>
          <t>签名</t>
        </is>
      </c>
    </row>
    <row r="257">
      <c r="A257" s="7" t="n"/>
      <c r="B257" s="9" t="n"/>
      <c r="C257" s="9" t="n"/>
      <c r="D257" s="11">
        <f>IFERROR((C257-B257)*1440,"")</f>
        <v/>
      </c>
      <c r="E257" s="9" t="n"/>
      <c r="F257" s="11">
        <f>IFERROR(E257*D257,"")</f>
        <v/>
      </c>
      <c r="G257" s="9" t="n"/>
      <c r="H257" s="9" t="n"/>
      <c r="I257" s="9" t="n"/>
    </row>
    <row r="258">
      <c r="A258" s="16" t="inlineStr">
        <is>
          <t>跳跃</t>
        </is>
      </c>
      <c r="B258" s="16" t="inlineStr">
        <is>
          <t>类型</t>
        </is>
      </c>
      <c r="C258" s="16" t="inlineStr">
        <is>
          <t>组×次</t>
        </is>
      </c>
      <c r="D258" s="16" t="inlineStr">
        <is>
          <t>负荷kg</t>
        </is>
      </c>
      <c r="E258" s="16" t="inlineStr">
        <is>
          <t>接触</t>
        </is>
      </c>
    </row>
    <row r="259">
      <c r="B259" t="inlineStr">
        <is>
          <t>CMJ</t>
        </is>
      </c>
      <c r="C259" t="inlineStr">
        <is>
          <t>3×3</t>
        </is>
      </c>
      <c r="D259" t="n">
        <v>0</v>
      </c>
      <c r="E259" t="n">
        <v>9</v>
      </c>
    </row>
    <row r="260">
      <c r="B260" t="inlineStr">
        <is>
          <t>箱跳</t>
        </is>
      </c>
      <c r="C260" t="inlineStr">
        <is>
          <t>2×3</t>
        </is>
      </c>
      <c r="D260" t="n">
        <v>0</v>
      </c>
      <c r="E260" t="n">
        <v>6</v>
      </c>
    </row>
    <row r="261">
      <c r="A261" s="17" t="inlineStr">
        <is>
          <t>▶ 暴露量汇总</t>
        </is>
      </c>
      <c r="B261" s="17" t="inlineStr">
        <is>
          <t>说明</t>
        </is>
      </c>
      <c r="C261" s="17" t="inlineStr">
        <is>
          <t>公式/来源</t>
        </is>
      </c>
      <c r="D261" s="17" t="inlineStr">
        <is>
          <t>数值</t>
        </is>
      </c>
    </row>
    <row r="262">
      <c r="A262" s="18" t="inlineStr">
        <is>
          <t>① 无负荷跳跃接触</t>
        </is>
      </c>
      <c r="B262" s="18" t="inlineStr">
        <is>
          <t>CMJ+SJ+箱跳</t>
        </is>
      </c>
      <c r="C262" s="19">
        <f>IFERROR(E259+E260,2)</f>
        <v/>
      </c>
    </row>
    <row r="263">
      <c r="A263" s="18" t="inlineStr">
        <is>
          <t>② 负重跳跃接触</t>
        </is>
      </c>
      <c r="B263" s="18" t="inlineStr">
        <is>
          <t>负重深蹲跳</t>
        </is>
      </c>
      <c r="C263" s="19">
        <f>IFERROR(E259,"")</f>
        <v/>
      </c>
    </row>
    <row r="264">
      <c r="A264" s="18" t="inlineStr">
        <is>
          <t>③ 跳跃总计</t>
        </is>
      </c>
      <c r="B264" s="18" t="inlineStr">
        <is>
          <t>①+②</t>
        </is>
      </c>
      <c r="C264" s="19">
        <f>IFERROR(B262+B263,"")</f>
        <v/>
      </c>
    </row>
    <row r="265">
      <c r="A265" s="18" t="inlineStr">
        <is>
          <t>④ 热身VL</t>
        </is>
      </c>
      <c r="B265" s="18" t="inlineStr">
        <is>
          <t>20×5+50%×3(+70%×2)</t>
        </is>
      </c>
      <c r="C265" s="19">
        <f>IFERROR(20*5+ROUND(V245*0.5,0)*3+ROUND(V{dr}*0.7,0)*2,"-")</f>
        <v/>
      </c>
    </row>
    <row r="266">
      <c r="A266" s="20" t="inlineStr">
        <is>
          <t>⑤ 主项工作组VL ★</t>
        </is>
      </c>
      <c r="B266" s="20" t="inlineStr">
        <is>
          <t>Σ(负荷×次数)</t>
        </is>
      </c>
      <c r="C266" s="21">
        <f>SUMPRODUCT($B$249:$B$254,$R$249:$R$254)</f>
        <v/>
      </c>
    </row>
    <row r="267">
      <c r="A267" s="18" t="inlineStr">
        <is>
          <t>⑥ 主项总VL</t>
        </is>
      </c>
      <c r="B267" s="18" t="inlineStr">
        <is>
          <t>④+⑤</t>
        </is>
      </c>
      <c r="C267" s="19">
        <f>IFERROR(D262+D263,"")</f>
        <v/>
      </c>
    </row>
    <row r="268">
      <c r="A268" s="18" t="inlineStr">
        <is>
          <t>⑦ 辅助VL</t>
        </is>
      </c>
      <c r="B268" s="18" t="inlineStr">
        <is>
          <t>RDL/保加利亚</t>
        </is>
      </c>
      <c r="C268" s="19">
        <f>IFERROR(I255,"")</f>
        <v/>
      </c>
    </row>
    <row r="269">
      <c r="A269" s="18" t="inlineStr">
        <is>
          <t>⑧ 总外部负荷</t>
        </is>
      </c>
      <c r="B269" s="18" t="inlineStr">
        <is>
          <t>⑥+⑦(+负重跳)</t>
        </is>
      </c>
      <c r="C269" s="19">
        <f>IFERROR(F262+G262,"")</f>
        <v/>
      </c>
    </row>
    <row r="270">
      <c r="A270" s="18" t="inlineStr">
        <is>
          <t>⑨ sRPE load</t>
        </is>
      </c>
      <c r="B270" s="18" t="inlineStr">
        <is>
          <t>sRPE×时长</t>
        </is>
      </c>
      <c r="C270" s="19">
        <f>IFERROR(F257,"")</f>
        <v/>
      </c>
    </row>
    <row r="273">
      <c r="A273" s="5" t="inlineStr">
        <is>
          <t>P026 古翔宇  a=1.64 b=-0.00975 1RM=135</t>
        </is>
      </c>
    </row>
    <row r="274">
      <c r="A274" s="6" t="inlineStr">
        <is>
          <t>编号</t>
        </is>
      </c>
      <c r="B274" s="6" t="inlineStr">
        <is>
          <t>姓名</t>
        </is>
      </c>
      <c r="C274" s="6" t="inlineStr">
        <is>
          <t>身高</t>
        </is>
      </c>
      <c r="D274" s="6" t="inlineStr">
        <is>
          <t>1RM</t>
        </is>
      </c>
      <c r="E274" s="6" t="inlineStr">
        <is>
          <t>Hooper睡</t>
        </is>
      </c>
      <c r="F274" s="6" t="inlineStr">
        <is>
          <t>Hooper压</t>
        </is>
      </c>
      <c r="G274" s="6" t="inlineStr">
        <is>
          <t>Hooper疲</t>
        </is>
      </c>
      <c r="H274" s="6" t="inlineStr">
        <is>
          <t>Hooper酸</t>
        </is>
      </c>
      <c r="I274" s="6" t="inlineStr">
        <is>
          <t>H总</t>
        </is>
      </c>
      <c r="J274" s="6" t="inlineStr">
        <is>
          <t>不适?</t>
        </is>
      </c>
      <c r="K274" s="6" t="inlineStr">
        <is>
          <t>说明</t>
        </is>
      </c>
      <c r="L274" s="6" t="inlineStr">
        <is>
          <t>CMJ1</t>
        </is>
      </c>
      <c r="M274" s="6" t="inlineStr">
        <is>
          <t>CMJ2</t>
        </is>
      </c>
      <c r="N274" s="6" t="inlineStr">
        <is>
          <t>CMJ3</t>
        </is>
      </c>
      <c r="O274" s="6" t="inlineStr">
        <is>
          <t>CMJμ</t>
        </is>
      </c>
      <c r="P274" s="6" t="inlineStr">
        <is>
          <t>&lt;95%</t>
        </is>
      </c>
      <c r="Q274" s="6" t="inlineStr">
        <is>
          <t>减组</t>
        </is>
      </c>
      <c r="R274" s="6" t="inlineStr">
        <is>
          <t>组数</t>
        </is>
      </c>
      <c r="S274" s="6" t="inlineStr">
        <is>
          <t>a(V0)</t>
        </is>
      </c>
      <c r="T274" s="6" t="inlineStr">
        <is>
          <t>b</t>
        </is>
      </c>
      <c r="U274" s="6" t="inlineStr">
        <is>
          <t>等级</t>
        </is>
      </c>
      <c r="V274" s="6" t="inlineStr">
        <is>
          <t>预测起始</t>
        </is>
      </c>
    </row>
    <row r="275">
      <c r="A275" s="7" t="inlineStr">
        <is>
          <t>P026</t>
        </is>
      </c>
      <c r="B275" s="7" t="inlineStr">
        <is>
          <t>古翔宇</t>
        </is>
      </c>
      <c r="C275" s="7" t="n">
        <v>180</v>
      </c>
      <c r="D275" s="8" t="n">
        <v>135</v>
      </c>
      <c r="E275" s="9" t="n"/>
      <c r="F275" s="9" t="n"/>
      <c r="G275" s="9" t="n"/>
      <c r="H275" s="9" t="n"/>
      <c r="I275" s="7">
        <f>IFERROR(SUM(E275:H275),"")</f>
        <v/>
      </c>
      <c r="J275" s="9" t="n"/>
      <c r="K275" s="9" t="n"/>
      <c r="L275" s="9" t="n"/>
      <c r="M275" s="9" t="n"/>
      <c r="N275" s="9" t="n"/>
      <c r="O275" s="7">
        <f>IFERROR(AVERAGE(L275:N275),"")</f>
        <v/>
      </c>
      <c r="P275" s="7">
        <f>IF(O275="","",IF(O275&lt;45.51,"是⚠","否"))</f>
        <v/>
      </c>
      <c r="Q275" s="7">
        <f>IF(O275="","",IF(O275&lt;45.51,4-1,4))</f>
        <v/>
      </c>
      <c r="R275" s="7" t="n"/>
      <c r="S275" s="8" t="n">
        <v>1.64</v>
      </c>
      <c r="T275" s="8" t="n">
        <v>-0.00975</v>
      </c>
      <c r="U275" s="7" t="inlineStr">
        <is>
          <t>A</t>
        </is>
      </c>
      <c r="V275" s="8" t="n">
        <v>107.5</v>
      </c>
    </row>
    <row r="276">
      <c r="A276" s="10" t="inlineStr">
        <is>
          <t>热身校准</t>
        </is>
      </c>
      <c r="B276" s="10" t="inlineStr">
        <is>
          <t>a</t>
        </is>
      </c>
      <c r="C276" s="10" t="inlineStr">
        <is>
          <t>b</t>
        </is>
      </c>
      <c r="D276" s="10" t="inlineStr">
        <is>
          <t>50%热身</t>
        </is>
      </c>
      <c r="E276" s="10" t="inlineStr">
        <is>
          <t>70%热身</t>
        </is>
      </c>
      <c r="F276" s="10" t="inlineStr">
        <is>
          <t>热身负荷</t>
        </is>
      </c>
      <c r="G276" s="10" t="inlineStr">
        <is>
          <t>实测MCV</t>
        </is>
      </c>
      <c r="H276" s="10" t="inlineStr">
        <is>
          <t>预测MCV</t>
        </is>
      </c>
      <c r="I276" s="10" t="inlineStr">
        <is>
          <t>Δv</t>
        </is>
      </c>
      <c r="J276" s="10" t="inlineStr">
        <is>
          <t>调整量</t>
        </is>
      </c>
      <c r="K276" s="10" t="inlineStr">
        <is>
          <t>校准第1组</t>
        </is>
      </c>
    </row>
    <row r="277">
      <c r="A277" s="7" t="n"/>
      <c r="B277" s="11" t="n">
        <v>1.64</v>
      </c>
      <c r="C277" s="11" t="n">
        <v>-0.00975</v>
      </c>
      <c r="D277" s="11">
        <f>IFERROR(ROUND(V275*0.5/2.5,0)*2.5,"")</f>
        <v/>
      </c>
      <c r="E277" s="11">
        <f>IFERROR(ROUND(V275*0.7/2.5,0)*2.5,"")</f>
        <v/>
      </c>
      <c r="F277" s="11">
        <f>IFERROR(ROUND(V275*0.6/2.5,0)*2.5,"")</f>
        <v/>
      </c>
      <c r="G277" s="9" t="n"/>
      <c r="H277" s="11">
        <f>IFERROR(B277+C277*F277,"")</f>
        <v/>
      </c>
      <c r="I277" s="11">
        <f>IFERROR(G277-H277,"")</f>
        <v/>
      </c>
      <c r="J277" s="11">
        <f>IFERROR(IF(I277&gt;0.08,5,IF(I277&gt;0.04,2.5,IF(I277&gt;=-0.04,0,IF(I277&gt;=-0.08,-2.5,-5)))),"")</f>
        <v/>
      </c>
      <c r="K277" s="11">
        <f>IFERROR(ROUND(V275+J277,0),"")</f>
        <v/>
      </c>
    </row>
    <row r="278">
      <c r="A278" s="12" t="inlineStr">
        <is>
          <t>组</t>
        </is>
      </c>
      <c r="B278" s="12" t="inlineStr">
        <is>
          <t>负荷</t>
        </is>
      </c>
      <c r="C278" s="12" t="inlineStr">
        <is>
          <t>rep1</t>
        </is>
      </c>
      <c r="D278" s="12" t="inlineStr">
        <is>
          <t>rep2</t>
        </is>
      </c>
      <c r="E278" s="12" t="inlineStr">
        <is>
          <t>rep3</t>
        </is>
      </c>
      <c r="F278" s="12" t="inlineStr">
        <is>
          <t>rep4</t>
        </is>
      </c>
      <c r="G278" s="12" t="inlineStr">
        <is>
          <t>rep5</t>
        </is>
      </c>
      <c r="H278" s="12" t="inlineStr">
        <is>
          <t>rep6</t>
        </is>
      </c>
      <c r="I278" s="12" t="inlineStr">
        <is>
          <t>best</t>
        </is>
      </c>
      <c r="J278" s="12" t="inlineStr">
        <is>
          <t>best#</t>
        </is>
      </c>
      <c r="K278" s="12" t="inlineStr">
        <is>
          <t>VL%</t>
        </is>
      </c>
      <c r="L278" s="12" t="inlineStr">
        <is>
          <t>stop_th</t>
        </is>
      </c>
      <c r="M278" s="12" t="inlineStr">
        <is>
          <t>latest</t>
        </is>
      </c>
      <c r="N278" s="12" t="inlineStr">
        <is>
          <t>VL_flag</t>
        </is>
      </c>
      <c r="O278" s="12" t="inlineStr">
        <is>
          <t>safety</t>
        </is>
      </c>
      <c r="P278" s="12" t="inlineStr">
        <is>
          <t>原因</t>
        </is>
      </c>
      <c r="Q278" s="12" t="inlineStr">
        <is>
          <t>建议</t>
        </is>
      </c>
      <c r="R278" s="12" t="inlineStr">
        <is>
          <t>次数</t>
        </is>
      </c>
    </row>
    <row r="279">
      <c r="A279" s="7" t="n">
        <v>1</v>
      </c>
      <c r="B279" s="9">
        <f>IFERROR(K277,"")</f>
        <v/>
      </c>
      <c r="C279" s="9" t="n"/>
      <c r="D279" s="9" t="n"/>
      <c r="E279" s="9" t="n"/>
      <c r="F279" s="9" t="n"/>
      <c r="G279" s="9" t="n"/>
      <c r="H279" s="9" t="n"/>
      <c r="I279" s="7">
        <f>IFERROR(MAX(C279:H279),"")</f>
        <v/>
      </c>
      <c r="J279" s="7">
        <f>IFERROR(MATCH(I279,C279:H279,0),"")</f>
        <v/>
      </c>
      <c r="K279" s="7" t="n">
        <v>18</v>
      </c>
      <c r="L279" s="7">
        <f>IFERROR(I279*(1-(K279/100)),"")</f>
        <v/>
      </c>
      <c r="M279" s="7">
        <f>IFERROR(LOOKUP(9.99E+307,C279:H279),"")</f>
        <v/>
      </c>
      <c r="N279" s="7">
        <f>IFERROR(IF(M279="","",IF(M279&lt;=N279,"停组🛑","继续✓")),"")</f>
        <v/>
      </c>
      <c r="O279" s="7">
        <f>IFERROR(IF(M279="","",IF(M279&lt;0.15,"SAFETY_STOP","")),"")</f>
        <v/>
      </c>
      <c r="P279" s="7">
        <f>IFERROR(IF(M279="","",IF(M279&lt;0.15,"SAFETY_STOP",IF(M279&lt;=N279,"VL_THRESHOLD",""))),"")</f>
        <v/>
      </c>
      <c r="Q279" s="7">
        <f>IFERROR(IF(I279="","",IF(I279&gt;(0.6+0.05),"+5kg",IF(I279&gt;(0.6+0.02),"+2.5kg",IF(I279&gt;=(0.6-0.05),"保持",IF(I279&gt;=(0.6-0.08),"-2.5kg","-5kg"))))),"")</f>
        <v/>
      </c>
      <c r="R279" s="9" t="n"/>
    </row>
    <row r="280">
      <c r="A280" s="7" t="n">
        <v>2</v>
      </c>
      <c r="B280" s="9" t="n"/>
      <c r="C280" s="9" t="n"/>
      <c r="D280" s="9" t="n"/>
      <c r="E280" s="9" t="n"/>
      <c r="F280" s="9" t="n"/>
      <c r="G280" s="9" t="n"/>
      <c r="H280" s="9" t="n"/>
      <c r="I280" s="7">
        <f>IFERROR(MAX(C280:H280),"")</f>
        <v/>
      </c>
      <c r="J280" s="7">
        <f>IFERROR(MATCH(I280,C280:H280,0),"")</f>
        <v/>
      </c>
      <c r="K280" s="7" t="n">
        <v>18</v>
      </c>
      <c r="L280" s="7">
        <f>IFERROR(I280*(1-(K280/100)),"")</f>
        <v/>
      </c>
      <c r="M280" s="7">
        <f>IFERROR(LOOKUP(9.99E+307,C280:H280),"")</f>
        <v/>
      </c>
      <c r="N280" s="7">
        <f>IFERROR(IF(M280="","",IF(M280&lt;=N280,"停组🛑","继续✓")),"")</f>
        <v/>
      </c>
      <c r="O280" s="7">
        <f>IFERROR(IF(M280="","",IF(M280&lt;0.15,"SAFETY_STOP","")),"")</f>
        <v/>
      </c>
      <c r="P280" s="7">
        <f>IFERROR(IF(M280="","",IF(M280&lt;0.15,"SAFETY_STOP",IF(M280&lt;=N280,"VL_THRESHOLD",""))),"")</f>
        <v/>
      </c>
      <c r="Q280" s="7">
        <f>IFERROR(IF(I280="","",IF(I280&gt;(0.6+0.05),"+5kg",IF(I280&gt;(0.6+0.02),"+2.5kg",IF(I280&gt;=(0.6-0.05),"保持",IF(I280&gt;=(0.6-0.08),"-2.5kg","-5kg"))))),"")</f>
        <v/>
      </c>
      <c r="R280" s="9" t="n"/>
    </row>
    <row r="281">
      <c r="A281" s="7" t="n">
        <v>3</v>
      </c>
      <c r="B281" s="9" t="n"/>
      <c r="C281" s="9" t="n"/>
      <c r="D281" s="9" t="n"/>
      <c r="E281" s="9" t="n"/>
      <c r="F281" s="9" t="n"/>
      <c r="G281" s="9" t="n"/>
      <c r="H281" s="9" t="n"/>
      <c r="I281" s="7">
        <f>IFERROR(MAX(C281:H281),"")</f>
        <v/>
      </c>
      <c r="J281" s="7">
        <f>IFERROR(MATCH(I281,C281:H281,0),"")</f>
        <v/>
      </c>
      <c r="K281" s="7" t="n">
        <v>18</v>
      </c>
      <c r="L281" s="7">
        <f>IFERROR(I281*(1-(K281/100)),"")</f>
        <v/>
      </c>
      <c r="M281" s="7">
        <f>IFERROR(LOOKUP(9.99E+307,C281:H281),"")</f>
        <v/>
      </c>
      <c r="N281" s="7">
        <f>IFERROR(IF(M281="","",IF(M281&lt;=N281,"停组🛑","继续✓")),"")</f>
        <v/>
      </c>
      <c r="O281" s="7">
        <f>IFERROR(IF(M281="","",IF(M281&lt;0.15,"SAFETY_STOP","")),"")</f>
        <v/>
      </c>
      <c r="P281" s="7">
        <f>IFERROR(IF(M281="","",IF(M281&lt;0.15,"SAFETY_STOP",IF(M281&lt;=N281,"VL_THRESHOLD",""))),"")</f>
        <v/>
      </c>
      <c r="Q281" s="7">
        <f>IFERROR(IF(I281="","",IF(I281&gt;(0.6+0.05),"+5kg",IF(I281&gt;(0.6+0.02),"+2.5kg",IF(I281&gt;=(0.6-0.05),"保持",IF(I281&gt;=(0.6-0.08),"-2.5kg","-5kg"))))),"")</f>
        <v/>
      </c>
      <c r="R281" s="9" t="n"/>
    </row>
    <row r="282">
      <c r="A282" s="7" t="n">
        <v>4</v>
      </c>
      <c r="B282" s="9" t="n"/>
      <c r="C282" s="9" t="n"/>
      <c r="D282" s="9" t="n"/>
      <c r="E282" s="9" t="n"/>
      <c r="F282" s="9" t="n"/>
      <c r="G282" s="9" t="n"/>
      <c r="H282" s="9" t="n"/>
      <c r="I282" s="7">
        <f>IFERROR(MAX(C282:H282),"")</f>
        <v/>
      </c>
      <c r="J282" s="7">
        <f>IFERROR(MATCH(I282,C282:H282,0),"")</f>
        <v/>
      </c>
      <c r="K282" s="7" t="n">
        <v>18</v>
      </c>
      <c r="L282" s="7">
        <f>IFERROR(I282*(1-(K282/100)),"")</f>
        <v/>
      </c>
      <c r="M282" s="7">
        <f>IFERROR(LOOKUP(9.99E+307,C282:H282),"")</f>
        <v/>
      </c>
      <c r="N282" s="7">
        <f>IFERROR(IF(M282="","",IF(M282&lt;=N282,"停组🛑","继续✓")),"")</f>
        <v/>
      </c>
      <c r="O282" s="7">
        <f>IFERROR(IF(M282="","",IF(M282&lt;0.15,"SAFETY_STOP","")),"")</f>
        <v/>
      </c>
      <c r="P282" s="7">
        <f>IFERROR(IF(M282="","",IF(M282&lt;0.15,"SAFETY_STOP",IF(M282&lt;=N282,"VL_THRESHOLD",""))),"")</f>
        <v/>
      </c>
      <c r="Q282" s="7">
        <f>IFERROR(IF(I282="","",IF(I282&gt;(0.6+0.05),"+5kg",IF(I282&gt;(0.6+0.02),"+2.5kg",IF(I282&gt;=(0.6-0.05),"保持",IF(I282&gt;=(0.6-0.08),"-2.5kg","-5kg"))))),"")</f>
        <v/>
      </c>
      <c r="R282" s="9" t="n"/>
    </row>
    <row r="283">
      <c r="A283" s="7" t="n">
        <v>5</v>
      </c>
      <c r="B283" s="9" t="n"/>
      <c r="C283" s="9" t="n"/>
      <c r="D283" s="9" t="n"/>
      <c r="E283" s="9" t="n"/>
      <c r="F283" s="9" t="n"/>
      <c r="G283" s="9" t="n"/>
      <c r="H283" s="9" t="n"/>
      <c r="I283" s="7">
        <f>IFERROR(MAX(C283:H283),"")</f>
        <v/>
      </c>
      <c r="J283" s="7">
        <f>IFERROR(MATCH(I283,C283:H283,0),"")</f>
        <v/>
      </c>
      <c r="K283" s="7" t="n">
        <v>18</v>
      </c>
      <c r="L283" s="7">
        <f>IFERROR(I283*(1-(K283/100)),"")</f>
        <v/>
      </c>
      <c r="M283" s="7">
        <f>IFERROR(LOOKUP(9.99E+307,C283:H283),"")</f>
        <v/>
      </c>
      <c r="N283" s="7">
        <f>IFERROR(IF(M283="","",IF(M283&lt;=N283,"停组🛑","继续✓")),"")</f>
        <v/>
      </c>
      <c r="O283" s="7">
        <f>IFERROR(IF(M283="","",IF(M283&lt;0.15,"SAFETY_STOP","")),"")</f>
        <v/>
      </c>
      <c r="P283" s="7">
        <f>IFERROR(IF(M283="","",IF(M283&lt;0.15,"SAFETY_STOP",IF(M283&lt;=N283,"VL_THRESHOLD",""))),"")</f>
        <v/>
      </c>
      <c r="Q283" s="7">
        <f>IFERROR(IF(I283="","",IF(I283&gt;(0.6+0.05),"+5kg",IF(I283&gt;(0.6+0.02),"+2.5kg",IF(I283&gt;=(0.6-0.05),"保持",IF(I283&gt;=(0.6-0.08),"-2.5kg","-5kg"))))),"")</f>
        <v/>
      </c>
      <c r="R283" s="9" t="n"/>
    </row>
    <row r="284">
      <c r="A284" s="7" t="n">
        <v>6</v>
      </c>
      <c r="B284" s="9" t="n"/>
      <c r="C284" s="9" t="n"/>
      <c r="D284" s="9" t="n"/>
      <c r="E284" s="9" t="n"/>
      <c r="F284" s="9" t="n"/>
      <c r="G284" s="9" t="n"/>
      <c r="H284" s="9" t="n"/>
      <c r="I284" s="7">
        <f>IFERROR(MAX(C284:H284),"")</f>
        <v/>
      </c>
      <c r="J284" s="7">
        <f>IFERROR(MATCH(I284,C284:H284,0),"")</f>
        <v/>
      </c>
      <c r="K284" s="7" t="n">
        <v>18</v>
      </c>
      <c r="L284" s="7">
        <f>IFERROR(I284*(1-(K284/100)),"")</f>
        <v/>
      </c>
      <c r="M284" s="7">
        <f>IFERROR(LOOKUP(9.99E+307,C284:H284),"")</f>
        <v/>
      </c>
      <c r="N284" s="7">
        <f>IFERROR(IF(M284="","",IF(M284&lt;=N284,"停组🛑","继续✓")),"")</f>
        <v/>
      </c>
      <c r="O284" s="7">
        <f>IFERROR(IF(M284="","",IF(M284&lt;0.15,"SAFETY_STOP","")),"")</f>
        <v/>
      </c>
      <c r="P284" s="7">
        <f>IFERROR(IF(M284="","",IF(M284&lt;0.15,"SAFETY_STOP",IF(M284&lt;=N284,"VL_THRESHOLD",""))),"")</f>
        <v/>
      </c>
      <c r="Q284" s="7">
        <f>IFERROR(IF(I284="","",IF(I284&gt;(0.6+0.05),"+5kg",IF(I284&gt;(0.6+0.02),"+2.5kg",IF(I284&gt;=(0.6-0.05),"保持",IF(I284&gt;=(0.6-0.08),"-2.5kg","-5kg"))))),"")</f>
        <v/>
      </c>
      <c r="R284" s="9" t="n"/>
    </row>
    <row r="285">
      <c r="A285" s="13" t="inlineStr">
        <is>
          <t>辅助</t>
        </is>
      </c>
      <c r="D285" s="14" t="inlineStr">
        <is>
          <t>RDL</t>
        </is>
      </c>
      <c r="E285" s="14" t="inlineStr">
        <is>
          <t>负荷</t>
        </is>
      </c>
      <c r="F285" s="14" t="inlineStr">
        <is>
          <t>完成</t>
        </is>
      </c>
      <c r="I285" t="inlineStr">
        <is>
          <t>VL</t>
        </is>
      </c>
    </row>
    <row r="286">
      <c r="A286" s="15" t="inlineStr">
        <is>
          <t>训练后</t>
        </is>
      </c>
      <c r="B286" s="15" t="inlineStr">
        <is>
          <t>开始</t>
        </is>
      </c>
      <c r="C286" s="15" t="inlineStr">
        <is>
          <t>结束</t>
        </is>
      </c>
      <c r="D286" s="15" t="inlineStr">
        <is>
          <t>时长min</t>
        </is>
      </c>
      <c r="E286" s="15" t="inlineStr">
        <is>
          <t>sRPE</t>
        </is>
      </c>
      <c r="F286" s="15" t="inlineStr">
        <is>
          <t>load</t>
        </is>
      </c>
      <c r="G286" s="15" t="inlineStr">
        <is>
          <t>不适?</t>
        </is>
      </c>
      <c r="H286" s="15" t="inlineStr">
        <is>
          <t>备注</t>
        </is>
      </c>
      <c r="I286" s="15" t="inlineStr">
        <is>
          <t>签名</t>
        </is>
      </c>
    </row>
    <row r="287">
      <c r="A287" s="7" t="n"/>
      <c r="B287" s="9" t="n"/>
      <c r="C287" s="9" t="n"/>
      <c r="D287" s="11">
        <f>IFERROR((C287-B287)*1440,"")</f>
        <v/>
      </c>
      <c r="E287" s="9" t="n"/>
      <c r="F287" s="11">
        <f>IFERROR(E287*D287,"")</f>
        <v/>
      </c>
      <c r="G287" s="9" t="n"/>
      <c r="H287" s="9" t="n"/>
      <c r="I287" s="9" t="n"/>
    </row>
    <row r="288">
      <c r="A288" s="16" t="inlineStr">
        <is>
          <t>跳跃</t>
        </is>
      </c>
      <c r="B288" s="16" t="inlineStr">
        <is>
          <t>类型</t>
        </is>
      </c>
      <c r="C288" s="16" t="inlineStr">
        <is>
          <t>组×次</t>
        </is>
      </c>
      <c r="D288" s="16" t="inlineStr">
        <is>
          <t>负荷kg</t>
        </is>
      </c>
      <c r="E288" s="16" t="inlineStr">
        <is>
          <t>接触</t>
        </is>
      </c>
    </row>
    <row r="289">
      <c r="B289" t="inlineStr">
        <is>
          <t>CMJ</t>
        </is>
      </c>
      <c r="C289" t="inlineStr">
        <is>
          <t>3×3</t>
        </is>
      </c>
      <c r="D289" t="n">
        <v>0</v>
      </c>
      <c r="E289" t="n">
        <v>9</v>
      </c>
    </row>
    <row r="290">
      <c r="B290" t="inlineStr">
        <is>
          <t>箱跳</t>
        </is>
      </c>
      <c r="C290" t="inlineStr">
        <is>
          <t>2×3</t>
        </is>
      </c>
      <c r="D290" t="n">
        <v>0</v>
      </c>
      <c r="E290" t="n">
        <v>6</v>
      </c>
    </row>
    <row r="291">
      <c r="A291" s="17" t="inlineStr">
        <is>
          <t>▶ 暴露量汇总</t>
        </is>
      </c>
      <c r="B291" s="17" t="inlineStr">
        <is>
          <t>说明</t>
        </is>
      </c>
      <c r="C291" s="17" t="inlineStr">
        <is>
          <t>公式/来源</t>
        </is>
      </c>
      <c r="D291" s="17" t="inlineStr">
        <is>
          <t>数值</t>
        </is>
      </c>
    </row>
    <row r="292">
      <c r="A292" s="18" t="inlineStr">
        <is>
          <t>① 无负荷跳跃接触</t>
        </is>
      </c>
      <c r="B292" s="18" t="inlineStr">
        <is>
          <t>CMJ+SJ+箱跳</t>
        </is>
      </c>
      <c r="C292" s="19">
        <f>IFERROR(E289+E290,2)</f>
        <v/>
      </c>
    </row>
    <row r="293">
      <c r="A293" s="18" t="inlineStr">
        <is>
          <t>② 负重跳跃接触</t>
        </is>
      </c>
      <c r="B293" s="18" t="inlineStr">
        <is>
          <t>负重深蹲跳</t>
        </is>
      </c>
      <c r="C293" s="19">
        <f>IFERROR(E289,"")</f>
        <v/>
      </c>
    </row>
    <row r="294">
      <c r="A294" s="18" t="inlineStr">
        <is>
          <t>③ 跳跃总计</t>
        </is>
      </c>
      <c r="B294" s="18" t="inlineStr">
        <is>
          <t>①+②</t>
        </is>
      </c>
      <c r="C294" s="19">
        <f>IFERROR(B292+B293,"")</f>
        <v/>
      </c>
    </row>
    <row r="295">
      <c r="A295" s="18" t="inlineStr">
        <is>
          <t>④ 热身VL</t>
        </is>
      </c>
      <c r="B295" s="18" t="inlineStr">
        <is>
          <t>20×5+50%×3(+70%×2)</t>
        </is>
      </c>
      <c r="C295" s="19">
        <f>IFERROR(20*5+ROUND(V275*0.5,0)*3+ROUND(V{dr}*0.7,0)*2,"-")</f>
        <v/>
      </c>
    </row>
    <row r="296">
      <c r="A296" s="20" t="inlineStr">
        <is>
          <t>⑤ 主项工作组VL ★</t>
        </is>
      </c>
      <c r="B296" s="20" t="inlineStr">
        <is>
          <t>Σ(负荷×次数)</t>
        </is>
      </c>
      <c r="C296" s="21">
        <f>SUMPRODUCT($B$279:$B$284,$R$279:$R$284)</f>
        <v/>
      </c>
    </row>
    <row r="297">
      <c r="A297" s="18" t="inlineStr">
        <is>
          <t>⑥ 主项总VL</t>
        </is>
      </c>
      <c r="B297" s="18" t="inlineStr">
        <is>
          <t>④+⑤</t>
        </is>
      </c>
      <c r="C297" s="19">
        <f>IFERROR(D292+D293,"")</f>
        <v/>
      </c>
    </row>
    <row r="298">
      <c r="A298" s="18" t="inlineStr">
        <is>
          <t>⑦ 辅助VL</t>
        </is>
      </c>
      <c r="B298" s="18" t="inlineStr">
        <is>
          <t>RDL/保加利亚</t>
        </is>
      </c>
      <c r="C298" s="19">
        <f>IFERROR(I285,"")</f>
        <v/>
      </c>
    </row>
    <row r="299">
      <c r="A299" s="18" t="inlineStr">
        <is>
          <t>⑧ 总外部负荷</t>
        </is>
      </c>
      <c r="B299" s="18" t="inlineStr">
        <is>
          <t>⑥+⑦(+负重跳)</t>
        </is>
      </c>
      <c r="C299" s="19">
        <f>IFERROR(F292+G292,"")</f>
        <v/>
      </c>
    </row>
    <row r="300">
      <c r="A300" s="18" t="inlineStr">
        <is>
          <t>⑨ sRPE load</t>
        </is>
      </c>
      <c r="B300" s="18" t="inlineStr">
        <is>
          <t>sRPE×时长</t>
        </is>
      </c>
      <c r="C300" s="19">
        <f>IFERROR(F287,"")</f>
        <v/>
      </c>
    </row>
    <row r="303">
      <c r="A303" s="5" t="inlineStr">
        <is>
          <t>P010 张锦荣  a=1.26 b=-0.006 1RM=120</t>
        </is>
      </c>
    </row>
    <row r="304">
      <c r="A304" s="6" t="inlineStr">
        <is>
          <t>编号</t>
        </is>
      </c>
      <c r="B304" s="6" t="inlineStr">
        <is>
          <t>姓名</t>
        </is>
      </c>
      <c r="C304" s="6" t="inlineStr">
        <is>
          <t>身高</t>
        </is>
      </c>
      <c r="D304" s="6" t="inlineStr">
        <is>
          <t>1RM</t>
        </is>
      </c>
      <c r="E304" s="6" t="inlineStr">
        <is>
          <t>Hooper睡</t>
        </is>
      </c>
      <c r="F304" s="6" t="inlineStr">
        <is>
          <t>Hooper压</t>
        </is>
      </c>
      <c r="G304" s="6" t="inlineStr">
        <is>
          <t>Hooper疲</t>
        </is>
      </c>
      <c r="H304" s="6" t="inlineStr">
        <is>
          <t>Hooper酸</t>
        </is>
      </c>
      <c r="I304" s="6" t="inlineStr">
        <is>
          <t>H总</t>
        </is>
      </c>
      <c r="J304" s="6" t="inlineStr">
        <is>
          <t>不适?</t>
        </is>
      </c>
      <c r="K304" s="6" t="inlineStr">
        <is>
          <t>说明</t>
        </is>
      </c>
      <c r="L304" s="6" t="inlineStr">
        <is>
          <t>CMJ1</t>
        </is>
      </c>
      <c r="M304" s="6" t="inlineStr">
        <is>
          <t>CMJ2</t>
        </is>
      </c>
      <c r="N304" s="6" t="inlineStr">
        <is>
          <t>CMJ3</t>
        </is>
      </c>
      <c r="O304" s="6" t="inlineStr">
        <is>
          <t>CMJμ</t>
        </is>
      </c>
      <c r="P304" s="6" t="inlineStr">
        <is>
          <t>&lt;95%</t>
        </is>
      </c>
      <c r="Q304" s="6" t="inlineStr">
        <is>
          <t>减组</t>
        </is>
      </c>
      <c r="R304" s="6" t="inlineStr">
        <is>
          <t>组数</t>
        </is>
      </c>
      <c r="S304" s="6" t="inlineStr">
        <is>
          <t>a(V0)</t>
        </is>
      </c>
      <c r="T304" s="6" t="inlineStr">
        <is>
          <t>b</t>
        </is>
      </c>
      <c r="U304" s="6" t="inlineStr">
        <is>
          <t>等级</t>
        </is>
      </c>
      <c r="V304" s="6" t="inlineStr">
        <is>
          <t>预测起始</t>
        </is>
      </c>
    </row>
    <row r="305">
      <c r="A305" s="7" t="inlineStr">
        <is>
          <t>P010</t>
        </is>
      </c>
      <c r="B305" s="7" t="inlineStr">
        <is>
          <t>张锦荣</t>
        </is>
      </c>
      <c r="C305" s="7" t="n">
        <v>174</v>
      </c>
      <c r="D305" s="8" t="n">
        <v>120</v>
      </c>
      <c r="E305" s="9" t="n"/>
      <c r="F305" s="9" t="n"/>
      <c r="G305" s="9" t="n"/>
      <c r="H305" s="9" t="n"/>
      <c r="I305" s="7">
        <f>IFERROR(SUM(E305:H305),"")</f>
        <v/>
      </c>
      <c r="J305" s="9" t="n"/>
      <c r="K305" s="9" t="n"/>
      <c r="L305" s="9" t="n"/>
      <c r="M305" s="9" t="n"/>
      <c r="N305" s="9" t="n"/>
      <c r="O305" s="7">
        <f>IFERROR(AVERAGE(L305:N305),"")</f>
        <v/>
      </c>
      <c r="P305" s="7">
        <f>IF(O305="","",IF(O305&lt;50.42,"是⚠","否"))</f>
        <v/>
      </c>
      <c r="Q305" s="7">
        <f>IF(O305="","",IF(O305&lt;50.42,4-1,4))</f>
        <v/>
      </c>
      <c r="R305" s="7" t="n"/>
      <c r="S305" s="8" t="n">
        <v>1.26</v>
      </c>
      <c r="T305" s="8" t="n">
        <v>-0.006</v>
      </c>
      <c r="U305" s="7" t="inlineStr">
        <is>
          <t>B</t>
        </is>
      </c>
      <c r="V305" s="8" t="n">
        <v>110</v>
      </c>
    </row>
    <row r="306">
      <c r="A306" s="10" t="inlineStr">
        <is>
          <t>热身校准</t>
        </is>
      </c>
      <c r="B306" s="10" t="inlineStr">
        <is>
          <t>a</t>
        </is>
      </c>
      <c r="C306" s="10" t="inlineStr">
        <is>
          <t>b</t>
        </is>
      </c>
      <c r="D306" s="10" t="inlineStr">
        <is>
          <t>50%热身</t>
        </is>
      </c>
      <c r="E306" s="10" t="inlineStr">
        <is>
          <t>70%热身</t>
        </is>
      </c>
      <c r="F306" s="10" t="inlineStr">
        <is>
          <t>热身负荷</t>
        </is>
      </c>
      <c r="G306" s="10" t="inlineStr">
        <is>
          <t>实测MCV</t>
        </is>
      </c>
      <c r="H306" s="10" t="inlineStr">
        <is>
          <t>预测MCV</t>
        </is>
      </c>
      <c r="I306" s="10" t="inlineStr">
        <is>
          <t>Δv</t>
        </is>
      </c>
      <c r="J306" s="10" t="inlineStr">
        <is>
          <t>调整量</t>
        </is>
      </c>
      <c r="K306" s="10" t="inlineStr">
        <is>
          <t>校准第1组</t>
        </is>
      </c>
    </row>
    <row r="307">
      <c r="A307" s="7" t="n"/>
      <c r="B307" s="11" t="n">
        <v>1.26</v>
      </c>
      <c r="C307" s="11" t="n">
        <v>-0.006</v>
      </c>
      <c r="D307" s="11">
        <f>IFERROR(ROUND(V305*0.5/2.5,0)*2.5,"")</f>
        <v/>
      </c>
      <c r="E307" s="11">
        <f>IFERROR(ROUND(V305*0.7/2.5,0)*2.5,"")</f>
        <v/>
      </c>
      <c r="F307" s="11">
        <f>IFERROR(ROUND(V305*0.6/2.5,0)*2.5,"")</f>
        <v/>
      </c>
      <c r="G307" s="9" t="n"/>
      <c r="H307" s="11">
        <f>IFERROR(B307+C307*F307,"")</f>
        <v/>
      </c>
      <c r="I307" s="11">
        <f>IFERROR(G307-H307,"")</f>
        <v/>
      </c>
      <c r="J307" s="11">
        <f>IFERROR(IF(I307&gt;0.08,5,IF(I307&gt;0.04,2.5,IF(I307&gt;=-0.04,0,IF(I307&gt;=-0.08,-2.5,-5)))),"")</f>
        <v/>
      </c>
      <c r="K307" s="11">
        <f>IFERROR(ROUND(V305+J307,0),"")</f>
        <v/>
      </c>
    </row>
    <row r="308">
      <c r="A308" s="12" t="inlineStr">
        <is>
          <t>组</t>
        </is>
      </c>
      <c r="B308" s="12" t="inlineStr">
        <is>
          <t>负荷</t>
        </is>
      </c>
      <c r="C308" s="12" t="inlineStr">
        <is>
          <t>rep1</t>
        </is>
      </c>
      <c r="D308" s="12" t="inlineStr">
        <is>
          <t>rep2</t>
        </is>
      </c>
      <c r="E308" s="12" t="inlineStr">
        <is>
          <t>rep3</t>
        </is>
      </c>
      <c r="F308" s="12" t="inlineStr">
        <is>
          <t>rep4</t>
        </is>
      </c>
      <c r="G308" s="12" t="inlineStr">
        <is>
          <t>rep5</t>
        </is>
      </c>
      <c r="H308" s="12" t="inlineStr">
        <is>
          <t>rep6</t>
        </is>
      </c>
      <c r="I308" s="12" t="inlineStr">
        <is>
          <t>best</t>
        </is>
      </c>
      <c r="J308" s="12" t="inlineStr">
        <is>
          <t>best#</t>
        </is>
      </c>
      <c r="K308" s="12" t="inlineStr">
        <is>
          <t>VL%</t>
        </is>
      </c>
      <c r="L308" s="12" t="inlineStr">
        <is>
          <t>stop_th</t>
        </is>
      </c>
      <c r="M308" s="12" t="inlineStr">
        <is>
          <t>latest</t>
        </is>
      </c>
      <c r="N308" s="12" t="inlineStr">
        <is>
          <t>VL_flag</t>
        </is>
      </c>
      <c r="O308" s="12" t="inlineStr">
        <is>
          <t>safety</t>
        </is>
      </c>
      <c r="P308" s="12" t="inlineStr">
        <is>
          <t>原因</t>
        </is>
      </c>
      <c r="Q308" s="12" t="inlineStr">
        <is>
          <t>建议</t>
        </is>
      </c>
      <c r="R308" s="12" t="inlineStr">
        <is>
          <t>次数</t>
        </is>
      </c>
    </row>
    <row r="309">
      <c r="A309" s="7" t="n">
        <v>1</v>
      </c>
      <c r="B309" s="9">
        <f>IFERROR(K307,"")</f>
        <v/>
      </c>
      <c r="C309" s="9" t="n"/>
      <c r="D309" s="9" t="n"/>
      <c r="E309" s="9" t="n"/>
      <c r="F309" s="9" t="n"/>
      <c r="G309" s="9" t="n"/>
      <c r="H309" s="9" t="n"/>
      <c r="I309" s="7">
        <f>IFERROR(MAX(C309:H309),"")</f>
        <v/>
      </c>
      <c r="J309" s="7">
        <f>IFERROR(MATCH(I309,C309:H309,0),"")</f>
        <v/>
      </c>
      <c r="K309" s="7" t="n">
        <v>18</v>
      </c>
      <c r="L309" s="7">
        <f>IFERROR(I309*(1-(K309/100)),"")</f>
        <v/>
      </c>
      <c r="M309" s="7">
        <f>IFERROR(LOOKUP(9.99E+307,C309:H309),"")</f>
        <v/>
      </c>
      <c r="N309" s="7">
        <f>IFERROR(IF(M309="","",IF(M309&lt;=N309,"停组🛑","继续✓")),"")</f>
        <v/>
      </c>
      <c r="O309" s="7">
        <f>IFERROR(IF(M309="","",IF(M309&lt;0.15,"SAFETY_STOP","")),"")</f>
        <v/>
      </c>
      <c r="P309" s="7">
        <f>IFERROR(IF(M309="","",IF(M309&lt;0.15,"SAFETY_STOP",IF(M309&lt;=N309,"VL_THRESHOLD",""))),"")</f>
        <v/>
      </c>
      <c r="Q309" s="7">
        <f>IFERROR(IF(I309="","",IF(I309&gt;(0.6+0.05),"+5kg",IF(I309&gt;(0.6+0.02),"+2.5kg",IF(I309&gt;=(0.6-0.05),"保持",IF(I309&gt;=(0.6-0.08),"-2.5kg","-5kg"))))),"")</f>
        <v/>
      </c>
      <c r="R309" s="9" t="n"/>
    </row>
    <row r="310">
      <c r="A310" s="7" t="n">
        <v>2</v>
      </c>
      <c r="B310" s="9" t="n"/>
      <c r="C310" s="9" t="n"/>
      <c r="D310" s="9" t="n"/>
      <c r="E310" s="9" t="n"/>
      <c r="F310" s="9" t="n"/>
      <c r="G310" s="9" t="n"/>
      <c r="H310" s="9" t="n"/>
      <c r="I310" s="7">
        <f>IFERROR(MAX(C310:H310),"")</f>
        <v/>
      </c>
      <c r="J310" s="7">
        <f>IFERROR(MATCH(I310,C310:H310,0),"")</f>
        <v/>
      </c>
      <c r="K310" s="7" t="n">
        <v>18</v>
      </c>
      <c r="L310" s="7">
        <f>IFERROR(I310*(1-(K310/100)),"")</f>
        <v/>
      </c>
      <c r="M310" s="7">
        <f>IFERROR(LOOKUP(9.99E+307,C310:H310),"")</f>
        <v/>
      </c>
      <c r="N310" s="7">
        <f>IFERROR(IF(M310="","",IF(M310&lt;=N310,"停组🛑","继续✓")),"")</f>
        <v/>
      </c>
      <c r="O310" s="7">
        <f>IFERROR(IF(M310="","",IF(M310&lt;0.15,"SAFETY_STOP","")),"")</f>
        <v/>
      </c>
      <c r="P310" s="7">
        <f>IFERROR(IF(M310="","",IF(M310&lt;0.15,"SAFETY_STOP",IF(M310&lt;=N310,"VL_THRESHOLD",""))),"")</f>
        <v/>
      </c>
      <c r="Q310" s="7">
        <f>IFERROR(IF(I310="","",IF(I310&gt;(0.6+0.05),"+5kg",IF(I310&gt;(0.6+0.02),"+2.5kg",IF(I310&gt;=(0.6-0.05),"保持",IF(I310&gt;=(0.6-0.08),"-2.5kg","-5kg"))))),"")</f>
        <v/>
      </c>
      <c r="R310" s="9" t="n"/>
    </row>
    <row r="311">
      <c r="A311" s="7" t="n">
        <v>3</v>
      </c>
      <c r="B311" s="9" t="n"/>
      <c r="C311" s="9" t="n"/>
      <c r="D311" s="9" t="n"/>
      <c r="E311" s="9" t="n"/>
      <c r="F311" s="9" t="n"/>
      <c r="G311" s="9" t="n"/>
      <c r="H311" s="9" t="n"/>
      <c r="I311" s="7">
        <f>IFERROR(MAX(C311:H311),"")</f>
        <v/>
      </c>
      <c r="J311" s="7">
        <f>IFERROR(MATCH(I311,C311:H311,0),"")</f>
        <v/>
      </c>
      <c r="K311" s="7" t="n">
        <v>18</v>
      </c>
      <c r="L311" s="7">
        <f>IFERROR(I311*(1-(K311/100)),"")</f>
        <v/>
      </c>
      <c r="M311" s="7">
        <f>IFERROR(LOOKUP(9.99E+307,C311:H311),"")</f>
        <v/>
      </c>
      <c r="N311" s="7">
        <f>IFERROR(IF(M311="","",IF(M311&lt;=N311,"停组🛑","继续✓")),"")</f>
        <v/>
      </c>
      <c r="O311" s="7">
        <f>IFERROR(IF(M311="","",IF(M311&lt;0.15,"SAFETY_STOP","")),"")</f>
        <v/>
      </c>
      <c r="P311" s="7">
        <f>IFERROR(IF(M311="","",IF(M311&lt;0.15,"SAFETY_STOP",IF(M311&lt;=N311,"VL_THRESHOLD",""))),"")</f>
        <v/>
      </c>
      <c r="Q311" s="7">
        <f>IFERROR(IF(I311="","",IF(I311&gt;(0.6+0.05),"+5kg",IF(I311&gt;(0.6+0.02),"+2.5kg",IF(I311&gt;=(0.6-0.05),"保持",IF(I311&gt;=(0.6-0.08),"-2.5kg","-5kg"))))),"")</f>
        <v/>
      </c>
      <c r="R311" s="9" t="n"/>
    </row>
    <row r="312">
      <c r="A312" s="7" t="n">
        <v>4</v>
      </c>
      <c r="B312" s="9" t="n"/>
      <c r="C312" s="9" t="n"/>
      <c r="D312" s="9" t="n"/>
      <c r="E312" s="9" t="n"/>
      <c r="F312" s="9" t="n"/>
      <c r="G312" s="9" t="n"/>
      <c r="H312" s="9" t="n"/>
      <c r="I312" s="7">
        <f>IFERROR(MAX(C312:H312),"")</f>
        <v/>
      </c>
      <c r="J312" s="7">
        <f>IFERROR(MATCH(I312,C312:H312,0),"")</f>
        <v/>
      </c>
      <c r="K312" s="7" t="n">
        <v>18</v>
      </c>
      <c r="L312" s="7">
        <f>IFERROR(I312*(1-(K312/100)),"")</f>
        <v/>
      </c>
      <c r="M312" s="7">
        <f>IFERROR(LOOKUP(9.99E+307,C312:H312),"")</f>
        <v/>
      </c>
      <c r="N312" s="7">
        <f>IFERROR(IF(M312="","",IF(M312&lt;=N312,"停组🛑","继续✓")),"")</f>
        <v/>
      </c>
      <c r="O312" s="7">
        <f>IFERROR(IF(M312="","",IF(M312&lt;0.15,"SAFETY_STOP","")),"")</f>
        <v/>
      </c>
      <c r="P312" s="7">
        <f>IFERROR(IF(M312="","",IF(M312&lt;0.15,"SAFETY_STOP",IF(M312&lt;=N312,"VL_THRESHOLD",""))),"")</f>
        <v/>
      </c>
      <c r="Q312" s="7">
        <f>IFERROR(IF(I312="","",IF(I312&gt;(0.6+0.05),"+5kg",IF(I312&gt;(0.6+0.02),"+2.5kg",IF(I312&gt;=(0.6-0.05),"保持",IF(I312&gt;=(0.6-0.08),"-2.5kg","-5kg"))))),"")</f>
        <v/>
      </c>
      <c r="R312" s="9" t="n"/>
    </row>
    <row r="313">
      <c r="A313" s="7" t="n">
        <v>5</v>
      </c>
      <c r="B313" s="9" t="n"/>
      <c r="C313" s="9" t="n"/>
      <c r="D313" s="9" t="n"/>
      <c r="E313" s="9" t="n"/>
      <c r="F313" s="9" t="n"/>
      <c r="G313" s="9" t="n"/>
      <c r="H313" s="9" t="n"/>
      <c r="I313" s="7">
        <f>IFERROR(MAX(C313:H313),"")</f>
        <v/>
      </c>
      <c r="J313" s="7">
        <f>IFERROR(MATCH(I313,C313:H313,0),"")</f>
        <v/>
      </c>
      <c r="K313" s="7" t="n">
        <v>18</v>
      </c>
      <c r="L313" s="7">
        <f>IFERROR(I313*(1-(K313/100)),"")</f>
        <v/>
      </c>
      <c r="M313" s="7">
        <f>IFERROR(LOOKUP(9.99E+307,C313:H313),"")</f>
        <v/>
      </c>
      <c r="N313" s="7">
        <f>IFERROR(IF(M313="","",IF(M313&lt;=N313,"停组🛑","继续✓")),"")</f>
        <v/>
      </c>
      <c r="O313" s="7">
        <f>IFERROR(IF(M313="","",IF(M313&lt;0.15,"SAFETY_STOP","")),"")</f>
        <v/>
      </c>
      <c r="P313" s="7">
        <f>IFERROR(IF(M313="","",IF(M313&lt;0.15,"SAFETY_STOP",IF(M313&lt;=N313,"VL_THRESHOLD",""))),"")</f>
        <v/>
      </c>
      <c r="Q313" s="7">
        <f>IFERROR(IF(I313="","",IF(I313&gt;(0.6+0.05),"+5kg",IF(I313&gt;(0.6+0.02),"+2.5kg",IF(I313&gt;=(0.6-0.05),"保持",IF(I313&gt;=(0.6-0.08),"-2.5kg","-5kg"))))),"")</f>
        <v/>
      </c>
      <c r="R313" s="9" t="n"/>
    </row>
    <row r="314">
      <c r="A314" s="7" t="n">
        <v>6</v>
      </c>
      <c r="B314" s="9" t="n"/>
      <c r="C314" s="9" t="n"/>
      <c r="D314" s="9" t="n"/>
      <c r="E314" s="9" t="n"/>
      <c r="F314" s="9" t="n"/>
      <c r="G314" s="9" t="n"/>
      <c r="H314" s="9" t="n"/>
      <c r="I314" s="7">
        <f>IFERROR(MAX(C314:H314),"")</f>
        <v/>
      </c>
      <c r="J314" s="7">
        <f>IFERROR(MATCH(I314,C314:H314,0),"")</f>
        <v/>
      </c>
      <c r="K314" s="7" t="n">
        <v>18</v>
      </c>
      <c r="L314" s="7">
        <f>IFERROR(I314*(1-(K314/100)),"")</f>
        <v/>
      </c>
      <c r="M314" s="7">
        <f>IFERROR(LOOKUP(9.99E+307,C314:H314),"")</f>
        <v/>
      </c>
      <c r="N314" s="7">
        <f>IFERROR(IF(M314="","",IF(M314&lt;=N314,"停组🛑","继续✓")),"")</f>
        <v/>
      </c>
      <c r="O314" s="7">
        <f>IFERROR(IF(M314="","",IF(M314&lt;0.15,"SAFETY_STOP","")),"")</f>
        <v/>
      </c>
      <c r="P314" s="7">
        <f>IFERROR(IF(M314="","",IF(M314&lt;0.15,"SAFETY_STOP",IF(M314&lt;=N314,"VL_THRESHOLD",""))),"")</f>
        <v/>
      </c>
      <c r="Q314" s="7">
        <f>IFERROR(IF(I314="","",IF(I314&gt;(0.6+0.05),"+5kg",IF(I314&gt;(0.6+0.02),"+2.5kg",IF(I314&gt;=(0.6-0.05),"保持",IF(I314&gt;=(0.6-0.08),"-2.5kg","-5kg"))))),"")</f>
        <v/>
      </c>
      <c r="R314" s="9" t="n"/>
    </row>
    <row r="315">
      <c r="A315" s="13" t="inlineStr">
        <is>
          <t>辅助</t>
        </is>
      </c>
      <c r="D315" s="14" t="inlineStr">
        <is>
          <t>RDL</t>
        </is>
      </c>
      <c r="E315" s="14" t="inlineStr">
        <is>
          <t>负荷</t>
        </is>
      </c>
      <c r="F315" s="14" t="inlineStr">
        <is>
          <t>完成</t>
        </is>
      </c>
      <c r="I315" t="inlineStr">
        <is>
          <t>VL</t>
        </is>
      </c>
    </row>
    <row r="316">
      <c r="A316" s="15" t="inlineStr">
        <is>
          <t>训练后</t>
        </is>
      </c>
      <c r="B316" s="15" t="inlineStr">
        <is>
          <t>开始</t>
        </is>
      </c>
      <c r="C316" s="15" t="inlineStr">
        <is>
          <t>结束</t>
        </is>
      </c>
      <c r="D316" s="15" t="inlineStr">
        <is>
          <t>时长min</t>
        </is>
      </c>
      <c r="E316" s="15" t="inlineStr">
        <is>
          <t>sRPE</t>
        </is>
      </c>
      <c r="F316" s="15" t="inlineStr">
        <is>
          <t>load</t>
        </is>
      </c>
      <c r="G316" s="15" t="inlineStr">
        <is>
          <t>不适?</t>
        </is>
      </c>
      <c r="H316" s="15" t="inlineStr">
        <is>
          <t>备注</t>
        </is>
      </c>
      <c r="I316" s="15" t="inlineStr">
        <is>
          <t>签名</t>
        </is>
      </c>
    </row>
    <row r="317">
      <c r="A317" s="7" t="n"/>
      <c r="B317" s="9" t="n"/>
      <c r="C317" s="9" t="n"/>
      <c r="D317" s="11">
        <f>IFERROR((C317-B317)*1440,"")</f>
        <v/>
      </c>
      <c r="E317" s="9" t="n"/>
      <c r="F317" s="11">
        <f>IFERROR(E317*D317,"")</f>
        <v/>
      </c>
      <c r="G317" s="9" t="n"/>
      <c r="H317" s="9" t="n"/>
      <c r="I317" s="9" t="n"/>
    </row>
    <row r="318">
      <c r="A318" s="16" t="inlineStr">
        <is>
          <t>跳跃</t>
        </is>
      </c>
      <c r="B318" s="16" t="inlineStr">
        <is>
          <t>类型</t>
        </is>
      </c>
      <c r="C318" s="16" t="inlineStr">
        <is>
          <t>组×次</t>
        </is>
      </c>
      <c r="D318" s="16" t="inlineStr">
        <is>
          <t>负荷kg</t>
        </is>
      </c>
      <c r="E318" s="16" t="inlineStr">
        <is>
          <t>接触</t>
        </is>
      </c>
    </row>
    <row r="319">
      <c r="B319" t="inlineStr">
        <is>
          <t>CMJ</t>
        </is>
      </c>
      <c r="C319" t="inlineStr">
        <is>
          <t>3×3</t>
        </is>
      </c>
      <c r="D319" t="n">
        <v>0</v>
      </c>
      <c r="E319" t="n">
        <v>9</v>
      </c>
    </row>
    <row r="320">
      <c r="B320" t="inlineStr">
        <is>
          <t>箱跳</t>
        </is>
      </c>
      <c r="C320" t="inlineStr">
        <is>
          <t>2×3</t>
        </is>
      </c>
      <c r="D320" t="n">
        <v>0</v>
      </c>
      <c r="E320" t="n">
        <v>6</v>
      </c>
    </row>
    <row r="321">
      <c r="A321" s="17" t="inlineStr">
        <is>
          <t>▶ 暴露量汇总</t>
        </is>
      </c>
      <c r="B321" s="17" t="inlineStr">
        <is>
          <t>说明</t>
        </is>
      </c>
      <c r="C321" s="17" t="inlineStr">
        <is>
          <t>公式/来源</t>
        </is>
      </c>
      <c r="D321" s="17" t="inlineStr">
        <is>
          <t>数值</t>
        </is>
      </c>
    </row>
    <row r="322">
      <c r="A322" s="18" t="inlineStr">
        <is>
          <t>① 无负荷跳跃接触</t>
        </is>
      </c>
      <c r="B322" s="18" t="inlineStr">
        <is>
          <t>CMJ+SJ+箱跳</t>
        </is>
      </c>
      <c r="C322" s="19">
        <f>IFERROR(E319+E320,2)</f>
        <v/>
      </c>
    </row>
    <row r="323">
      <c r="A323" s="18" t="inlineStr">
        <is>
          <t>② 负重跳跃接触</t>
        </is>
      </c>
      <c r="B323" s="18" t="inlineStr">
        <is>
          <t>负重深蹲跳</t>
        </is>
      </c>
      <c r="C323" s="19">
        <f>IFERROR(E319,"")</f>
        <v/>
      </c>
    </row>
    <row r="324">
      <c r="A324" s="18" t="inlineStr">
        <is>
          <t>③ 跳跃总计</t>
        </is>
      </c>
      <c r="B324" s="18" t="inlineStr">
        <is>
          <t>①+②</t>
        </is>
      </c>
      <c r="C324" s="19">
        <f>IFERROR(B322+B323,"")</f>
        <v/>
      </c>
    </row>
    <row r="325">
      <c r="A325" s="18" t="inlineStr">
        <is>
          <t>④ 热身VL</t>
        </is>
      </c>
      <c r="B325" s="18" t="inlineStr">
        <is>
          <t>20×5+50%×3(+70%×2)</t>
        </is>
      </c>
      <c r="C325" s="19">
        <f>IFERROR(20*5+ROUND(V305*0.5,0)*3+ROUND(V{dr}*0.7,0)*2,"-")</f>
        <v/>
      </c>
    </row>
    <row r="326">
      <c r="A326" s="20" t="inlineStr">
        <is>
          <t>⑤ 主项工作组VL ★</t>
        </is>
      </c>
      <c r="B326" s="20" t="inlineStr">
        <is>
          <t>Σ(负荷×次数)</t>
        </is>
      </c>
      <c r="C326" s="21">
        <f>SUMPRODUCT($B$309:$B$314,$R$309:$R$314)</f>
        <v/>
      </c>
    </row>
    <row r="327">
      <c r="A327" s="18" t="inlineStr">
        <is>
          <t>⑥ 主项总VL</t>
        </is>
      </c>
      <c r="B327" s="18" t="inlineStr">
        <is>
          <t>④+⑤</t>
        </is>
      </c>
      <c r="C327" s="19">
        <f>IFERROR(D322+D323,"")</f>
        <v/>
      </c>
    </row>
    <row r="328">
      <c r="A328" s="18" t="inlineStr">
        <is>
          <t>⑦ 辅助VL</t>
        </is>
      </c>
      <c r="B328" s="18" t="inlineStr">
        <is>
          <t>RDL/保加利亚</t>
        </is>
      </c>
      <c r="C328" s="19">
        <f>IFERROR(I315,"")</f>
        <v/>
      </c>
    </row>
    <row r="329">
      <c r="A329" s="18" t="inlineStr">
        <is>
          <t>⑧ 总外部负荷</t>
        </is>
      </c>
      <c r="B329" s="18" t="inlineStr">
        <is>
          <t>⑥+⑦(+负重跳)</t>
        </is>
      </c>
      <c r="C329" s="19">
        <f>IFERROR(F322+G322,"")</f>
        <v/>
      </c>
    </row>
    <row r="330">
      <c r="A330" s="18" t="inlineStr">
        <is>
          <t>⑨ sRPE load</t>
        </is>
      </c>
      <c r="B330" s="18" t="inlineStr">
        <is>
          <t>sRPE×时长</t>
        </is>
      </c>
      <c r="C330" s="19">
        <f>IFERROR(F317,"")</f>
        <v/>
      </c>
    </row>
    <row r="333">
      <c r="A333" s="5" t="inlineStr">
        <is>
          <t>P009 王宏池  a=1.567 b=-0.0085 1RM=135</t>
        </is>
      </c>
    </row>
    <row r="334">
      <c r="A334" s="6" t="inlineStr">
        <is>
          <t>编号</t>
        </is>
      </c>
      <c r="B334" s="6" t="inlineStr">
        <is>
          <t>姓名</t>
        </is>
      </c>
      <c r="C334" s="6" t="inlineStr">
        <is>
          <t>身高</t>
        </is>
      </c>
      <c r="D334" s="6" t="inlineStr">
        <is>
          <t>1RM</t>
        </is>
      </c>
      <c r="E334" s="6" t="inlineStr">
        <is>
          <t>Hooper睡</t>
        </is>
      </c>
      <c r="F334" s="6" t="inlineStr">
        <is>
          <t>Hooper压</t>
        </is>
      </c>
      <c r="G334" s="6" t="inlineStr">
        <is>
          <t>Hooper疲</t>
        </is>
      </c>
      <c r="H334" s="6" t="inlineStr">
        <is>
          <t>Hooper酸</t>
        </is>
      </c>
      <c r="I334" s="6" t="inlineStr">
        <is>
          <t>H总</t>
        </is>
      </c>
      <c r="J334" s="6" t="inlineStr">
        <is>
          <t>不适?</t>
        </is>
      </c>
      <c r="K334" s="6" t="inlineStr">
        <is>
          <t>说明</t>
        </is>
      </c>
      <c r="L334" s="6" t="inlineStr">
        <is>
          <t>CMJ1</t>
        </is>
      </c>
      <c r="M334" s="6" t="inlineStr">
        <is>
          <t>CMJ2</t>
        </is>
      </c>
      <c r="N334" s="6" t="inlineStr">
        <is>
          <t>CMJ3</t>
        </is>
      </c>
      <c r="O334" s="6" t="inlineStr">
        <is>
          <t>CMJμ</t>
        </is>
      </c>
      <c r="P334" s="6" t="inlineStr">
        <is>
          <t>&lt;95%</t>
        </is>
      </c>
      <c r="Q334" s="6" t="inlineStr">
        <is>
          <t>减组</t>
        </is>
      </c>
      <c r="R334" s="6" t="inlineStr">
        <is>
          <t>组数</t>
        </is>
      </c>
      <c r="S334" s="6" t="inlineStr">
        <is>
          <t>a(V0)</t>
        </is>
      </c>
      <c r="T334" s="6" t="inlineStr">
        <is>
          <t>b</t>
        </is>
      </c>
      <c r="U334" s="6" t="inlineStr">
        <is>
          <t>等级</t>
        </is>
      </c>
      <c r="V334" s="6" t="inlineStr">
        <is>
          <t>预测起始</t>
        </is>
      </c>
    </row>
    <row r="335">
      <c r="A335" s="7" t="inlineStr">
        <is>
          <t>P009</t>
        </is>
      </c>
      <c r="B335" s="7" t="inlineStr">
        <is>
          <t>王宏池</t>
        </is>
      </c>
      <c r="C335" s="7" t="n">
        <v>185</v>
      </c>
      <c r="D335" s="8" t="n">
        <v>135</v>
      </c>
      <c r="E335" s="9" t="n"/>
      <c r="F335" s="9" t="n"/>
      <c r="G335" s="9" t="n"/>
      <c r="H335" s="9" t="n"/>
      <c r="I335" s="7">
        <f>IFERROR(SUM(E335:H335),"")</f>
        <v/>
      </c>
      <c r="J335" s="9" t="n"/>
      <c r="K335" s="9" t="n"/>
      <c r="L335" s="9" t="n"/>
      <c r="M335" s="9" t="n"/>
      <c r="N335" s="9" t="n"/>
      <c r="O335" s="7">
        <f>IFERROR(AVERAGE(L335:N335),"")</f>
        <v/>
      </c>
      <c r="P335" s="7">
        <f>IF(O335="","",IF(O335&lt;54.27,"是⚠","否"))</f>
        <v/>
      </c>
      <c r="Q335" s="7">
        <f>IF(O335="","",IF(O335&lt;54.27,4-1,4))</f>
        <v/>
      </c>
      <c r="R335" s="7" t="n"/>
      <c r="S335" s="8" t="n">
        <v>1.567</v>
      </c>
      <c r="T335" s="8" t="n">
        <v>-0.008500000000000001</v>
      </c>
      <c r="U335" s="7" t="inlineStr">
        <is>
          <t>B</t>
        </is>
      </c>
      <c r="V335" s="8" t="n">
        <v>115</v>
      </c>
    </row>
    <row r="336">
      <c r="A336" s="10" t="inlineStr">
        <is>
          <t>热身校准</t>
        </is>
      </c>
      <c r="B336" s="10" t="inlineStr">
        <is>
          <t>a</t>
        </is>
      </c>
      <c r="C336" s="10" t="inlineStr">
        <is>
          <t>b</t>
        </is>
      </c>
      <c r="D336" s="10" t="inlineStr">
        <is>
          <t>50%热身</t>
        </is>
      </c>
      <c r="E336" s="10" t="inlineStr">
        <is>
          <t>70%热身</t>
        </is>
      </c>
      <c r="F336" s="10" t="inlineStr">
        <is>
          <t>热身负荷</t>
        </is>
      </c>
      <c r="G336" s="10" t="inlineStr">
        <is>
          <t>实测MCV</t>
        </is>
      </c>
      <c r="H336" s="10" t="inlineStr">
        <is>
          <t>预测MCV</t>
        </is>
      </c>
      <c r="I336" s="10" t="inlineStr">
        <is>
          <t>Δv</t>
        </is>
      </c>
      <c r="J336" s="10" t="inlineStr">
        <is>
          <t>调整量</t>
        </is>
      </c>
      <c r="K336" s="10" t="inlineStr">
        <is>
          <t>校准第1组</t>
        </is>
      </c>
    </row>
    <row r="337">
      <c r="A337" s="7" t="n"/>
      <c r="B337" s="11" t="n">
        <v>1.567</v>
      </c>
      <c r="C337" s="11" t="n">
        <v>-0.008500000000000001</v>
      </c>
      <c r="D337" s="11">
        <f>IFERROR(ROUND(V335*0.5/2.5,0)*2.5,"")</f>
        <v/>
      </c>
      <c r="E337" s="11">
        <f>IFERROR(ROUND(V335*0.7/2.5,0)*2.5,"")</f>
        <v/>
      </c>
      <c r="F337" s="11">
        <f>IFERROR(ROUND(V335*0.6/2.5,0)*2.5,"")</f>
        <v/>
      </c>
      <c r="G337" s="9" t="n"/>
      <c r="H337" s="11">
        <f>IFERROR(B337+C337*F337,"")</f>
        <v/>
      </c>
      <c r="I337" s="11">
        <f>IFERROR(G337-H337,"")</f>
        <v/>
      </c>
      <c r="J337" s="11">
        <f>IFERROR(IF(I337&gt;0.08,5,IF(I337&gt;0.04,2.5,IF(I337&gt;=-0.04,0,IF(I337&gt;=-0.08,-2.5,-5)))),"")</f>
        <v/>
      </c>
      <c r="K337" s="11">
        <f>IFERROR(ROUND(V335+J337,0),"")</f>
        <v/>
      </c>
    </row>
    <row r="338">
      <c r="A338" s="12" t="inlineStr">
        <is>
          <t>组</t>
        </is>
      </c>
      <c r="B338" s="12" t="inlineStr">
        <is>
          <t>负荷</t>
        </is>
      </c>
      <c r="C338" s="12" t="inlineStr">
        <is>
          <t>rep1</t>
        </is>
      </c>
      <c r="D338" s="12" t="inlineStr">
        <is>
          <t>rep2</t>
        </is>
      </c>
      <c r="E338" s="12" t="inlineStr">
        <is>
          <t>rep3</t>
        </is>
      </c>
      <c r="F338" s="12" t="inlineStr">
        <is>
          <t>rep4</t>
        </is>
      </c>
      <c r="G338" s="12" t="inlineStr">
        <is>
          <t>rep5</t>
        </is>
      </c>
      <c r="H338" s="12" t="inlineStr">
        <is>
          <t>rep6</t>
        </is>
      </c>
      <c r="I338" s="12" t="inlineStr">
        <is>
          <t>best</t>
        </is>
      </c>
      <c r="J338" s="12" t="inlineStr">
        <is>
          <t>best#</t>
        </is>
      </c>
      <c r="K338" s="12" t="inlineStr">
        <is>
          <t>VL%</t>
        </is>
      </c>
      <c r="L338" s="12" t="inlineStr">
        <is>
          <t>stop_th</t>
        </is>
      </c>
      <c r="M338" s="12" t="inlineStr">
        <is>
          <t>latest</t>
        </is>
      </c>
      <c r="N338" s="12" t="inlineStr">
        <is>
          <t>VL_flag</t>
        </is>
      </c>
      <c r="O338" s="12" t="inlineStr">
        <is>
          <t>safety</t>
        </is>
      </c>
      <c r="P338" s="12" t="inlineStr">
        <is>
          <t>原因</t>
        </is>
      </c>
      <c r="Q338" s="12" t="inlineStr">
        <is>
          <t>建议</t>
        </is>
      </c>
      <c r="R338" s="12" t="inlineStr">
        <is>
          <t>次数</t>
        </is>
      </c>
    </row>
    <row r="339">
      <c r="A339" s="7" t="n">
        <v>1</v>
      </c>
      <c r="B339" s="9">
        <f>IFERROR(K337,"")</f>
        <v/>
      </c>
      <c r="C339" s="9" t="n"/>
      <c r="D339" s="9" t="n"/>
      <c r="E339" s="9" t="n"/>
      <c r="F339" s="9" t="n"/>
      <c r="G339" s="9" t="n"/>
      <c r="H339" s="9" t="n"/>
      <c r="I339" s="7">
        <f>IFERROR(MAX(C339:H339),"")</f>
        <v/>
      </c>
      <c r="J339" s="7">
        <f>IFERROR(MATCH(I339,C339:H339,0),"")</f>
        <v/>
      </c>
      <c r="K339" s="7" t="n">
        <v>18</v>
      </c>
      <c r="L339" s="7">
        <f>IFERROR(I339*(1-(K339/100)),"")</f>
        <v/>
      </c>
      <c r="M339" s="7">
        <f>IFERROR(LOOKUP(9.99E+307,C339:H339),"")</f>
        <v/>
      </c>
      <c r="N339" s="7">
        <f>IFERROR(IF(M339="","",IF(M339&lt;=N339,"停组🛑","继续✓")),"")</f>
        <v/>
      </c>
      <c r="O339" s="7">
        <f>IFERROR(IF(M339="","",IF(M339&lt;0.15,"SAFETY_STOP","")),"")</f>
        <v/>
      </c>
      <c r="P339" s="7">
        <f>IFERROR(IF(M339="","",IF(M339&lt;0.15,"SAFETY_STOP",IF(M339&lt;=N339,"VL_THRESHOLD",""))),"")</f>
        <v/>
      </c>
      <c r="Q339" s="7">
        <f>IFERROR(IF(I339="","",IF(I339&gt;(0.6+0.05),"+5kg",IF(I339&gt;(0.6+0.02),"+2.5kg",IF(I339&gt;=(0.6-0.05),"保持",IF(I339&gt;=(0.6-0.08),"-2.5kg","-5kg"))))),"")</f>
        <v/>
      </c>
      <c r="R339" s="9" t="n"/>
    </row>
    <row r="340">
      <c r="A340" s="7" t="n">
        <v>2</v>
      </c>
      <c r="B340" s="9" t="n"/>
      <c r="C340" s="9" t="n"/>
      <c r="D340" s="9" t="n"/>
      <c r="E340" s="9" t="n"/>
      <c r="F340" s="9" t="n"/>
      <c r="G340" s="9" t="n"/>
      <c r="H340" s="9" t="n"/>
      <c r="I340" s="7">
        <f>IFERROR(MAX(C340:H340),"")</f>
        <v/>
      </c>
      <c r="J340" s="7">
        <f>IFERROR(MATCH(I340,C340:H340,0),"")</f>
        <v/>
      </c>
      <c r="K340" s="7" t="n">
        <v>18</v>
      </c>
      <c r="L340" s="7">
        <f>IFERROR(I340*(1-(K340/100)),"")</f>
        <v/>
      </c>
      <c r="M340" s="7">
        <f>IFERROR(LOOKUP(9.99E+307,C340:H340),"")</f>
        <v/>
      </c>
      <c r="N340" s="7">
        <f>IFERROR(IF(M340="","",IF(M340&lt;=N340,"停组🛑","继续✓")),"")</f>
        <v/>
      </c>
      <c r="O340" s="7">
        <f>IFERROR(IF(M340="","",IF(M340&lt;0.15,"SAFETY_STOP","")),"")</f>
        <v/>
      </c>
      <c r="P340" s="7">
        <f>IFERROR(IF(M340="","",IF(M340&lt;0.15,"SAFETY_STOP",IF(M340&lt;=N340,"VL_THRESHOLD",""))),"")</f>
        <v/>
      </c>
      <c r="Q340" s="7">
        <f>IFERROR(IF(I340="","",IF(I340&gt;(0.6+0.05),"+5kg",IF(I340&gt;(0.6+0.02),"+2.5kg",IF(I340&gt;=(0.6-0.05),"保持",IF(I340&gt;=(0.6-0.08),"-2.5kg","-5kg"))))),"")</f>
        <v/>
      </c>
      <c r="R340" s="9" t="n"/>
    </row>
    <row r="341">
      <c r="A341" s="7" t="n">
        <v>3</v>
      </c>
      <c r="B341" s="9" t="n"/>
      <c r="C341" s="9" t="n"/>
      <c r="D341" s="9" t="n"/>
      <c r="E341" s="9" t="n"/>
      <c r="F341" s="9" t="n"/>
      <c r="G341" s="9" t="n"/>
      <c r="H341" s="9" t="n"/>
      <c r="I341" s="7">
        <f>IFERROR(MAX(C341:H341),"")</f>
        <v/>
      </c>
      <c r="J341" s="7">
        <f>IFERROR(MATCH(I341,C341:H341,0),"")</f>
        <v/>
      </c>
      <c r="K341" s="7" t="n">
        <v>18</v>
      </c>
      <c r="L341" s="7">
        <f>IFERROR(I341*(1-(K341/100)),"")</f>
        <v/>
      </c>
      <c r="M341" s="7">
        <f>IFERROR(LOOKUP(9.99E+307,C341:H341),"")</f>
        <v/>
      </c>
      <c r="N341" s="7">
        <f>IFERROR(IF(M341="","",IF(M341&lt;=N341,"停组🛑","继续✓")),"")</f>
        <v/>
      </c>
      <c r="O341" s="7">
        <f>IFERROR(IF(M341="","",IF(M341&lt;0.15,"SAFETY_STOP","")),"")</f>
        <v/>
      </c>
      <c r="P341" s="7">
        <f>IFERROR(IF(M341="","",IF(M341&lt;0.15,"SAFETY_STOP",IF(M341&lt;=N341,"VL_THRESHOLD",""))),"")</f>
        <v/>
      </c>
      <c r="Q341" s="7">
        <f>IFERROR(IF(I341="","",IF(I341&gt;(0.6+0.05),"+5kg",IF(I341&gt;(0.6+0.02),"+2.5kg",IF(I341&gt;=(0.6-0.05),"保持",IF(I341&gt;=(0.6-0.08),"-2.5kg","-5kg"))))),"")</f>
        <v/>
      </c>
      <c r="R341" s="9" t="n"/>
    </row>
    <row r="342">
      <c r="A342" s="7" t="n">
        <v>4</v>
      </c>
      <c r="B342" s="9" t="n"/>
      <c r="C342" s="9" t="n"/>
      <c r="D342" s="9" t="n"/>
      <c r="E342" s="9" t="n"/>
      <c r="F342" s="9" t="n"/>
      <c r="G342" s="9" t="n"/>
      <c r="H342" s="9" t="n"/>
      <c r="I342" s="7">
        <f>IFERROR(MAX(C342:H342),"")</f>
        <v/>
      </c>
      <c r="J342" s="7">
        <f>IFERROR(MATCH(I342,C342:H342,0),"")</f>
        <v/>
      </c>
      <c r="K342" s="7" t="n">
        <v>18</v>
      </c>
      <c r="L342" s="7">
        <f>IFERROR(I342*(1-(K342/100)),"")</f>
        <v/>
      </c>
      <c r="M342" s="7">
        <f>IFERROR(LOOKUP(9.99E+307,C342:H342),"")</f>
        <v/>
      </c>
      <c r="N342" s="7">
        <f>IFERROR(IF(M342="","",IF(M342&lt;=N342,"停组🛑","继续✓")),"")</f>
        <v/>
      </c>
      <c r="O342" s="7">
        <f>IFERROR(IF(M342="","",IF(M342&lt;0.15,"SAFETY_STOP","")),"")</f>
        <v/>
      </c>
      <c r="P342" s="7">
        <f>IFERROR(IF(M342="","",IF(M342&lt;0.15,"SAFETY_STOP",IF(M342&lt;=N342,"VL_THRESHOLD",""))),"")</f>
        <v/>
      </c>
      <c r="Q342" s="7">
        <f>IFERROR(IF(I342="","",IF(I342&gt;(0.6+0.05),"+5kg",IF(I342&gt;(0.6+0.02),"+2.5kg",IF(I342&gt;=(0.6-0.05),"保持",IF(I342&gt;=(0.6-0.08),"-2.5kg","-5kg"))))),"")</f>
        <v/>
      </c>
      <c r="R342" s="9" t="n"/>
    </row>
    <row r="343">
      <c r="A343" s="7" t="n">
        <v>5</v>
      </c>
      <c r="B343" s="9" t="n"/>
      <c r="C343" s="9" t="n"/>
      <c r="D343" s="9" t="n"/>
      <c r="E343" s="9" t="n"/>
      <c r="F343" s="9" t="n"/>
      <c r="G343" s="9" t="n"/>
      <c r="H343" s="9" t="n"/>
      <c r="I343" s="7">
        <f>IFERROR(MAX(C343:H343),"")</f>
        <v/>
      </c>
      <c r="J343" s="7">
        <f>IFERROR(MATCH(I343,C343:H343,0),"")</f>
        <v/>
      </c>
      <c r="K343" s="7" t="n">
        <v>18</v>
      </c>
      <c r="L343" s="7">
        <f>IFERROR(I343*(1-(K343/100)),"")</f>
        <v/>
      </c>
      <c r="M343" s="7">
        <f>IFERROR(LOOKUP(9.99E+307,C343:H343),"")</f>
        <v/>
      </c>
      <c r="N343" s="7">
        <f>IFERROR(IF(M343="","",IF(M343&lt;=N343,"停组🛑","继续✓")),"")</f>
        <v/>
      </c>
      <c r="O343" s="7">
        <f>IFERROR(IF(M343="","",IF(M343&lt;0.15,"SAFETY_STOP","")),"")</f>
        <v/>
      </c>
      <c r="P343" s="7">
        <f>IFERROR(IF(M343="","",IF(M343&lt;0.15,"SAFETY_STOP",IF(M343&lt;=N343,"VL_THRESHOLD",""))),"")</f>
        <v/>
      </c>
      <c r="Q343" s="7">
        <f>IFERROR(IF(I343="","",IF(I343&gt;(0.6+0.05),"+5kg",IF(I343&gt;(0.6+0.02),"+2.5kg",IF(I343&gt;=(0.6-0.05),"保持",IF(I343&gt;=(0.6-0.08),"-2.5kg","-5kg"))))),"")</f>
        <v/>
      </c>
      <c r="R343" s="9" t="n"/>
    </row>
    <row r="344">
      <c r="A344" s="7" t="n">
        <v>6</v>
      </c>
      <c r="B344" s="9" t="n"/>
      <c r="C344" s="9" t="n"/>
      <c r="D344" s="9" t="n"/>
      <c r="E344" s="9" t="n"/>
      <c r="F344" s="9" t="n"/>
      <c r="G344" s="9" t="n"/>
      <c r="H344" s="9" t="n"/>
      <c r="I344" s="7">
        <f>IFERROR(MAX(C344:H344),"")</f>
        <v/>
      </c>
      <c r="J344" s="7">
        <f>IFERROR(MATCH(I344,C344:H344,0),"")</f>
        <v/>
      </c>
      <c r="K344" s="7" t="n">
        <v>18</v>
      </c>
      <c r="L344" s="7">
        <f>IFERROR(I344*(1-(K344/100)),"")</f>
        <v/>
      </c>
      <c r="M344" s="7">
        <f>IFERROR(LOOKUP(9.99E+307,C344:H344),"")</f>
        <v/>
      </c>
      <c r="N344" s="7">
        <f>IFERROR(IF(M344="","",IF(M344&lt;=N344,"停组🛑","继续✓")),"")</f>
        <v/>
      </c>
      <c r="O344" s="7">
        <f>IFERROR(IF(M344="","",IF(M344&lt;0.15,"SAFETY_STOP","")),"")</f>
        <v/>
      </c>
      <c r="P344" s="7">
        <f>IFERROR(IF(M344="","",IF(M344&lt;0.15,"SAFETY_STOP",IF(M344&lt;=N344,"VL_THRESHOLD",""))),"")</f>
        <v/>
      </c>
      <c r="Q344" s="7">
        <f>IFERROR(IF(I344="","",IF(I344&gt;(0.6+0.05),"+5kg",IF(I344&gt;(0.6+0.02),"+2.5kg",IF(I344&gt;=(0.6-0.05),"保持",IF(I344&gt;=(0.6-0.08),"-2.5kg","-5kg"))))),"")</f>
        <v/>
      </c>
      <c r="R344" s="9" t="n"/>
    </row>
    <row r="345">
      <c r="A345" s="13" t="inlineStr">
        <is>
          <t>辅助</t>
        </is>
      </c>
      <c r="D345" s="14" t="inlineStr">
        <is>
          <t>RDL</t>
        </is>
      </c>
      <c r="E345" s="14" t="inlineStr">
        <is>
          <t>负荷</t>
        </is>
      </c>
      <c r="F345" s="14" t="inlineStr">
        <is>
          <t>完成</t>
        </is>
      </c>
      <c r="I345" t="inlineStr">
        <is>
          <t>VL</t>
        </is>
      </c>
    </row>
    <row r="346">
      <c r="A346" s="15" t="inlineStr">
        <is>
          <t>训练后</t>
        </is>
      </c>
      <c r="B346" s="15" t="inlineStr">
        <is>
          <t>开始</t>
        </is>
      </c>
      <c r="C346" s="15" t="inlineStr">
        <is>
          <t>结束</t>
        </is>
      </c>
      <c r="D346" s="15" t="inlineStr">
        <is>
          <t>时长min</t>
        </is>
      </c>
      <c r="E346" s="15" t="inlineStr">
        <is>
          <t>sRPE</t>
        </is>
      </c>
      <c r="F346" s="15" t="inlineStr">
        <is>
          <t>load</t>
        </is>
      </c>
      <c r="G346" s="15" t="inlineStr">
        <is>
          <t>不适?</t>
        </is>
      </c>
      <c r="H346" s="15" t="inlineStr">
        <is>
          <t>备注</t>
        </is>
      </c>
      <c r="I346" s="15" t="inlineStr">
        <is>
          <t>签名</t>
        </is>
      </c>
    </row>
    <row r="347">
      <c r="A347" s="7" t="n"/>
      <c r="B347" s="9" t="n"/>
      <c r="C347" s="9" t="n"/>
      <c r="D347" s="11">
        <f>IFERROR((C347-B347)*1440,"")</f>
        <v/>
      </c>
      <c r="E347" s="9" t="n"/>
      <c r="F347" s="11">
        <f>IFERROR(E347*D347,"")</f>
        <v/>
      </c>
      <c r="G347" s="9" t="n"/>
      <c r="H347" s="9" t="n"/>
      <c r="I347" s="9" t="n"/>
    </row>
    <row r="348">
      <c r="A348" s="16" t="inlineStr">
        <is>
          <t>跳跃</t>
        </is>
      </c>
      <c r="B348" s="16" t="inlineStr">
        <is>
          <t>类型</t>
        </is>
      </c>
      <c r="C348" s="16" t="inlineStr">
        <is>
          <t>组×次</t>
        </is>
      </c>
      <c r="D348" s="16" t="inlineStr">
        <is>
          <t>负荷kg</t>
        </is>
      </c>
      <c r="E348" s="16" t="inlineStr">
        <is>
          <t>接触</t>
        </is>
      </c>
    </row>
    <row r="349">
      <c r="B349" t="inlineStr">
        <is>
          <t>CMJ</t>
        </is>
      </c>
      <c r="C349" t="inlineStr">
        <is>
          <t>3×3</t>
        </is>
      </c>
      <c r="D349" t="n">
        <v>0</v>
      </c>
      <c r="E349" t="n">
        <v>9</v>
      </c>
    </row>
    <row r="350">
      <c r="B350" t="inlineStr">
        <is>
          <t>箱跳</t>
        </is>
      </c>
      <c r="C350" t="inlineStr">
        <is>
          <t>2×3</t>
        </is>
      </c>
      <c r="D350" t="n">
        <v>0</v>
      </c>
      <c r="E350" t="n">
        <v>6</v>
      </c>
    </row>
    <row r="351">
      <c r="A351" s="17" t="inlineStr">
        <is>
          <t>▶ 暴露量汇总</t>
        </is>
      </c>
      <c r="B351" s="17" t="inlineStr">
        <is>
          <t>说明</t>
        </is>
      </c>
      <c r="C351" s="17" t="inlineStr">
        <is>
          <t>公式/来源</t>
        </is>
      </c>
      <c r="D351" s="17" t="inlineStr">
        <is>
          <t>数值</t>
        </is>
      </c>
    </row>
    <row r="352">
      <c r="A352" s="18" t="inlineStr">
        <is>
          <t>① 无负荷跳跃接触</t>
        </is>
      </c>
      <c r="B352" s="18" t="inlineStr">
        <is>
          <t>CMJ+SJ+箱跳</t>
        </is>
      </c>
      <c r="C352" s="19">
        <f>IFERROR(E349+E350,2)</f>
        <v/>
      </c>
    </row>
    <row r="353">
      <c r="A353" s="18" t="inlineStr">
        <is>
          <t>② 负重跳跃接触</t>
        </is>
      </c>
      <c r="B353" s="18" t="inlineStr">
        <is>
          <t>负重深蹲跳</t>
        </is>
      </c>
      <c r="C353" s="19">
        <f>IFERROR(E349,"")</f>
        <v/>
      </c>
    </row>
    <row r="354">
      <c r="A354" s="18" t="inlineStr">
        <is>
          <t>③ 跳跃总计</t>
        </is>
      </c>
      <c r="B354" s="18" t="inlineStr">
        <is>
          <t>①+②</t>
        </is>
      </c>
      <c r="C354" s="19">
        <f>IFERROR(B352+B353,"")</f>
        <v/>
      </c>
    </row>
    <row r="355">
      <c r="A355" s="18" t="inlineStr">
        <is>
          <t>④ 热身VL</t>
        </is>
      </c>
      <c r="B355" s="18" t="inlineStr">
        <is>
          <t>20×5+50%×3(+70%×2)</t>
        </is>
      </c>
      <c r="C355" s="19">
        <f>IFERROR(20*5+ROUND(V335*0.5,0)*3+ROUND(V{dr}*0.7,0)*2,"-")</f>
        <v/>
      </c>
    </row>
    <row r="356">
      <c r="A356" s="20" t="inlineStr">
        <is>
          <t>⑤ 主项工作组VL ★</t>
        </is>
      </c>
      <c r="B356" s="20" t="inlineStr">
        <is>
          <t>Σ(负荷×次数)</t>
        </is>
      </c>
      <c r="C356" s="21">
        <f>SUMPRODUCT($B$339:$B$344,$R$339:$R$344)</f>
        <v/>
      </c>
    </row>
    <row r="357">
      <c r="A357" s="18" t="inlineStr">
        <is>
          <t>⑥ 主项总VL</t>
        </is>
      </c>
      <c r="B357" s="18" t="inlineStr">
        <is>
          <t>④+⑤</t>
        </is>
      </c>
      <c r="C357" s="19">
        <f>IFERROR(D352+D353,"")</f>
        <v/>
      </c>
    </row>
    <row r="358">
      <c r="A358" s="18" t="inlineStr">
        <is>
          <t>⑦ 辅助VL</t>
        </is>
      </c>
      <c r="B358" s="18" t="inlineStr">
        <is>
          <t>RDL/保加利亚</t>
        </is>
      </c>
      <c r="C358" s="19">
        <f>IFERROR(I345,"")</f>
        <v/>
      </c>
    </row>
    <row r="359">
      <c r="A359" s="18" t="inlineStr">
        <is>
          <t>⑧ 总外部负荷</t>
        </is>
      </c>
      <c r="B359" s="18" t="inlineStr">
        <is>
          <t>⑥+⑦(+负重跳)</t>
        </is>
      </c>
      <c r="C359" s="19">
        <f>IFERROR(F352+G352,"")</f>
        <v/>
      </c>
    </row>
    <row r="360">
      <c r="A360" s="18" t="inlineStr">
        <is>
          <t>⑨ sRPE load</t>
        </is>
      </c>
      <c r="B360" s="18" t="inlineStr">
        <is>
          <t>sRPE×时长</t>
        </is>
      </c>
      <c r="C360" s="19">
        <f>IFERROR(F347,"")</f>
        <v/>
      </c>
    </row>
  </sheetData>
  <mergeCells count="25">
    <mergeCell ref="A213:V213"/>
    <mergeCell ref="A255:C255"/>
    <mergeCell ref="A33:V33"/>
    <mergeCell ref="A75:C75"/>
    <mergeCell ref="A303:V303"/>
    <mergeCell ref="A105:C105"/>
    <mergeCell ref="A285:C285"/>
    <mergeCell ref="A333:V333"/>
    <mergeCell ref="A195:C195"/>
    <mergeCell ref="A63:V63"/>
    <mergeCell ref="A93:V93"/>
    <mergeCell ref="A135:C135"/>
    <mergeCell ref="A165:C165"/>
    <mergeCell ref="A1:V1"/>
    <mergeCell ref="A123:V123"/>
    <mergeCell ref="A153:V153"/>
    <mergeCell ref="A15:C15"/>
    <mergeCell ref="A243:V243"/>
    <mergeCell ref="A183:V183"/>
    <mergeCell ref="A225:C225"/>
    <mergeCell ref="A45:C45"/>
    <mergeCell ref="A273:V273"/>
    <mergeCell ref="A315:C315"/>
    <mergeCell ref="A3:V3"/>
    <mergeCell ref="A345:C3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12" customWidth="1" min="12" max="12"/>
    <col width="10" customWidth="1" min="13" max="13"/>
    <col width="10" customWidth="1" min="14" max="14"/>
    <col width="12" customWidth="1" min="15" max="15"/>
    <col width="18" customWidth="1" min="16" max="16"/>
    <col width="12" customWidth="1" min="17" max="17"/>
    <col width="10" customWidth="1" min="18" max="18"/>
    <col width="12" customWidth="1" min="19" max="19"/>
    <col width="16" customWidth="1" min="20" max="20"/>
    <col width="14" customWidth="1" min="21" max="21"/>
    <col width="14" customWidth="1" min="22" max="22"/>
  </cols>
  <sheetData>
    <row r="1">
      <c r="A1" s="1" t="inlineStr">
        <is>
          <t>研究二AI组 W1_B (B日) MC=0.75-0.85 VL%=10</t>
        </is>
      </c>
    </row>
    <row r="2">
      <c r="A2" s="2" t="inlineStr">
        <is>
          <t>MC区间</t>
        </is>
      </c>
      <c r="B2" s="3" t="inlineStr">
        <is>
          <t>MC中点</t>
        </is>
      </c>
      <c r="C2" s="3" t="inlineStr">
        <is>
          <t>VL%</t>
        </is>
      </c>
      <c r="D2" s="3" t="inlineStr">
        <is>
          <t>安全停止</t>
        </is>
      </c>
      <c r="E2" s="3" t="inlineStr">
        <is>
          <t>组数</t>
        </is>
      </c>
      <c r="F2" s="3" t="inlineStr">
        <is>
          <t>热身</t>
        </is>
      </c>
      <c r="G2" s="4" t="inlineStr">
        <is>
          <t>B</t>
        </is>
      </c>
    </row>
    <row r="3">
      <c r="A3" s="5" t="inlineStr">
        <is>
          <t>P007 陈鑫  a=1.65 b=-0.0125 1RM=110</t>
        </is>
      </c>
    </row>
    <row r="4">
      <c r="A4" s="6" t="inlineStr">
        <is>
          <t>编号</t>
        </is>
      </c>
      <c r="B4" s="6" t="inlineStr">
        <is>
          <t>姓名</t>
        </is>
      </c>
      <c r="C4" s="6" t="inlineStr">
        <is>
          <t>身高</t>
        </is>
      </c>
      <c r="D4" s="6" t="inlineStr">
        <is>
          <t>1RM</t>
        </is>
      </c>
      <c r="E4" s="6" t="inlineStr">
        <is>
          <t>Hooper睡</t>
        </is>
      </c>
      <c r="F4" s="6" t="inlineStr">
        <is>
          <t>Hooper压</t>
        </is>
      </c>
      <c r="G4" s="6" t="inlineStr">
        <is>
          <t>Hooper疲</t>
        </is>
      </c>
      <c r="H4" s="6" t="inlineStr">
        <is>
          <t>Hooper酸</t>
        </is>
      </c>
      <c r="I4" s="6" t="inlineStr">
        <is>
          <t>H总</t>
        </is>
      </c>
      <c r="J4" s="6" t="inlineStr">
        <is>
          <t>不适?</t>
        </is>
      </c>
      <c r="K4" s="6" t="inlineStr">
        <is>
          <t>说明</t>
        </is>
      </c>
      <c r="L4" s="6" t="inlineStr">
        <is>
          <t>CMJ1</t>
        </is>
      </c>
      <c r="M4" s="6" t="inlineStr">
        <is>
          <t>CMJ2</t>
        </is>
      </c>
      <c r="N4" s="6" t="inlineStr">
        <is>
          <t>CMJ3</t>
        </is>
      </c>
      <c r="O4" s="6" t="inlineStr">
        <is>
          <t>CMJμ</t>
        </is>
      </c>
      <c r="P4" s="6" t="inlineStr">
        <is>
          <t>&lt;95%</t>
        </is>
      </c>
      <c r="Q4" s="6" t="inlineStr">
        <is>
          <t>减组</t>
        </is>
      </c>
      <c r="R4" s="6" t="inlineStr">
        <is>
          <t>组数</t>
        </is>
      </c>
      <c r="S4" s="6" t="inlineStr">
        <is>
          <t>a(V0)</t>
        </is>
      </c>
      <c r="T4" s="6" t="inlineStr">
        <is>
          <t>b</t>
        </is>
      </c>
      <c r="U4" s="6" t="inlineStr">
        <is>
          <t>等级</t>
        </is>
      </c>
      <c r="V4" s="6" t="inlineStr">
        <is>
          <t>预测起始</t>
        </is>
      </c>
    </row>
    <row r="5">
      <c r="A5" s="7" t="inlineStr">
        <is>
          <t>P007</t>
        </is>
      </c>
      <c r="B5" s="7" t="inlineStr">
        <is>
          <t>陈鑫</t>
        </is>
      </c>
      <c r="C5" s="7" t="n">
        <v>173</v>
      </c>
      <c r="D5" s="8" t="n">
        <v>110</v>
      </c>
      <c r="E5" s="9" t="n"/>
      <c r="F5" s="9" t="n"/>
      <c r="G5" s="9" t="n"/>
      <c r="H5" s="9" t="n"/>
      <c r="I5" s="7">
        <f>IFERROR(SUM(E5:H5),"")</f>
        <v/>
      </c>
      <c r="J5" s="9" t="n"/>
      <c r="K5" s="9" t="n"/>
      <c r="L5" s="9" t="n"/>
      <c r="M5" s="9" t="n"/>
      <c r="N5" s="9" t="n"/>
      <c r="O5" s="7">
        <f>IFERROR(AVERAGE(L5:N5),"")</f>
        <v/>
      </c>
      <c r="P5" s="7">
        <f>IF(O5="","",IF(O5&lt;63.01,"是⚠","否"))</f>
        <v/>
      </c>
      <c r="Q5" s="7">
        <f>IF(O5="","",IF(O5&lt;63.01,4-1,4))</f>
        <v/>
      </c>
      <c r="R5" s="7" t="n"/>
      <c r="S5" s="8" t="n">
        <v>1.65</v>
      </c>
      <c r="T5" s="8" t="n">
        <v>-0.0125</v>
      </c>
      <c r="U5" s="7" t="inlineStr">
        <is>
          <t>A</t>
        </is>
      </c>
      <c r="V5" s="8" t="n">
        <v>67.5</v>
      </c>
    </row>
    <row r="6">
      <c r="A6" s="10" t="inlineStr">
        <is>
          <t>热身校准</t>
        </is>
      </c>
      <c r="B6" s="10" t="inlineStr">
        <is>
          <t>a</t>
        </is>
      </c>
      <c r="C6" s="10" t="inlineStr">
        <is>
          <t>b</t>
        </is>
      </c>
      <c r="D6" s="10" t="inlineStr">
        <is>
          <t>50%热身</t>
        </is>
      </c>
      <c r="E6" s="10" t="inlineStr">
        <is>
          <t>70%热身</t>
        </is>
      </c>
      <c r="F6" s="10" t="inlineStr">
        <is>
          <t>热身负荷</t>
        </is>
      </c>
      <c r="G6" s="10" t="inlineStr">
        <is>
          <t>实测MCV</t>
        </is>
      </c>
      <c r="H6" s="10" t="inlineStr">
        <is>
          <t>预测MCV</t>
        </is>
      </c>
      <c r="I6" s="10" t="inlineStr">
        <is>
          <t>Δv</t>
        </is>
      </c>
      <c r="J6" s="10" t="inlineStr">
        <is>
          <t>调整量</t>
        </is>
      </c>
      <c r="K6" s="10" t="inlineStr">
        <is>
          <t>校准第1组</t>
        </is>
      </c>
    </row>
    <row r="7">
      <c r="A7" s="7" t="n"/>
      <c r="B7" s="11" t="n">
        <v>1.65</v>
      </c>
      <c r="C7" s="11" t="n">
        <v>-0.0125</v>
      </c>
      <c r="D7" s="11">
        <f>IFERROR(ROUND(V5*0.5/2.5,0)*2.5,"")</f>
        <v/>
      </c>
      <c r="E7" s="11" t="inlineStr"/>
      <c r="F7" s="11">
        <f>IFERROR(ROUND(V5*0.5/2.5,0)*2.5,"")</f>
        <v/>
      </c>
      <c r="G7" s="9" t="n"/>
      <c r="H7" s="11">
        <f>IFERROR(B7+C7*F7,"")</f>
        <v/>
      </c>
      <c r="I7" s="11">
        <f>IFERROR(G7-H7,"")</f>
        <v/>
      </c>
      <c r="J7" s="11">
        <f>IFERROR(IF(I7&gt;0.08,5,IF(I7&gt;0.04,2.5,IF(I7&gt;=-0.04,0,IF(I7&gt;=-0.08,-2.5,-5)))),"")</f>
        <v/>
      </c>
      <c r="K7" s="11">
        <f>IFERROR(ROUND(V5+J7,0),"")</f>
        <v/>
      </c>
    </row>
    <row r="8">
      <c r="A8" s="12" t="inlineStr">
        <is>
          <t>组</t>
        </is>
      </c>
      <c r="B8" s="12" t="inlineStr">
        <is>
          <t>负荷</t>
        </is>
      </c>
      <c r="C8" s="12" t="inlineStr">
        <is>
          <t>rep1</t>
        </is>
      </c>
      <c r="D8" s="12" t="inlineStr">
        <is>
          <t>rep2</t>
        </is>
      </c>
      <c r="E8" s="12" t="inlineStr">
        <is>
          <t>rep3</t>
        </is>
      </c>
      <c r="F8" s="12" t="inlineStr">
        <is>
          <t>rep4</t>
        </is>
      </c>
      <c r="G8" s="12" t="inlineStr">
        <is>
          <t>rep5</t>
        </is>
      </c>
      <c r="H8" s="12" t="inlineStr">
        <is>
          <t>rep6</t>
        </is>
      </c>
      <c r="I8" s="12" t="inlineStr">
        <is>
          <t>best</t>
        </is>
      </c>
      <c r="J8" s="12" t="inlineStr">
        <is>
          <t>best#</t>
        </is>
      </c>
      <c r="K8" s="12" t="inlineStr">
        <is>
          <t>VL%</t>
        </is>
      </c>
      <c r="L8" s="12" t="inlineStr">
        <is>
          <t>stop_th</t>
        </is>
      </c>
      <c r="M8" s="12" t="inlineStr">
        <is>
          <t>latest</t>
        </is>
      </c>
      <c r="N8" s="12" t="inlineStr">
        <is>
          <t>VL_flag</t>
        </is>
      </c>
      <c r="O8" s="12" t="inlineStr">
        <is>
          <t>safety</t>
        </is>
      </c>
      <c r="P8" s="12" t="inlineStr">
        <is>
          <t>原因</t>
        </is>
      </c>
      <c r="Q8" s="12" t="inlineStr">
        <is>
          <t>建议</t>
        </is>
      </c>
      <c r="R8" s="12" t="inlineStr">
        <is>
          <t>次数</t>
        </is>
      </c>
    </row>
    <row r="9">
      <c r="A9" s="7" t="n">
        <v>1</v>
      </c>
      <c r="B9" s="9">
        <f>IFERROR(K7,"")</f>
        <v/>
      </c>
      <c r="C9" s="9" t="n"/>
      <c r="D9" s="9" t="n"/>
      <c r="E9" s="9" t="n"/>
      <c r="F9" s="9" t="n"/>
      <c r="G9" s="9" t="n"/>
      <c r="H9" s="9" t="n"/>
      <c r="I9" s="7">
        <f>IFERROR(MAX(C9:H9),"")</f>
        <v/>
      </c>
      <c r="J9" s="7">
        <f>IFERROR(MATCH(I9,C9:H9,0),"")</f>
        <v/>
      </c>
      <c r="K9" s="7" t="n">
        <v>10</v>
      </c>
      <c r="L9" s="7">
        <f>IFERROR(I9*(1-(K9/100)),"")</f>
        <v/>
      </c>
      <c r="M9" s="7">
        <f>IFERROR(LOOKUP(9.99E+307,C9:H9),"")</f>
        <v/>
      </c>
      <c r="N9" s="7">
        <f>IFERROR(IF(M9="","",IF(M9&lt;=N9,"停组🛑","继续✓")),"")</f>
        <v/>
      </c>
      <c r="O9" s="7">
        <f>IFERROR(IF(M9="","",IF(M9&lt;0.15,"SAFETY_STOP","")),"")</f>
        <v/>
      </c>
      <c r="P9" s="7">
        <f>IFERROR(IF(M9="","",IF(M9&lt;0.15,"SAFETY_STOP",IF(M9&lt;=N9,"VL_THRESHOLD",""))),"")</f>
        <v/>
      </c>
      <c r="Q9" s="7">
        <f>IFERROR(IF(I9="","",IF(I9&gt;(0.8+0.05),"+5kg",IF(I9&gt;(0.8+0.02),"+2.5kg",IF(I9&gt;=(0.8-0.05),"保持",IF(I9&gt;=(0.8-0.08),"-2.5kg","-5kg"))))),"")</f>
        <v/>
      </c>
      <c r="R9" s="9" t="n"/>
    </row>
    <row r="10">
      <c r="A10" s="7" t="n">
        <v>2</v>
      </c>
      <c r="B10" s="9" t="n"/>
      <c r="C10" s="9" t="n"/>
      <c r="D10" s="9" t="n"/>
      <c r="E10" s="9" t="n"/>
      <c r="F10" s="9" t="n"/>
      <c r="G10" s="9" t="n"/>
      <c r="H10" s="9" t="n"/>
      <c r="I10" s="7">
        <f>IFERROR(MAX(C10:H10),"")</f>
        <v/>
      </c>
      <c r="J10" s="7">
        <f>IFERROR(MATCH(I10,C10:H10,0),"")</f>
        <v/>
      </c>
      <c r="K10" s="7" t="n">
        <v>10</v>
      </c>
      <c r="L10" s="7">
        <f>IFERROR(I10*(1-(K10/100)),"")</f>
        <v/>
      </c>
      <c r="M10" s="7">
        <f>IFERROR(LOOKUP(9.99E+307,C10:H10),"")</f>
        <v/>
      </c>
      <c r="N10" s="7">
        <f>IFERROR(IF(M10="","",IF(M10&lt;=N10,"停组🛑","继续✓")),"")</f>
        <v/>
      </c>
      <c r="O10" s="7">
        <f>IFERROR(IF(M10="","",IF(M10&lt;0.15,"SAFETY_STOP","")),"")</f>
        <v/>
      </c>
      <c r="P10" s="7">
        <f>IFERROR(IF(M10="","",IF(M10&lt;0.15,"SAFETY_STOP",IF(M10&lt;=N10,"VL_THRESHOLD",""))),"")</f>
        <v/>
      </c>
      <c r="Q10" s="7">
        <f>IFERROR(IF(I10="","",IF(I10&gt;(0.8+0.05),"+5kg",IF(I10&gt;(0.8+0.02),"+2.5kg",IF(I10&gt;=(0.8-0.05),"保持",IF(I10&gt;=(0.8-0.08),"-2.5kg","-5kg"))))),"")</f>
        <v/>
      </c>
      <c r="R10" s="9" t="n"/>
    </row>
    <row r="11">
      <c r="A11" s="7" t="n">
        <v>3</v>
      </c>
      <c r="B11" s="9" t="n"/>
      <c r="C11" s="9" t="n"/>
      <c r="D11" s="9" t="n"/>
      <c r="E11" s="9" t="n"/>
      <c r="F11" s="9" t="n"/>
      <c r="G11" s="9" t="n"/>
      <c r="H11" s="9" t="n"/>
      <c r="I11" s="7">
        <f>IFERROR(MAX(C11:H11),"")</f>
        <v/>
      </c>
      <c r="J11" s="7">
        <f>IFERROR(MATCH(I11,C11:H11,0),"")</f>
        <v/>
      </c>
      <c r="K11" s="7" t="n">
        <v>10</v>
      </c>
      <c r="L11" s="7">
        <f>IFERROR(I11*(1-(K11/100)),"")</f>
        <v/>
      </c>
      <c r="M11" s="7">
        <f>IFERROR(LOOKUP(9.99E+307,C11:H11),"")</f>
        <v/>
      </c>
      <c r="N11" s="7">
        <f>IFERROR(IF(M11="","",IF(M11&lt;=N11,"停组🛑","继续✓")),"")</f>
        <v/>
      </c>
      <c r="O11" s="7">
        <f>IFERROR(IF(M11="","",IF(M11&lt;0.15,"SAFETY_STOP","")),"")</f>
        <v/>
      </c>
      <c r="P11" s="7">
        <f>IFERROR(IF(M11="","",IF(M11&lt;0.15,"SAFETY_STOP",IF(M11&lt;=N11,"VL_THRESHOLD",""))),"")</f>
        <v/>
      </c>
      <c r="Q11" s="7">
        <f>IFERROR(IF(I11="","",IF(I11&gt;(0.8+0.05),"+5kg",IF(I11&gt;(0.8+0.02),"+2.5kg",IF(I11&gt;=(0.8-0.05),"保持",IF(I11&gt;=(0.8-0.08),"-2.5kg","-5kg"))))),"")</f>
        <v/>
      </c>
      <c r="R11" s="9" t="n"/>
    </row>
    <row r="12">
      <c r="A12" s="7" t="n">
        <v>4</v>
      </c>
      <c r="B12" s="9" t="n"/>
      <c r="C12" s="9" t="n"/>
      <c r="D12" s="9" t="n"/>
      <c r="E12" s="9" t="n"/>
      <c r="F12" s="9" t="n"/>
      <c r="G12" s="9" t="n"/>
      <c r="H12" s="9" t="n"/>
      <c r="I12" s="7">
        <f>IFERROR(MAX(C12:H12),"")</f>
        <v/>
      </c>
      <c r="J12" s="7">
        <f>IFERROR(MATCH(I12,C12:H12,0),"")</f>
        <v/>
      </c>
      <c r="K12" s="7" t="n">
        <v>10</v>
      </c>
      <c r="L12" s="7">
        <f>IFERROR(I12*(1-(K12/100)),"")</f>
        <v/>
      </c>
      <c r="M12" s="7">
        <f>IFERROR(LOOKUP(9.99E+307,C12:H12),"")</f>
        <v/>
      </c>
      <c r="N12" s="7">
        <f>IFERROR(IF(M12="","",IF(M12&lt;=N12,"停组🛑","继续✓")),"")</f>
        <v/>
      </c>
      <c r="O12" s="7">
        <f>IFERROR(IF(M12="","",IF(M12&lt;0.15,"SAFETY_STOP","")),"")</f>
        <v/>
      </c>
      <c r="P12" s="7">
        <f>IFERROR(IF(M12="","",IF(M12&lt;0.15,"SAFETY_STOP",IF(M12&lt;=N12,"VL_THRESHOLD",""))),"")</f>
        <v/>
      </c>
      <c r="Q12" s="7">
        <f>IFERROR(IF(I12="","",IF(I12&gt;(0.8+0.05),"+5kg",IF(I12&gt;(0.8+0.02),"+2.5kg",IF(I12&gt;=(0.8-0.05),"保持",IF(I12&gt;=(0.8-0.08),"-2.5kg","-5kg"))))),"")</f>
        <v/>
      </c>
      <c r="R12" s="9" t="n"/>
    </row>
    <row r="13">
      <c r="A13" s="7" t="n">
        <v>5</v>
      </c>
      <c r="B13" s="9" t="n"/>
      <c r="C13" s="9" t="n"/>
      <c r="D13" s="9" t="n"/>
      <c r="E13" s="9" t="n"/>
      <c r="F13" s="9" t="n"/>
      <c r="G13" s="9" t="n"/>
      <c r="H13" s="9" t="n"/>
      <c r="I13" s="7">
        <f>IFERROR(MAX(C13:H13),"")</f>
        <v/>
      </c>
      <c r="J13" s="7">
        <f>IFERROR(MATCH(I13,C13:H13,0),"")</f>
        <v/>
      </c>
      <c r="K13" s="7" t="n">
        <v>10</v>
      </c>
      <c r="L13" s="7">
        <f>IFERROR(I13*(1-(K13/100)),"")</f>
        <v/>
      </c>
      <c r="M13" s="7">
        <f>IFERROR(LOOKUP(9.99E+307,C13:H13),"")</f>
        <v/>
      </c>
      <c r="N13" s="7">
        <f>IFERROR(IF(M13="","",IF(M13&lt;=N13,"停组🛑","继续✓")),"")</f>
        <v/>
      </c>
      <c r="O13" s="7">
        <f>IFERROR(IF(M13="","",IF(M13&lt;0.15,"SAFETY_STOP","")),"")</f>
        <v/>
      </c>
      <c r="P13" s="7">
        <f>IFERROR(IF(M13="","",IF(M13&lt;0.15,"SAFETY_STOP",IF(M13&lt;=N13,"VL_THRESHOLD",""))),"")</f>
        <v/>
      </c>
      <c r="Q13" s="7">
        <f>IFERROR(IF(I13="","",IF(I13&gt;(0.8+0.05),"+5kg",IF(I13&gt;(0.8+0.02),"+2.5kg",IF(I13&gt;=(0.8-0.05),"保持",IF(I13&gt;=(0.8-0.08),"-2.5kg","-5kg"))))),"")</f>
        <v/>
      </c>
      <c r="R13" s="9" t="n"/>
    </row>
    <row r="14">
      <c r="A14" s="7" t="n">
        <v>6</v>
      </c>
      <c r="B14" s="9" t="n"/>
      <c r="C14" s="9" t="n"/>
      <c r="D14" s="9" t="n"/>
      <c r="E14" s="9" t="n"/>
      <c r="F14" s="9" t="n"/>
      <c r="G14" s="9" t="n"/>
      <c r="H14" s="9" t="n"/>
      <c r="I14" s="7">
        <f>IFERROR(MAX(C14:H14),"")</f>
        <v/>
      </c>
      <c r="J14" s="7">
        <f>IFERROR(MATCH(I14,C14:H14,0),"")</f>
        <v/>
      </c>
      <c r="K14" s="7" t="n">
        <v>10</v>
      </c>
      <c r="L14" s="7">
        <f>IFERROR(I14*(1-(K14/100)),"")</f>
        <v/>
      </c>
      <c r="M14" s="7">
        <f>IFERROR(LOOKUP(9.99E+307,C14:H14),"")</f>
        <v/>
      </c>
      <c r="N14" s="7">
        <f>IFERROR(IF(M14="","",IF(M14&lt;=N14,"停组🛑","继续✓")),"")</f>
        <v/>
      </c>
      <c r="O14" s="7">
        <f>IFERROR(IF(M14="","",IF(M14&lt;0.15,"SAFETY_STOP","")),"")</f>
        <v/>
      </c>
      <c r="P14" s="7">
        <f>IFERROR(IF(M14="","",IF(M14&lt;0.15,"SAFETY_STOP",IF(M14&lt;=N14,"VL_THRESHOLD",""))),"")</f>
        <v/>
      </c>
      <c r="Q14" s="7">
        <f>IFERROR(IF(I14="","",IF(I14&gt;(0.8+0.05),"+5kg",IF(I14&gt;(0.8+0.02),"+2.5kg",IF(I14&gt;=(0.8-0.05),"保持",IF(I14&gt;=(0.8-0.08),"-2.5kg","-5kg"))))),"")</f>
        <v/>
      </c>
      <c r="R14" s="9" t="n"/>
    </row>
    <row r="15">
      <c r="A15" s="13" t="inlineStr">
        <is>
          <t>辅助</t>
        </is>
      </c>
      <c r="D15" s="14" t="inlineStr">
        <is>
          <t>保加利亚单腿蹲</t>
        </is>
      </c>
      <c r="E15" s="14" t="inlineStr">
        <is>
          <t>负荷</t>
        </is>
      </c>
      <c r="F15" s="14" t="inlineStr">
        <is>
          <t>完成</t>
        </is>
      </c>
      <c r="I15" t="inlineStr">
        <is>
          <t>VL</t>
        </is>
      </c>
    </row>
    <row r="16">
      <c r="A16" s="15" t="inlineStr">
        <is>
          <t>训练后</t>
        </is>
      </c>
      <c r="B16" s="15" t="inlineStr">
        <is>
          <t>开始</t>
        </is>
      </c>
      <c r="C16" s="15" t="inlineStr">
        <is>
          <t>结束</t>
        </is>
      </c>
      <c r="D16" s="15" t="inlineStr">
        <is>
          <t>时长min</t>
        </is>
      </c>
      <c r="E16" s="15" t="inlineStr">
        <is>
          <t>sRPE</t>
        </is>
      </c>
      <c r="F16" s="15" t="inlineStr">
        <is>
          <t>load</t>
        </is>
      </c>
      <c r="G16" s="15" t="inlineStr">
        <is>
          <t>不适?</t>
        </is>
      </c>
      <c r="H16" s="15" t="inlineStr">
        <is>
          <t>备注</t>
        </is>
      </c>
      <c r="I16" s="15" t="inlineStr">
        <is>
          <t>签名</t>
        </is>
      </c>
    </row>
    <row r="17">
      <c r="A17" s="7" t="n"/>
      <c r="B17" s="9" t="n"/>
      <c r="C17" s="9" t="n"/>
      <c r="D17" s="11">
        <f>IFERROR((C17-B17)*1440,"")</f>
        <v/>
      </c>
      <c r="E17" s="9" t="n"/>
      <c r="F17" s="11">
        <f>IFERROR(E17*D17,"")</f>
        <v/>
      </c>
      <c r="G17" s="9" t="n"/>
      <c r="H17" s="9" t="n"/>
      <c r="I17" s="9" t="n"/>
    </row>
    <row r="18">
      <c r="A18" s="16" t="inlineStr">
        <is>
          <t>跳跃</t>
        </is>
      </c>
      <c r="B18" s="16" t="inlineStr">
        <is>
          <t>类型</t>
        </is>
      </c>
      <c r="C18" s="16" t="inlineStr">
        <is>
          <t>组×次</t>
        </is>
      </c>
      <c r="D18" s="16" t="inlineStr">
        <is>
          <t>负荷kg</t>
        </is>
      </c>
      <c r="E18" s="16" t="inlineStr">
        <is>
          <t>接触</t>
        </is>
      </c>
    </row>
    <row r="19">
      <c r="B19" t="inlineStr">
        <is>
          <t>SJ</t>
        </is>
      </c>
      <c r="C19" t="inlineStr">
        <is>
          <t>3×3</t>
        </is>
      </c>
      <c r="D19" t="n">
        <v>0</v>
      </c>
      <c r="E19" t="n">
        <v>9</v>
      </c>
    </row>
    <row r="20">
      <c r="B20" t="inlineStr">
        <is>
          <t>负重跳</t>
        </is>
      </c>
      <c r="C20" t="inlineStr">
        <is>
          <t>3×4</t>
        </is>
      </c>
      <c r="D20" s="14" t="n"/>
      <c r="E20" s="14" t="n"/>
    </row>
    <row r="21">
      <c r="A21" s="17" t="inlineStr">
        <is>
          <t>▶ 暴露量汇总</t>
        </is>
      </c>
      <c r="B21" s="17" t="inlineStr">
        <is>
          <t>说明</t>
        </is>
      </c>
      <c r="C21" s="17" t="inlineStr">
        <is>
          <t>公式/来源</t>
        </is>
      </c>
      <c r="D21" s="17" t="inlineStr">
        <is>
          <t>数值</t>
        </is>
      </c>
    </row>
    <row r="22">
      <c r="A22" s="18" t="inlineStr">
        <is>
          <t>① 无负荷跳跃接触</t>
        </is>
      </c>
      <c r="B22" s="18" t="inlineStr">
        <is>
          <t>CMJ+SJ+箱跳</t>
        </is>
      </c>
      <c r="C22" s="19">
        <f>IFERROR(E19+E20,2)</f>
        <v/>
      </c>
    </row>
    <row r="23">
      <c r="A23" s="18" t="inlineStr">
        <is>
          <t>② 负重跳跃接触</t>
        </is>
      </c>
      <c r="B23" s="18" t="inlineStr">
        <is>
          <t>负重深蹲跳</t>
        </is>
      </c>
      <c r="C23" s="19">
        <f>IFERROR(E20,"")</f>
        <v/>
      </c>
    </row>
    <row r="24">
      <c r="A24" s="18" t="inlineStr">
        <is>
          <t>③ 跳跃总计</t>
        </is>
      </c>
      <c r="B24" s="18" t="inlineStr">
        <is>
          <t>①+②</t>
        </is>
      </c>
      <c r="C24" s="19">
        <f>IFERROR(B22+B23,"")</f>
        <v/>
      </c>
    </row>
    <row r="25">
      <c r="A25" s="18" t="inlineStr">
        <is>
          <t>④ 热身VL</t>
        </is>
      </c>
      <c r="B25" s="18" t="inlineStr">
        <is>
          <t>20×5+50%×3(+70%×2)</t>
        </is>
      </c>
      <c r="C25" s="19">
        <f>IFERROR(20*5+ROUND(V5*0.5,0)*3,"-")</f>
        <v/>
      </c>
    </row>
    <row r="26">
      <c r="A26" s="20" t="inlineStr">
        <is>
          <t>⑤ 主项工作组VL ★</t>
        </is>
      </c>
      <c r="B26" s="20" t="inlineStr">
        <is>
          <t>Σ(负荷×次数)</t>
        </is>
      </c>
      <c r="C26" s="21">
        <f>SUMPRODUCT($B$9:$B$14,$R$9:$R$14)</f>
        <v/>
      </c>
    </row>
    <row r="27">
      <c r="A27" s="18" t="inlineStr">
        <is>
          <t>⑥ 主项总VL</t>
        </is>
      </c>
      <c r="B27" s="18" t="inlineStr">
        <is>
          <t>④+⑤</t>
        </is>
      </c>
      <c r="C27" s="19">
        <f>IFERROR(D22+D23,"")</f>
        <v/>
      </c>
    </row>
    <row r="28">
      <c r="A28" s="18" t="inlineStr">
        <is>
          <t>⑦ 辅助VL</t>
        </is>
      </c>
      <c r="B28" s="18" t="inlineStr">
        <is>
          <t>RDL/保加利亚</t>
        </is>
      </c>
      <c r="C28" s="19">
        <f>IFERROR(I15,"")</f>
        <v/>
      </c>
    </row>
    <row r="29">
      <c r="A29" s="18" t="inlineStr">
        <is>
          <t>⑧ 总外部负荷</t>
        </is>
      </c>
      <c r="B29" s="18" t="inlineStr">
        <is>
          <t>⑥+⑦(+负重跳)</t>
        </is>
      </c>
      <c r="C29" s="19">
        <f>IFERROR(F22+G22,"")</f>
        <v/>
      </c>
    </row>
    <row r="30">
      <c r="A30" s="18" t="inlineStr">
        <is>
          <t>⑨ sRPE load</t>
        </is>
      </c>
      <c r="B30" s="18" t="inlineStr">
        <is>
          <t>sRPE×时长</t>
        </is>
      </c>
      <c r="C30" s="19">
        <f>IFERROR(F17,"")</f>
        <v/>
      </c>
    </row>
    <row r="33">
      <c r="A33" s="5" t="inlineStr">
        <is>
          <t>P005 曾庆华  a=1.775 b=-0.00875 1RM=155</t>
        </is>
      </c>
    </row>
    <row r="34">
      <c r="A34" s="6" t="inlineStr">
        <is>
          <t>编号</t>
        </is>
      </c>
      <c r="B34" s="6" t="inlineStr">
        <is>
          <t>姓名</t>
        </is>
      </c>
      <c r="C34" s="6" t="inlineStr">
        <is>
          <t>身高</t>
        </is>
      </c>
      <c r="D34" s="6" t="inlineStr">
        <is>
          <t>1RM</t>
        </is>
      </c>
      <c r="E34" s="6" t="inlineStr">
        <is>
          <t>Hooper睡</t>
        </is>
      </c>
      <c r="F34" s="6" t="inlineStr">
        <is>
          <t>Hooper压</t>
        </is>
      </c>
      <c r="G34" s="6" t="inlineStr">
        <is>
          <t>Hooper疲</t>
        </is>
      </c>
      <c r="H34" s="6" t="inlineStr">
        <is>
          <t>Hooper酸</t>
        </is>
      </c>
      <c r="I34" s="6" t="inlineStr">
        <is>
          <t>H总</t>
        </is>
      </c>
      <c r="J34" s="6" t="inlineStr">
        <is>
          <t>不适?</t>
        </is>
      </c>
      <c r="K34" s="6" t="inlineStr">
        <is>
          <t>说明</t>
        </is>
      </c>
      <c r="L34" s="6" t="inlineStr">
        <is>
          <t>CMJ1</t>
        </is>
      </c>
      <c r="M34" s="6" t="inlineStr">
        <is>
          <t>CMJ2</t>
        </is>
      </c>
      <c r="N34" s="6" t="inlineStr">
        <is>
          <t>CMJ3</t>
        </is>
      </c>
      <c r="O34" s="6" t="inlineStr">
        <is>
          <t>CMJμ</t>
        </is>
      </c>
      <c r="P34" s="6" t="inlineStr">
        <is>
          <t>&lt;95%</t>
        </is>
      </c>
      <c r="Q34" s="6" t="inlineStr">
        <is>
          <t>减组</t>
        </is>
      </c>
      <c r="R34" s="6" t="inlineStr">
        <is>
          <t>组数</t>
        </is>
      </c>
      <c r="S34" s="6" t="inlineStr">
        <is>
          <t>a(V0)</t>
        </is>
      </c>
      <c r="T34" s="6" t="inlineStr">
        <is>
          <t>b</t>
        </is>
      </c>
      <c r="U34" s="6" t="inlineStr">
        <is>
          <t>等级</t>
        </is>
      </c>
      <c r="V34" s="6" t="inlineStr">
        <is>
          <t>预测起始</t>
        </is>
      </c>
    </row>
    <row r="35">
      <c r="A35" s="7" t="inlineStr">
        <is>
          <t>P005</t>
        </is>
      </c>
      <c r="B35" s="7" t="inlineStr">
        <is>
          <t>曾庆华</t>
        </is>
      </c>
      <c r="C35" s="7" t="n">
        <v>177</v>
      </c>
      <c r="D35" s="8" t="n">
        <v>155</v>
      </c>
      <c r="E35" s="9" t="n"/>
      <c r="F35" s="9" t="n"/>
      <c r="G35" s="9" t="n"/>
      <c r="H35" s="9" t="n"/>
      <c r="I35" s="7">
        <f>IFERROR(SUM(E35:H35),"")</f>
        <v/>
      </c>
      <c r="J35" s="9" t="n"/>
      <c r="K35" s="9" t="n"/>
      <c r="L35" s="9" t="n"/>
      <c r="M35" s="9" t="n"/>
      <c r="N35" s="9" t="n"/>
      <c r="O35" s="7">
        <f>IFERROR(AVERAGE(L35:N35),"")</f>
        <v/>
      </c>
      <c r="P35" s="7">
        <f>IF(O35="","",IF(O35&lt;57.57,"是⚠","否"))</f>
        <v/>
      </c>
      <c r="Q35" s="7">
        <f>IF(O35="","",IF(O35&lt;57.57,4-1,4))</f>
        <v/>
      </c>
      <c r="R35" s="7" t="n"/>
      <c r="S35" s="8" t="n">
        <v>1.775</v>
      </c>
      <c r="T35" s="8" t="n">
        <v>-0.008750000000000001</v>
      </c>
      <c r="U35" s="7" t="inlineStr">
        <is>
          <t>B</t>
        </is>
      </c>
      <c r="V35" s="8" t="n">
        <v>112.5</v>
      </c>
    </row>
    <row r="36">
      <c r="A36" s="10" t="inlineStr">
        <is>
          <t>热身校准</t>
        </is>
      </c>
      <c r="B36" s="10" t="inlineStr">
        <is>
          <t>a</t>
        </is>
      </c>
      <c r="C36" s="10" t="inlineStr">
        <is>
          <t>b</t>
        </is>
      </c>
      <c r="D36" s="10" t="inlineStr">
        <is>
          <t>50%热身</t>
        </is>
      </c>
      <c r="E36" s="10" t="inlineStr">
        <is>
          <t>70%热身</t>
        </is>
      </c>
      <c r="F36" s="10" t="inlineStr">
        <is>
          <t>热身负荷</t>
        </is>
      </c>
      <c r="G36" s="10" t="inlineStr">
        <is>
          <t>实测MCV</t>
        </is>
      </c>
      <c r="H36" s="10" t="inlineStr">
        <is>
          <t>预测MCV</t>
        </is>
      </c>
      <c r="I36" s="10" t="inlineStr">
        <is>
          <t>Δv</t>
        </is>
      </c>
      <c r="J36" s="10" t="inlineStr">
        <is>
          <t>调整量</t>
        </is>
      </c>
      <c r="K36" s="10" t="inlineStr">
        <is>
          <t>校准第1组</t>
        </is>
      </c>
    </row>
    <row r="37">
      <c r="A37" s="7" t="n"/>
      <c r="B37" s="11" t="n">
        <v>1.775</v>
      </c>
      <c r="C37" s="11" t="n">
        <v>-0.008750000000000001</v>
      </c>
      <c r="D37" s="11">
        <f>IFERROR(ROUND(V35*0.5/2.5,0)*2.5,"")</f>
        <v/>
      </c>
      <c r="E37" s="11" t="inlineStr"/>
      <c r="F37" s="11">
        <f>IFERROR(ROUND(V35*0.5/2.5,0)*2.5,"")</f>
        <v/>
      </c>
      <c r="G37" s="9" t="n"/>
      <c r="H37" s="11">
        <f>IFERROR(B37+C37*F37,"")</f>
        <v/>
      </c>
      <c r="I37" s="11">
        <f>IFERROR(G37-H37,"")</f>
        <v/>
      </c>
      <c r="J37" s="11">
        <f>IFERROR(IF(I37&gt;0.08,5,IF(I37&gt;0.04,2.5,IF(I37&gt;=-0.04,0,IF(I37&gt;=-0.08,-2.5,-5)))),"")</f>
        <v/>
      </c>
      <c r="K37" s="11">
        <f>IFERROR(ROUND(V35+J37,0),"")</f>
        <v/>
      </c>
    </row>
    <row r="38">
      <c r="A38" s="12" t="inlineStr">
        <is>
          <t>组</t>
        </is>
      </c>
      <c r="B38" s="12" t="inlineStr">
        <is>
          <t>负荷</t>
        </is>
      </c>
      <c r="C38" s="12" t="inlineStr">
        <is>
          <t>rep1</t>
        </is>
      </c>
      <c r="D38" s="12" t="inlineStr">
        <is>
          <t>rep2</t>
        </is>
      </c>
      <c r="E38" s="12" t="inlineStr">
        <is>
          <t>rep3</t>
        </is>
      </c>
      <c r="F38" s="12" t="inlineStr">
        <is>
          <t>rep4</t>
        </is>
      </c>
      <c r="G38" s="12" t="inlineStr">
        <is>
          <t>rep5</t>
        </is>
      </c>
      <c r="H38" s="12" t="inlineStr">
        <is>
          <t>rep6</t>
        </is>
      </c>
      <c r="I38" s="12" t="inlineStr">
        <is>
          <t>best</t>
        </is>
      </c>
      <c r="J38" s="12" t="inlineStr">
        <is>
          <t>best#</t>
        </is>
      </c>
      <c r="K38" s="12" t="inlineStr">
        <is>
          <t>VL%</t>
        </is>
      </c>
      <c r="L38" s="12" t="inlineStr">
        <is>
          <t>stop_th</t>
        </is>
      </c>
      <c r="M38" s="12" t="inlineStr">
        <is>
          <t>latest</t>
        </is>
      </c>
      <c r="N38" s="12" t="inlineStr">
        <is>
          <t>VL_flag</t>
        </is>
      </c>
      <c r="O38" s="12" t="inlineStr">
        <is>
          <t>safety</t>
        </is>
      </c>
      <c r="P38" s="12" t="inlineStr">
        <is>
          <t>原因</t>
        </is>
      </c>
      <c r="Q38" s="12" t="inlineStr">
        <is>
          <t>建议</t>
        </is>
      </c>
      <c r="R38" s="12" t="inlineStr">
        <is>
          <t>次数</t>
        </is>
      </c>
    </row>
    <row r="39">
      <c r="A39" s="7" t="n">
        <v>1</v>
      </c>
      <c r="B39" s="9">
        <f>IFERROR(K37,"")</f>
        <v/>
      </c>
      <c r="C39" s="9" t="n"/>
      <c r="D39" s="9" t="n"/>
      <c r="E39" s="9" t="n"/>
      <c r="F39" s="9" t="n"/>
      <c r="G39" s="9" t="n"/>
      <c r="H39" s="9" t="n"/>
      <c r="I39" s="7">
        <f>IFERROR(MAX(C39:H39),"")</f>
        <v/>
      </c>
      <c r="J39" s="7">
        <f>IFERROR(MATCH(I39,C39:H39,0),"")</f>
        <v/>
      </c>
      <c r="K39" s="7" t="n">
        <v>10</v>
      </c>
      <c r="L39" s="7">
        <f>IFERROR(I39*(1-(K39/100)),"")</f>
        <v/>
      </c>
      <c r="M39" s="7">
        <f>IFERROR(LOOKUP(9.99E+307,C39:H39),"")</f>
        <v/>
      </c>
      <c r="N39" s="7">
        <f>IFERROR(IF(M39="","",IF(M39&lt;=N39,"停组🛑","继续✓")),"")</f>
        <v/>
      </c>
      <c r="O39" s="7">
        <f>IFERROR(IF(M39="","",IF(M39&lt;0.15,"SAFETY_STOP","")),"")</f>
        <v/>
      </c>
      <c r="P39" s="7">
        <f>IFERROR(IF(M39="","",IF(M39&lt;0.15,"SAFETY_STOP",IF(M39&lt;=N39,"VL_THRESHOLD",""))),"")</f>
        <v/>
      </c>
      <c r="Q39" s="7">
        <f>IFERROR(IF(I39="","",IF(I39&gt;(0.8+0.05),"+5kg",IF(I39&gt;(0.8+0.02),"+2.5kg",IF(I39&gt;=(0.8-0.05),"保持",IF(I39&gt;=(0.8-0.08),"-2.5kg","-5kg"))))),"")</f>
        <v/>
      </c>
      <c r="R39" s="9" t="n"/>
    </row>
    <row r="40">
      <c r="A40" s="7" t="n">
        <v>2</v>
      </c>
      <c r="B40" s="9" t="n"/>
      <c r="C40" s="9" t="n"/>
      <c r="D40" s="9" t="n"/>
      <c r="E40" s="9" t="n"/>
      <c r="F40" s="9" t="n"/>
      <c r="G40" s="9" t="n"/>
      <c r="H40" s="9" t="n"/>
      <c r="I40" s="7">
        <f>IFERROR(MAX(C40:H40),"")</f>
        <v/>
      </c>
      <c r="J40" s="7">
        <f>IFERROR(MATCH(I40,C40:H40,0),"")</f>
        <v/>
      </c>
      <c r="K40" s="7" t="n">
        <v>10</v>
      </c>
      <c r="L40" s="7">
        <f>IFERROR(I40*(1-(K40/100)),"")</f>
        <v/>
      </c>
      <c r="M40" s="7">
        <f>IFERROR(LOOKUP(9.99E+307,C40:H40),"")</f>
        <v/>
      </c>
      <c r="N40" s="7">
        <f>IFERROR(IF(M40="","",IF(M40&lt;=N40,"停组🛑","继续✓")),"")</f>
        <v/>
      </c>
      <c r="O40" s="7">
        <f>IFERROR(IF(M40="","",IF(M40&lt;0.15,"SAFETY_STOP","")),"")</f>
        <v/>
      </c>
      <c r="P40" s="7">
        <f>IFERROR(IF(M40="","",IF(M40&lt;0.15,"SAFETY_STOP",IF(M40&lt;=N40,"VL_THRESHOLD",""))),"")</f>
        <v/>
      </c>
      <c r="Q40" s="7">
        <f>IFERROR(IF(I40="","",IF(I40&gt;(0.8+0.05),"+5kg",IF(I40&gt;(0.8+0.02),"+2.5kg",IF(I40&gt;=(0.8-0.05),"保持",IF(I40&gt;=(0.8-0.08),"-2.5kg","-5kg"))))),"")</f>
        <v/>
      </c>
      <c r="R40" s="9" t="n"/>
    </row>
    <row r="41">
      <c r="A41" s="7" t="n">
        <v>3</v>
      </c>
      <c r="B41" s="9" t="n"/>
      <c r="C41" s="9" t="n"/>
      <c r="D41" s="9" t="n"/>
      <c r="E41" s="9" t="n"/>
      <c r="F41" s="9" t="n"/>
      <c r="G41" s="9" t="n"/>
      <c r="H41" s="9" t="n"/>
      <c r="I41" s="7">
        <f>IFERROR(MAX(C41:H41),"")</f>
        <v/>
      </c>
      <c r="J41" s="7">
        <f>IFERROR(MATCH(I41,C41:H41,0),"")</f>
        <v/>
      </c>
      <c r="K41" s="7" t="n">
        <v>10</v>
      </c>
      <c r="L41" s="7">
        <f>IFERROR(I41*(1-(K41/100)),"")</f>
        <v/>
      </c>
      <c r="M41" s="7">
        <f>IFERROR(LOOKUP(9.99E+307,C41:H41),"")</f>
        <v/>
      </c>
      <c r="N41" s="7">
        <f>IFERROR(IF(M41="","",IF(M41&lt;=N41,"停组🛑","继续✓")),"")</f>
        <v/>
      </c>
      <c r="O41" s="7">
        <f>IFERROR(IF(M41="","",IF(M41&lt;0.15,"SAFETY_STOP","")),"")</f>
        <v/>
      </c>
      <c r="P41" s="7">
        <f>IFERROR(IF(M41="","",IF(M41&lt;0.15,"SAFETY_STOP",IF(M41&lt;=N41,"VL_THRESHOLD",""))),"")</f>
        <v/>
      </c>
      <c r="Q41" s="7">
        <f>IFERROR(IF(I41="","",IF(I41&gt;(0.8+0.05),"+5kg",IF(I41&gt;(0.8+0.02),"+2.5kg",IF(I41&gt;=(0.8-0.05),"保持",IF(I41&gt;=(0.8-0.08),"-2.5kg","-5kg"))))),"")</f>
        <v/>
      </c>
      <c r="R41" s="9" t="n"/>
    </row>
    <row r="42">
      <c r="A42" s="7" t="n">
        <v>4</v>
      </c>
      <c r="B42" s="9" t="n"/>
      <c r="C42" s="9" t="n"/>
      <c r="D42" s="9" t="n"/>
      <c r="E42" s="9" t="n"/>
      <c r="F42" s="9" t="n"/>
      <c r="G42" s="9" t="n"/>
      <c r="H42" s="9" t="n"/>
      <c r="I42" s="7">
        <f>IFERROR(MAX(C42:H42),"")</f>
        <v/>
      </c>
      <c r="J42" s="7">
        <f>IFERROR(MATCH(I42,C42:H42,0),"")</f>
        <v/>
      </c>
      <c r="K42" s="7" t="n">
        <v>10</v>
      </c>
      <c r="L42" s="7">
        <f>IFERROR(I42*(1-(K42/100)),"")</f>
        <v/>
      </c>
      <c r="M42" s="7">
        <f>IFERROR(LOOKUP(9.99E+307,C42:H42),"")</f>
        <v/>
      </c>
      <c r="N42" s="7">
        <f>IFERROR(IF(M42="","",IF(M42&lt;=N42,"停组🛑","继续✓")),"")</f>
        <v/>
      </c>
      <c r="O42" s="7">
        <f>IFERROR(IF(M42="","",IF(M42&lt;0.15,"SAFETY_STOP","")),"")</f>
        <v/>
      </c>
      <c r="P42" s="7">
        <f>IFERROR(IF(M42="","",IF(M42&lt;0.15,"SAFETY_STOP",IF(M42&lt;=N42,"VL_THRESHOLD",""))),"")</f>
        <v/>
      </c>
      <c r="Q42" s="7">
        <f>IFERROR(IF(I42="","",IF(I42&gt;(0.8+0.05),"+5kg",IF(I42&gt;(0.8+0.02),"+2.5kg",IF(I42&gt;=(0.8-0.05),"保持",IF(I42&gt;=(0.8-0.08),"-2.5kg","-5kg"))))),"")</f>
        <v/>
      </c>
      <c r="R42" s="9" t="n"/>
    </row>
    <row r="43">
      <c r="A43" s="7" t="n">
        <v>5</v>
      </c>
      <c r="B43" s="9" t="n"/>
      <c r="C43" s="9" t="n"/>
      <c r="D43" s="9" t="n"/>
      <c r="E43" s="9" t="n"/>
      <c r="F43" s="9" t="n"/>
      <c r="G43" s="9" t="n"/>
      <c r="H43" s="9" t="n"/>
      <c r="I43" s="7">
        <f>IFERROR(MAX(C43:H43),"")</f>
        <v/>
      </c>
      <c r="J43" s="7">
        <f>IFERROR(MATCH(I43,C43:H43,0),"")</f>
        <v/>
      </c>
      <c r="K43" s="7" t="n">
        <v>10</v>
      </c>
      <c r="L43" s="7">
        <f>IFERROR(I43*(1-(K43/100)),"")</f>
        <v/>
      </c>
      <c r="M43" s="7">
        <f>IFERROR(LOOKUP(9.99E+307,C43:H43),"")</f>
        <v/>
      </c>
      <c r="N43" s="7">
        <f>IFERROR(IF(M43="","",IF(M43&lt;=N43,"停组🛑","继续✓")),"")</f>
        <v/>
      </c>
      <c r="O43" s="7">
        <f>IFERROR(IF(M43="","",IF(M43&lt;0.15,"SAFETY_STOP","")),"")</f>
        <v/>
      </c>
      <c r="P43" s="7">
        <f>IFERROR(IF(M43="","",IF(M43&lt;0.15,"SAFETY_STOP",IF(M43&lt;=N43,"VL_THRESHOLD",""))),"")</f>
        <v/>
      </c>
      <c r="Q43" s="7">
        <f>IFERROR(IF(I43="","",IF(I43&gt;(0.8+0.05),"+5kg",IF(I43&gt;(0.8+0.02),"+2.5kg",IF(I43&gt;=(0.8-0.05),"保持",IF(I43&gt;=(0.8-0.08),"-2.5kg","-5kg"))))),"")</f>
        <v/>
      </c>
      <c r="R43" s="9" t="n"/>
    </row>
    <row r="44">
      <c r="A44" s="7" t="n">
        <v>6</v>
      </c>
      <c r="B44" s="9" t="n"/>
      <c r="C44" s="9" t="n"/>
      <c r="D44" s="9" t="n"/>
      <c r="E44" s="9" t="n"/>
      <c r="F44" s="9" t="n"/>
      <c r="G44" s="9" t="n"/>
      <c r="H44" s="9" t="n"/>
      <c r="I44" s="7">
        <f>IFERROR(MAX(C44:H44),"")</f>
        <v/>
      </c>
      <c r="J44" s="7">
        <f>IFERROR(MATCH(I44,C44:H44,0),"")</f>
        <v/>
      </c>
      <c r="K44" s="7" t="n">
        <v>10</v>
      </c>
      <c r="L44" s="7">
        <f>IFERROR(I44*(1-(K44/100)),"")</f>
        <v/>
      </c>
      <c r="M44" s="7">
        <f>IFERROR(LOOKUP(9.99E+307,C44:H44),"")</f>
        <v/>
      </c>
      <c r="N44" s="7">
        <f>IFERROR(IF(M44="","",IF(M44&lt;=N44,"停组🛑","继续✓")),"")</f>
        <v/>
      </c>
      <c r="O44" s="7">
        <f>IFERROR(IF(M44="","",IF(M44&lt;0.15,"SAFETY_STOP","")),"")</f>
        <v/>
      </c>
      <c r="P44" s="7">
        <f>IFERROR(IF(M44="","",IF(M44&lt;0.15,"SAFETY_STOP",IF(M44&lt;=N44,"VL_THRESHOLD",""))),"")</f>
        <v/>
      </c>
      <c r="Q44" s="7">
        <f>IFERROR(IF(I44="","",IF(I44&gt;(0.8+0.05),"+5kg",IF(I44&gt;(0.8+0.02),"+2.5kg",IF(I44&gt;=(0.8-0.05),"保持",IF(I44&gt;=(0.8-0.08),"-2.5kg","-5kg"))))),"")</f>
        <v/>
      </c>
      <c r="R44" s="9" t="n"/>
    </row>
    <row r="45">
      <c r="A45" s="13" t="inlineStr">
        <is>
          <t>辅助</t>
        </is>
      </c>
      <c r="D45" s="14" t="inlineStr">
        <is>
          <t>保加利亚单腿蹲</t>
        </is>
      </c>
      <c r="E45" s="14" t="inlineStr">
        <is>
          <t>负荷</t>
        </is>
      </c>
      <c r="F45" s="14" t="inlineStr">
        <is>
          <t>完成</t>
        </is>
      </c>
      <c r="I45" t="inlineStr">
        <is>
          <t>VL</t>
        </is>
      </c>
    </row>
    <row r="46">
      <c r="A46" s="15" t="inlineStr">
        <is>
          <t>训练后</t>
        </is>
      </c>
      <c r="B46" s="15" t="inlineStr">
        <is>
          <t>开始</t>
        </is>
      </c>
      <c r="C46" s="15" t="inlineStr">
        <is>
          <t>结束</t>
        </is>
      </c>
      <c r="D46" s="15" t="inlineStr">
        <is>
          <t>时长min</t>
        </is>
      </c>
      <c r="E46" s="15" t="inlineStr">
        <is>
          <t>sRPE</t>
        </is>
      </c>
      <c r="F46" s="15" t="inlineStr">
        <is>
          <t>load</t>
        </is>
      </c>
      <c r="G46" s="15" t="inlineStr">
        <is>
          <t>不适?</t>
        </is>
      </c>
      <c r="H46" s="15" t="inlineStr">
        <is>
          <t>备注</t>
        </is>
      </c>
      <c r="I46" s="15" t="inlineStr">
        <is>
          <t>签名</t>
        </is>
      </c>
    </row>
    <row r="47">
      <c r="A47" s="7" t="n"/>
      <c r="B47" s="9" t="n"/>
      <c r="C47" s="9" t="n"/>
      <c r="D47" s="11">
        <f>IFERROR((C47-B47)*1440,"")</f>
        <v/>
      </c>
      <c r="E47" s="9" t="n"/>
      <c r="F47" s="11">
        <f>IFERROR(E47*D47,"")</f>
        <v/>
      </c>
      <c r="G47" s="9" t="n"/>
      <c r="H47" s="9" t="n"/>
      <c r="I47" s="9" t="n"/>
    </row>
    <row r="48">
      <c r="A48" s="16" t="inlineStr">
        <is>
          <t>跳跃</t>
        </is>
      </c>
      <c r="B48" s="16" t="inlineStr">
        <is>
          <t>类型</t>
        </is>
      </c>
      <c r="C48" s="16" t="inlineStr">
        <is>
          <t>组×次</t>
        </is>
      </c>
      <c r="D48" s="16" t="inlineStr">
        <is>
          <t>负荷kg</t>
        </is>
      </c>
      <c r="E48" s="16" t="inlineStr">
        <is>
          <t>接触</t>
        </is>
      </c>
    </row>
    <row r="49">
      <c r="B49" t="inlineStr">
        <is>
          <t>SJ</t>
        </is>
      </c>
      <c r="C49" t="inlineStr">
        <is>
          <t>3×3</t>
        </is>
      </c>
      <c r="D49" t="n">
        <v>0</v>
      </c>
      <c r="E49" t="n">
        <v>9</v>
      </c>
    </row>
    <row r="50">
      <c r="B50" t="inlineStr">
        <is>
          <t>负重跳</t>
        </is>
      </c>
      <c r="C50" t="inlineStr">
        <is>
          <t>3×4</t>
        </is>
      </c>
      <c r="D50" s="14" t="n"/>
      <c r="E50" s="14" t="n"/>
    </row>
    <row r="51">
      <c r="A51" s="17" t="inlineStr">
        <is>
          <t>▶ 暴露量汇总</t>
        </is>
      </c>
      <c r="B51" s="17" t="inlineStr">
        <is>
          <t>说明</t>
        </is>
      </c>
      <c r="C51" s="17" t="inlineStr">
        <is>
          <t>公式/来源</t>
        </is>
      </c>
      <c r="D51" s="17" t="inlineStr">
        <is>
          <t>数值</t>
        </is>
      </c>
    </row>
    <row r="52">
      <c r="A52" s="18" t="inlineStr">
        <is>
          <t>① 无负荷跳跃接触</t>
        </is>
      </c>
      <c r="B52" s="18" t="inlineStr">
        <is>
          <t>CMJ+SJ+箱跳</t>
        </is>
      </c>
      <c r="C52" s="19">
        <f>IFERROR(E49+E50,2)</f>
        <v/>
      </c>
    </row>
    <row r="53">
      <c r="A53" s="18" t="inlineStr">
        <is>
          <t>② 负重跳跃接触</t>
        </is>
      </c>
      <c r="B53" s="18" t="inlineStr">
        <is>
          <t>负重深蹲跳</t>
        </is>
      </c>
      <c r="C53" s="19">
        <f>IFERROR(E50,"")</f>
        <v/>
      </c>
    </row>
    <row r="54">
      <c r="A54" s="18" t="inlineStr">
        <is>
          <t>③ 跳跃总计</t>
        </is>
      </c>
      <c r="B54" s="18" t="inlineStr">
        <is>
          <t>①+②</t>
        </is>
      </c>
      <c r="C54" s="19">
        <f>IFERROR(B52+B53,"")</f>
        <v/>
      </c>
    </row>
    <row r="55">
      <c r="A55" s="18" t="inlineStr">
        <is>
          <t>④ 热身VL</t>
        </is>
      </c>
      <c r="B55" s="18" t="inlineStr">
        <is>
          <t>20×5+50%×3(+70%×2)</t>
        </is>
      </c>
      <c r="C55" s="19">
        <f>IFERROR(20*5+ROUND(V35*0.5,0)*3,"-")</f>
        <v/>
      </c>
    </row>
    <row r="56">
      <c r="A56" s="20" t="inlineStr">
        <is>
          <t>⑤ 主项工作组VL ★</t>
        </is>
      </c>
      <c r="B56" s="20" t="inlineStr">
        <is>
          <t>Σ(负荷×次数)</t>
        </is>
      </c>
      <c r="C56" s="21">
        <f>SUMPRODUCT($B$39:$B$44,$R$39:$R$44)</f>
        <v/>
      </c>
    </row>
    <row r="57">
      <c r="A57" s="18" t="inlineStr">
        <is>
          <t>⑥ 主项总VL</t>
        </is>
      </c>
      <c r="B57" s="18" t="inlineStr">
        <is>
          <t>④+⑤</t>
        </is>
      </c>
      <c r="C57" s="19">
        <f>IFERROR(D52+D53,"")</f>
        <v/>
      </c>
    </row>
    <row r="58">
      <c r="A58" s="18" t="inlineStr">
        <is>
          <t>⑦ 辅助VL</t>
        </is>
      </c>
      <c r="B58" s="18" t="inlineStr">
        <is>
          <t>RDL/保加利亚</t>
        </is>
      </c>
      <c r="C58" s="19">
        <f>IFERROR(I45,"")</f>
        <v/>
      </c>
    </row>
    <row r="59">
      <c r="A59" s="18" t="inlineStr">
        <is>
          <t>⑧ 总外部负荷</t>
        </is>
      </c>
      <c r="B59" s="18" t="inlineStr">
        <is>
          <t>⑥+⑦(+负重跳)</t>
        </is>
      </c>
      <c r="C59" s="19">
        <f>IFERROR(F52+G52,"")</f>
        <v/>
      </c>
    </row>
    <row r="60">
      <c r="A60" s="18" t="inlineStr">
        <is>
          <t>⑨ sRPE load</t>
        </is>
      </c>
      <c r="B60" s="18" t="inlineStr">
        <is>
          <t>sRPE×时长</t>
        </is>
      </c>
      <c r="C60" s="19">
        <f>IFERROR(F47,"")</f>
        <v/>
      </c>
    </row>
    <row r="63">
      <c r="A63" s="5" t="inlineStr">
        <is>
          <t>P002 何天元  a=1.487 b=-0.0054 1RM=150</t>
        </is>
      </c>
    </row>
    <row r="64">
      <c r="A64" s="6" t="inlineStr">
        <is>
          <t>编号</t>
        </is>
      </c>
      <c r="B64" s="6" t="inlineStr">
        <is>
          <t>姓名</t>
        </is>
      </c>
      <c r="C64" s="6" t="inlineStr">
        <is>
          <t>身高</t>
        </is>
      </c>
      <c r="D64" s="6" t="inlineStr">
        <is>
          <t>1RM</t>
        </is>
      </c>
      <c r="E64" s="6" t="inlineStr">
        <is>
          <t>Hooper睡</t>
        </is>
      </c>
      <c r="F64" s="6" t="inlineStr">
        <is>
          <t>Hooper压</t>
        </is>
      </c>
      <c r="G64" s="6" t="inlineStr">
        <is>
          <t>Hooper疲</t>
        </is>
      </c>
      <c r="H64" s="6" t="inlineStr">
        <is>
          <t>Hooper酸</t>
        </is>
      </c>
      <c r="I64" s="6" t="inlineStr">
        <is>
          <t>H总</t>
        </is>
      </c>
      <c r="J64" s="6" t="inlineStr">
        <is>
          <t>不适?</t>
        </is>
      </c>
      <c r="K64" s="6" t="inlineStr">
        <is>
          <t>说明</t>
        </is>
      </c>
      <c r="L64" s="6" t="inlineStr">
        <is>
          <t>CMJ1</t>
        </is>
      </c>
      <c r="M64" s="6" t="inlineStr">
        <is>
          <t>CMJ2</t>
        </is>
      </c>
      <c r="N64" s="6" t="inlineStr">
        <is>
          <t>CMJ3</t>
        </is>
      </c>
      <c r="O64" s="6" t="inlineStr">
        <is>
          <t>CMJμ</t>
        </is>
      </c>
      <c r="P64" s="6" t="inlineStr">
        <is>
          <t>&lt;95%</t>
        </is>
      </c>
      <c r="Q64" s="6" t="inlineStr">
        <is>
          <t>减组</t>
        </is>
      </c>
      <c r="R64" s="6" t="inlineStr">
        <is>
          <t>组数</t>
        </is>
      </c>
      <c r="S64" s="6" t="inlineStr">
        <is>
          <t>a(V0)</t>
        </is>
      </c>
      <c r="T64" s="6" t="inlineStr">
        <is>
          <t>b</t>
        </is>
      </c>
      <c r="U64" s="6" t="inlineStr">
        <is>
          <t>等级</t>
        </is>
      </c>
      <c r="V64" s="6" t="inlineStr">
        <is>
          <t>预测起始</t>
        </is>
      </c>
    </row>
    <row r="65">
      <c r="A65" s="7" t="inlineStr">
        <is>
          <t>P002</t>
        </is>
      </c>
      <c r="B65" s="7" t="inlineStr">
        <is>
          <t>何天元</t>
        </is>
      </c>
      <c r="C65" s="7" t="n">
        <v>178</v>
      </c>
      <c r="D65" s="8" t="n">
        <v>150</v>
      </c>
      <c r="E65" s="9" t="n"/>
      <c r="F65" s="9" t="n"/>
      <c r="G65" s="9" t="n"/>
      <c r="H65" s="9" t="n"/>
      <c r="I65" s="7">
        <f>IFERROR(SUM(E65:H65),"")</f>
        <v/>
      </c>
      <c r="J65" s="9" t="n"/>
      <c r="K65" s="9" t="n"/>
      <c r="L65" s="9" t="n"/>
      <c r="M65" s="9" t="n"/>
      <c r="N65" s="9" t="n"/>
      <c r="O65" s="7">
        <f>IFERROR(AVERAGE(L65:N65),"")</f>
        <v/>
      </c>
      <c r="P65" s="7">
        <f>IF(O65="","",IF(O65&lt;60.54,"是⚠","否"))</f>
        <v/>
      </c>
      <c r="Q65" s="7">
        <f>IF(O65="","",IF(O65&lt;60.54,4-1,4))</f>
        <v/>
      </c>
      <c r="R65" s="7" t="n"/>
      <c r="S65" s="8" t="n">
        <v>1.487</v>
      </c>
      <c r="T65" s="8" t="n">
        <v>-0.0054</v>
      </c>
      <c r="U65" s="7" t="inlineStr">
        <is>
          <t>B</t>
        </is>
      </c>
      <c r="V65" s="8" t="n">
        <v>127.5</v>
      </c>
    </row>
    <row r="66">
      <c r="A66" s="10" t="inlineStr">
        <is>
          <t>热身校准</t>
        </is>
      </c>
      <c r="B66" s="10" t="inlineStr">
        <is>
          <t>a</t>
        </is>
      </c>
      <c r="C66" s="10" t="inlineStr">
        <is>
          <t>b</t>
        </is>
      </c>
      <c r="D66" s="10" t="inlineStr">
        <is>
          <t>50%热身</t>
        </is>
      </c>
      <c r="E66" s="10" t="inlineStr">
        <is>
          <t>70%热身</t>
        </is>
      </c>
      <c r="F66" s="10" t="inlineStr">
        <is>
          <t>热身负荷</t>
        </is>
      </c>
      <c r="G66" s="10" t="inlineStr">
        <is>
          <t>实测MCV</t>
        </is>
      </c>
      <c r="H66" s="10" t="inlineStr">
        <is>
          <t>预测MCV</t>
        </is>
      </c>
      <c r="I66" s="10" t="inlineStr">
        <is>
          <t>Δv</t>
        </is>
      </c>
      <c r="J66" s="10" t="inlineStr">
        <is>
          <t>调整量</t>
        </is>
      </c>
      <c r="K66" s="10" t="inlineStr">
        <is>
          <t>校准第1组</t>
        </is>
      </c>
    </row>
    <row r="67">
      <c r="A67" s="7" t="n"/>
      <c r="B67" s="11" t="n">
        <v>1.487</v>
      </c>
      <c r="C67" s="11" t="n">
        <v>-0.0054</v>
      </c>
      <c r="D67" s="11">
        <f>IFERROR(ROUND(V65*0.5/2.5,0)*2.5,"")</f>
        <v/>
      </c>
      <c r="E67" s="11" t="inlineStr"/>
      <c r="F67" s="11">
        <f>IFERROR(ROUND(V65*0.5/2.5,0)*2.5,"")</f>
        <v/>
      </c>
      <c r="G67" s="9" t="n"/>
      <c r="H67" s="11">
        <f>IFERROR(B67+C67*F67,"")</f>
        <v/>
      </c>
      <c r="I67" s="11">
        <f>IFERROR(G67-H67,"")</f>
        <v/>
      </c>
      <c r="J67" s="11">
        <f>IFERROR(IF(I67&gt;0.08,5,IF(I67&gt;0.04,2.5,IF(I67&gt;=-0.04,0,IF(I67&gt;=-0.08,-2.5,-5)))),"")</f>
        <v/>
      </c>
      <c r="K67" s="11">
        <f>IFERROR(ROUND(V65+J67,0),"")</f>
        <v/>
      </c>
    </row>
    <row r="68">
      <c r="A68" s="12" t="inlineStr">
        <is>
          <t>组</t>
        </is>
      </c>
      <c r="B68" s="12" t="inlineStr">
        <is>
          <t>负荷</t>
        </is>
      </c>
      <c r="C68" s="12" t="inlineStr">
        <is>
          <t>rep1</t>
        </is>
      </c>
      <c r="D68" s="12" t="inlineStr">
        <is>
          <t>rep2</t>
        </is>
      </c>
      <c r="E68" s="12" t="inlineStr">
        <is>
          <t>rep3</t>
        </is>
      </c>
      <c r="F68" s="12" t="inlineStr">
        <is>
          <t>rep4</t>
        </is>
      </c>
      <c r="G68" s="12" t="inlineStr">
        <is>
          <t>rep5</t>
        </is>
      </c>
      <c r="H68" s="12" t="inlineStr">
        <is>
          <t>rep6</t>
        </is>
      </c>
      <c r="I68" s="12" t="inlineStr">
        <is>
          <t>best</t>
        </is>
      </c>
      <c r="J68" s="12" t="inlineStr">
        <is>
          <t>best#</t>
        </is>
      </c>
      <c r="K68" s="12" t="inlineStr">
        <is>
          <t>VL%</t>
        </is>
      </c>
      <c r="L68" s="12" t="inlineStr">
        <is>
          <t>stop_th</t>
        </is>
      </c>
      <c r="M68" s="12" t="inlineStr">
        <is>
          <t>latest</t>
        </is>
      </c>
      <c r="N68" s="12" t="inlineStr">
        <is>
          <t>VL_flag</t>
        </is>
      </c>
      <c r="O68" s="12" t="inlineStr">
        <is>
          <t>safety</t>
        </is>
      </c>
      <c r="P68" s="12" t="inlineStr">
        <is>
          <t>原因</t>
        </is>
      </c>
      <c r="Q68" s="12" t="inlineStr">
        <is>
          <t>建议</t>
        </is>
      </c>
      <c r="R68" s="12" t="inlineStr">
        <is>
          <t>次数</t>
        </is>
      </c>
    </row>
    <row r="69">
      <c r="A69" s="7" t="n">
        <v>1</v>
      </c>
      <c r="B69" s="9">
        <f>IFERROR(K67,"")</f>
        <v/>
      </c>
      <c r="C69" s="9" t="n"/>
      <c r="D69" s="9" t="n"/>
      <c r="E69" s="9" t="n"/>
      <c r="F69" s="9" t="n"/>
      <c r="G69" s="9" t="n"/>
      <c r="H69" s="9" t="n"/>
      <c r="I69" s="7">
        <f>IFERROR(MAX(C69:H69),"")</f>
        <v/>
      </c>
      <c r="J69" s="7">
        <f>IFERROR(MATCH(I69,C69:H69,0),"")</f>
        <v/>
      </c>
      <c r="K69" s="7" t="n">
        <v>10</v>
      </c>
      <c r="L69" s="7">
        <f>IFERROR(I69*(1-(K69/100)),"")</f>
        <v/>
      </c>
      <c r="M69" s="7">
        <f>IFERROR(LOOKUP(9.99E+307,C69:H69),"")</f>
        <v/>
      </c>
      <c r="N69" s="7">
        <f>IFERROR(IF(M69="","",IF(M69&lt;=N69,"停组🛑","继续✓")),"")</f>
        <v/>
      </c>
      <c r="O69" s="7">
        <f>IFERROR(IF(M69="","",IF(M69&lt;0.15,"SAFETY_STOP","")),"")</f>
        <v/>
      </c>
      <c r="P69" s="7">
        <f>IFERROR(IF(M69="","",IF(M69&lt;0.15,"SAFETY_STOP",IF(M69&lt;=N69,"VL_THRESHOLD",""))),"")</f>
        <v/>
      </c>
      <c r="Q69" s="7">
        <f>IFERROR(IF(I69="","",IF(I69&gt;(0.8+0.05),"+5kg",IF(I69&gt;(0.8+0.02),"+2.5kg",IF(I69&gt;=(0.8-0.05),"保持",IF(I69&gt;=(0.8-0.08),"-2.5kg","-5kg"))))),"")</f>
        <v/>
      </c>
      <c r="R69" s="9" t="n"/>
    </row>
    <row r="70">
      <c r="A70" s="7" t="n">
        <v>2</v>
      </c>
      <c r="B70" s="9" t="n"/>
      <c r="C70" s="9" t="n"/>
      <c r="D70" s="9" t="n"/>
      <c r="E70" s="9" t="n"/>
      <c r="F70" s="9" t="n"/>
      <c r="G70" s="9" t="n"/>
      <c r="H70" s="9" t="n"/>
      <c r="I70" s="7">
        <f>IFERROR(MAX(C70:H70),"")</f>
        <v/>
      </c>
      <c r="J70" s="7">
        <f>IFERROR(MATCH(I70,C70:H70,0),"")</f>
        <v/>
      </c>
      <c r="K70" s="7" t="n">
        <v>10</v>
      </c>
      <c r="L70" s="7">
        <f>IFERROR(I70*(1-(K70/100)),"")</f>
        <v/>
      </c>
      <c r="M70" s="7">
        <f>IFERROR(LOOKUP(9.99E+307,C70:H70),"")</f>
        <v/>
      </c>
      <c r="N70" s="7">
        <f>IFERROR(IF(M70="","",IF(M70&lt;=N70,"停组🛑","继续✓")),"")</f>
        <v/>
      </c>
      <c r="O70" s="7">
        <f>IFERROR(IF(M70="","",IF(M70&lt;0.15,"SAFETY_STOP","")),"")</f>
        <v/>
      </c>
      <c r="P70" s="7">
        <f>IFERROR(IF(M70="","",IF(M70&lt;0.15,"SAFETY_STOP",IF(M70&lt;=N70,"VL_THRESHOLD",""))),"")</f>
        <v/>
      </c>
      <c r="Q70" s="7">
        <f>IFERROR(IF(I70="","",IF(I70&gt;(0.8+0.05),"+5kg",IF(I70&gt;(0.8+0.02),"+2.5kg",IF(I70&gt;=(0.8-0.05),"保持",IF(I70&gt;=(0.8-0.08),"-2.5kg","-5kg"))))),"")</f>
        <v/>
      </c>
      <c r="R70" s="9" t="n"/>
    </row>
    <row r="71">
      <c r="A71" s="7" t="n">
        <v>3</v>
      </c>
      <c r="B71" s="9" t="n"/>
      <c r="C71" s="9" t="n"/>
      <c r="D71" s="9" t="n"/>
      <c r="E71" s="9" t="n"/>
      <c r="F71" s="9" t="n"/>
      <c r="G71" s="9" t="n"/>
      <c r="H71" s="9" t="n"/>
      <c r="I71" s="7">
        <f>IFERROR(MAX(C71:H71),"")</f>
        <v/>
      </c>
      <c r="J71" s="7">
        <f>IFERROR(MATCH(I71,C71:H71,0),"")</f>
        <v/>
      </c>
      <c r="K71" s="7" t="n">
        <v>10</v>
      </c>
      <c r="L71" s="7">
        <f>IFERROR(I71*(1-(K71/100)),"")</f>
        <v/>
      </c>
      <c r="M71" s="7">
        <f>IFERROR(LOOKUP(9.99E+307,C71:H71),"")</f>
        <v/>
      </c>
      <c r="N71" s="7">
        <f>IFERROR(IF(M71="","",IF(M71&lt;=N71,"停组🛑","继续✓")),"")</f>
        <v/>
      </c>
      <c r="O71" s="7">
        <f>IFERROR(IF(M71="","",IF(M71&lt;0.15,"SAFETY_STOP","")),"")</f>
        <v/>
      </c>
      <c r="P71" s="7">
        <f>IFERROR(IF(M71="","",IF(M71&lt;0.15,"SAFETY_STOP",IF(M71&lt;=N71,"VL_THRESHOLD",""))),"")</f>
        <v/>
      </c>
      <c r="Q71" s="7">
        <f>IFERROR(IF(I71="","",IF(I71&gt;(0.8+0.05),"+5kg",IF(I71&gt;(0.8+0.02),"+2.5kg",IF(I71&gt;=(0.8-0.05),"保持",IF(I71&gt;=(0.8-0.08),"-2.5kg","-5kg"))))),"")</f>
        <v/>
      </c>
      <c r="R71" s="9" t="n"/>
    </row>
    <row r="72">
      <c r="A72" s="7" t="n">
        <v>4</v>
      </c>
      <c r="B72" s="9" t="n"/>
      <c r="C72" s="9" t="n"/>
      <c r="D72" s="9" t="n"/>
      <c r="E72" s="9" t="n"/>
      <c r="F72" s="9" t="n"/>
      <c r="G72" s="9" t="n"/>
      <c r="H72" s="9" t="n"/>
      <c r="I72" s="7">
        <f>IFERROR(MAX(C72:H72),"")</f>
        <v/>
      </c>
      <c r="J72" s="7">
        <f>IFERROR(MATCH(I72,C72:H72,0),"")</f>
        <v/>
      </c>
      <c r="K72" s="7" t="n">
        <v>10</v>
      </c>
      <c r="L72" s="7">
        <f>IFERROR(I72*(1-(K72/100)),"")</f>
        <v/>
      </c>
      <c r="M72" s="7">
        <f>IFERROR(LOOKUP(9.99E+307,C72:H72),"")</f>
        <v/>
      </c>
      <c r="N72" s="7">
        <f>IFERROR(IF(M72="","",IF(M72&lt;=N72,"停组🛑","继续✓")),"")</f>
        <v/>
      </c>
      <c r="O72" s="7">
        <f>IFERROR(IF(M72="","",IF(M72&lt;0.15,"SAFETY_STOP","")),"")</f>
        <v/>
      </c>
      <c r="P72" s="7">
        <f>IFERROR(IF(M72="","",IF(M72&lt;0.15,"SAFETY_STOP",IF(M72&lt;=N72,"VL_THRESHOLD",""))),"")</f>
        <v/>
      </c>
      <c r="Q72" s="7">
        <f>IFERROR(IF(I72="","",IF(I72&gt;(0.8+0.05),"+5kg",IF(I72&gt;(0.8+0.02),"+2.5kg",IF(I72&gt;=(0.8-0.05),"保持",IF(I72&gt;=(0.8-0.08),"-2.5kg","-5kg"))))),"")</f>
        <v/>
      </c>
      <c r="R72" s="9" t="n"/>
    </row>
    <row r="73">
      <c r="A73" s="7" t="n">
        <v>5</v>
      </c>
      <c r="B73" s="9" t="n"/>
      <c r="C73" s="9" t="n"/>
      <c r="D73" s="9" t="n"/>
      <c r="E73" s="9" t="n"/>
      <c r="F73" s="9" t="n"/>
      <c r="G73" s="9" t="n"/>
      <c r="H73" s="9" t="n"/>
      <c r="I73" s="7">
        <f>IFERROR(MAX(C73:H73),"")</f>
        <v/>
      </c>
      <c r="J73" s="7">
        <f>IFERROR(MATCH(I73,C73:H73,0),"")</f>
        <v/>
      </c>
      <c r="K73" s="7" t="n">
        <v>10</v>
      </c>
      <c r="L73" s="7">
        <f>IFERROR(I73*(1-(K73/100)),"")</f>
        <v/>
      </c>
      <c r="M73" s="7">
        <f>IFERROR(LOOKUP(9.99E+307,C73:H73),"")</f>
        <v/>
      </c>
      <c r="N73" s="7">
        <f>IFERROR(IF(M73="","",IF(M73&lt;=N73,"停组🛑","继续✓")),"")</f>
        <v/>
      </c>
      <c r="O73" s="7">
        <f>IFERROR(IF(M73="","",IF(M73&lt;0.15,"SAFETY_STOP","")),"")</f>
        <v/>
      </c>
      <c r="P73" s="7">
        <f>IFERROR(IF(M73="","",IF(M73&lt;0.15,"SAFETY_STOP",IF(M73&lt;=N73,"VL_THRESHOLD",""))),"")</f>
        <v/>
      </c>
      <c r="Q73" s="7">
        <f>IFERROR(IF(I73="","",IF(I73&gt;(0.8+0.05),"+5kg",IF(I73&gt;(0.8+0.02),"+2.5kg",IF(I73&gt;=(0.8-0.05),"保持",IF(I73&gt;=(0.8-0.08),"-2.5kg","-5kg"))))),"")</f>
        <v/>
      </c>
      <c r="R73" s="9" t="n"/>
    </row>
    <row r="74">
      <c r="A74" s="7" t="n">
        <v>6</v>
      </c>
      <c r="B74" s="9" t="n"/>
      <c r="C74" s="9" t="n"/>
      <c r="D74" s="9" t="n"/>
      <c r="E74" s="9" t="n"/>
      <c r="F74" s="9" t="n"/>
      <c r="G74" s="9" t="n"/>
      <c r="H74" s="9" t="n"/>
      <c r="I74" s="7">
        <f>IFERROR(MAX(C74:H74),"")</f>
        <v/>
      </c>
      <c r="J74" s="7">
        <f>IFERROR(MATCH(I74,C74:H74,0),"")</f>
        <v/>
      </c>
      <c r="K74" s="7" t="n">
        <v>10</v>
      </c>
      <c r="L74" s="7">
        <f>IFERROR(I74*(1-(K74/100)),"")</f>
        <v/>
      </c>
      <c r="M74" s="7">
        <f>IFERROR(LOOKUP(9.99E+307,C74:H74),"")</f>
        <v/>
      </c>
      <c r="N74" s="7">
        <f>IFERROR(IF(M74="","",IF(M74&lt;=N74,"停组🛑","继续✓")),"")</f>
        <v/>
      </c>
      <c r="O74" s="7">
        <f>IFERROR(IF(M74="","",IF(M74&lt;0.15,"SAFETY_STOP","")),"")</f>
        <v/>
      </c>
      <c r="P74" s="7">
        <f>IFERROR(IF(M74="","",IF(M74&lt;0.15,"SAFETY_STOP",IF(M74&lt;=N74,"VL_THRESHOLD",""))),"")</f>
        <v/>
      </c>
      <c r="Q74" s="7">
        <f>IFERROR(IF(I74="","",IF(I74&gt;(0.8+0.05),"+5kg",IF(I74&gt;(0.8+0.02),"+2.5kg",IF(I74&gt;=(0.8-0.05),"保持",IF(I74&gt;=(0.8-0.08),"-2.5kg","-5kg"))))),"")</f>
        <v/>
      </c>
      <c r="R74" s="9" t="n"/>
    </row>
    <row r="75">
      <c r="A75" s="13" t="inlineStr">
        <is>
          <t>辅助</t>
        </is>
      </c>
      <c r="D75" s="14" t="inlineStr">
        <is>
          <t>保加利亚单腿蹲</t>
        </is>
      </c>
      <c r="E75" s="14" t="inlineStr">
        <is>
          <t>负荷</t>
        </is>
      </c>
      <c r="F75" s="14" t="inlineStr">
        <is>
          <t>完成</t>
        </is>
      </c>
      <c r="I75" t="inlineStr">
        <is>
          <t>VL</t>
        </is>
      </c>
    </row>
    <row r="76">
      <c r="A76" s="15" t="inlineStr">
        <is>
          <t>训练后</t>
        </is>
      </c>
      <c r="B76" s="15" t="inlineStr">
        <is>
          <t>开始</t>
        </is>
      </c>
      <c r="C76" s="15" t="inlineStr">
        <is>
          <t>结束</t>
        </is>
      </c>
      <c r="D76" s="15" t="inlineStr">
        <is>
          <t>时长min</t>
        </is>
      </c>
      <c r="E76" s="15" t="inlineStr">
        <is>
          <t>sRPE</t>
        </is>
      </c>
      <c r="F76" s="15" t="inlineStr">
        <is>
          <t>load</t>
        </is>
      </c>
      <c r="G76" s="15" t="inlineStr">
        <is>
          <t>不适?</t>
        </is>
      </c>
      <c r="H76" s="15" t="inlineStr">
        <is>
          <t>备注</t>
        </is>
      </c>
      <c r="I76" s="15" t="inlineStr">
        <is>
          <t>签名</t>
        </is>
      </c>
    </row>
    <row r="77">
      <c r="A77" s="7" t="n"/>
      <c r="B77" s="9" t="n"/>
      <c r="C77" s="9" t="n"/>
      <c r="D77" s="11">
        <f>IFERROR((C77-B77)*1440,"")</f>
        <v/>
      </c>
      <c r="E77" s="9" t="n"/>
      <c r="F77" s="11">
        <f>IFERROR(E77*D77,"")</f>
        <v/>
      </c>
      <c r="G77" s="9" t="n"/>
      <c r="H77" s="9" t="n"/>
      <c r="I77" s="9" t="n"/>
    </row>
    <row r="78">
      <c r="A78" s="16" t="inlineStr">
        <is>
          <t>跳跃</t>
        </is>
      </c>
      <c r="B78" s="16" t="inlineStr">
        <is>
          <t>类型</t>
        </is>
      </c>
      <c r="C78" s="16" t="inlineStr">
        <is>
          <t>组×次</t>
        </is>
      </c>
      <c r="D78" s="16" t="inlineStr">
        <is>
          <t>负荷kg</t>
        </is>
      </c>
      <c r="E78" s="16" t="inlineStr">
        <is>
          <t>接触</t>
        </is>
      </c>
    </row>
    <row r="79">
      <c r="B79" t="inlineStr">
        <is>
          <t>SJ</t>
        </is>
      </c>
      <c r="C79" t="inlineStr">
        <is>
          <t>3×3</t>
        </is>
      </c>
      <c r="D79" t="n">
        <v>0</v>
      </c>
      <c r="E79" t="n">
        <v>9</v>
      </c>
    </row>
    <row r="80">
      <c r="B80" t="inlineStr">
        <is>
          <t>负重跳</t>
        </is>
      </c>
      <c r="C80" t="inlineStr">
        <is>
          <t>3×4</t>
        </is>
      </c>
      <c r="D80" s="14" t="n"/>
      <c r="E80" s="14" t="n"/>
    </row>
    <row r="81">
      <c r="A81" s="17" t="inlineStr">
        <is>
          <t>▶ 暴露量汇总</t>
        </is>
      </c>
      <c r="B81" s="17" t="inlineStr">
        <is>
          <t>说明</t>
        </is>
      </c>
      <c r="C81" s="17" t="inlineStr">
        <is>
          <t>公式/来源</t>
        </is>
      </c>
      <c r="D81" s="17" t="inlineStr">
        <is>
          <t>数值</t>
        </is>
      </c>
    </row>
    <row r="82">
      <c r="A82" s="18" t="inlineStr">
        <is>
          <t>① 无负荷跳跃接触</t>
        </is>
      </c>
      <c r="B82" s="18" t="inlineStr">
        <is>
          <t>CMJ+SJ+箱跳</t>
        </is>
      </c>
      <c r="C82" s="19">
        <f>IFERROR(E79+E80,2)</f>
        <v/>
      </c>
    </row>
    <row r="83">
      <c r="A83" s="18" t="inlineStr">
        <is>
          <t>② 负重跳跃接触</t>
        </is>
      </c>
      <c r="B83" s="18" t="inlineStr">
        <is>
          <t>负重深蹲跳</t>
        </is>
      </c>
      <c r="C83" s="19">
        <f>IFERROR(E80,"")</f>
        <v/>
      </c>
    </row>
    <row r="84">
      <c r="A84" s="18" t="inlineStr">
        <is>
          <t>③ 跳跃总计</t>
        </is>
      </c>
      <c r="B84" s="18" t="inlineStr">
        <is>
          <t>①+②</t>
        </is>
      </c>
      <c r="C84" s="19">
        <f>IFERROR(B82+B83,"")</f>
        <v/>
      </c>
    </row>
    <row r="85">
      <c r="A85" s="18" t="inlineStr">
        <is>
          <t>④ 热身VL</t>
        </is>
      </c>
      <c r="B85" s="18" t="inlineStr">
        <is>
          <t>20×5+50%×3(+70%×2)</t>
        </is>
      </c>
      <c r="C85" s="19">
        <f>IFERROR(20*5+ROUND(V65*0.5,0)*3,"-")</f>
        <v/>
      </c>
    </row>
    <row r="86">
      <c r="A86" s="20" t="inlineStr">
        <is>
          <t>⑤ 主项工作组VL ★</t>
        </is>
      </c>
      <c r="B86" s="20" t="inlineStr">
        <is>
          <t>Σ(负荷×次数)</t>
        </is>
      </c>
      <c r="C86" s="21">
        <f>SUMPRODUCT($B$69:$B$74,$R$69:$R$74)</f>
        <v/>
      </c>
    </row>
    <row r="87">
      <c r="A87" s="18" t="inlineStr">
        <is>
          <t>⑥ 主项总VL</t>
        </is>
      </c>
      <c r="B87" s="18" t="inlineStr">
        <is>
          <t>④+⑤</t>
        </is>
      </c>
      <c r="C87" s="19">
        <f>IFERROR(D82+D83,"")</f>
        <v/>
      </c>
    </row>
    <row r="88">
      <c r="A88" s="18" t="inlineStr">
        <is>
          <t>⑦ 辅助VL</t>
        </is>
      </c>
      <c r="B88" s="18" t="inlineStr">
        <is>
          <t>RDL/保加利亚</t>
        </is>
      </c>
      <c r="C88" s="19">
        <f>IFERROR(I75,"")</f>
        <v/>
      </c>
    </row>
    <row r="89">
      <c r="A89" s="18" t="inlineStr">
        <is>
          <t>⑧ 总外部负荷</t>
        </is>
      </c>
      <c r="B89" s="18" t="inlineStr">
        <is>
          <t>⑥+⑦(+负重跳)</t>
        </is>
      </c>
      <c r="C89" s="19">
        <f>IFERROR(F82+G82,"")</f>
        <v/>
      </c>
    </row>
    <row r="90">
      <c r="A90" s="18" t="inlineStr">
        <is>
          <t>⑨ sRPE load</t>
        </is>
      </c>
      <c r="B90" s="18" t="inlineStr">
        <is>
          <t>sRPE×时长</t>
        </is>
      </c>
      <c r="C90" s="19">
        <f>IFERROR(F77,"")</f>
        <v/>
      </c>
    </row>
    <row r="93">
      <c r="A93" s="5" t="inlineStr">
        <is>
          <t>P006 陈镕垚  a=1.694 b=-0.01015 1RM=145</t>
        </is>
      </c>
    </row>
    <row r="94">
      <c r="A94" s="6" t="inlineStr">
        <is>
          <t>编号</t>
        </is>
      </c>
      <c r="B94" s="6" t="inlineStr">
        <is>
          <t>姓名</t>
        </is>
      </c>
      <c r="C94" s="6" t="inlineStr">
        <is>
          <t>身高</t>
        </is>
      </c>
      <c r="D94" s="6" t="inlineStr">
        <is>
          <t>1RM</t>
        </is>
      </c>
      <c r="E94" s="6" t="inlineStr">
        <is>
          <t>Hooper睡</t>
        </is>
      </c>
      <c r="F94" s="6" t="inlineStr">
        <is>
          <t>Hooper压</t>
        </is>
      </c>
      <c r="G94" s="6" t="inlineStr">
        <is>
          <t>Hooper疲</t>
        </is>
      </c>
      <c r="H94" s="6" t="inlineStr">
        <is>
          <t>Hooper酸</t>
        </is>
      </c>
      <c r="I94" s="6" t="inlineStr">
        <is>
          <t>H总</t>
        </is>
      </c>
      <c r="J94" s="6" t="inlineStr">
        <is>
          <t>不适?</t>
        </is>
      </c>
      <c r="K94" s="6" t="inlineStr">
        <is>
          <t>说明</t>
        </is>
      </c>
      <c r="L94" s="6" t="inlineStr">
        <is>
          <t>CMJ1</t>
        </is>
      </c>
      <c r="M94" s="6" t="inlineStr">
        <is>
          <t>CMJ2</t>
        </is>
      </c>
      <c r="N94" s="6" t="inlineStr">
        <is>
          <t>CMJ3</t>
        </is>
      </c>
      <c r="O94" s="6" t="inlineStr">
        <is>
          <t>CMJμ</t>
        </is>
      </c>
      <c r="P94" s="6" t="inlineStr">
        <is>
          <t>&lt;95%</t>
        </is>
      </c>
      <c r="Q94" s="6" t="inlineStr">
        <is>
          <t>减组</t>
        </is>
      </c>
      <c r="R94" s="6" t="inlineStr">
        <is>
          <t>组数</t>
        </is>
      </c>
      <c r="S94" s="6" t="inlineStr">
        <is>
          <t>a(V0)</t>
        </is>
      </c>
      <c r="T94" s="6" t="inlineStr">
        <is>
          <t>b</t>
        </is>
      </c>
      <c r="U94" s="6" t="inlineStr">
        <is>
          <t>等级</t>
        </is>
      </c>
      <c r="V94" s="6" t="inlineStr">
        <is>
          <t>预测起始</t>
        </is>
      </c>
    </row>
    <row r="95">
      <c r="A95" s="7" t="inlineStr">
        <is>
          <t>P006</t>
        </is>
      </c>
      <c r="B95" s="7" t="inlineStr">
        <is>
          <t>陈镕垚</t>
        </is>
      </c>
      <c r="C95" s="7" t="n">
        <v>181</v>
      </c>
      <c r="D95" s="8" t="n">
        <v>145</v>
      </c>
      <c r="E95" s="9" t="n"/>
      <c r="F95" s="9" t="n"/>
      <c r="G95" s="9" t="n"/>
      <c r="H95" s="9" t="n"/>
      <c r="I95" s="7">
        <f>IFERROR(SUM(E95:H95),"")</f>
        <v/>
      </c>
      <c r="J95" s="9" t="n"/>
      <c r="K95" s="9" t="n"/>
      <c r="L95" s="9" t="n"/>
      <c r="M95" s="9" t="n"/>
      <c r="N95" s="9" t="n"/>
      <c r="O95" s="7">
        <f>IFERROR(AVERAGE(L95:N95),"")</f>
        <v/>
      </c>
      <c r="P95" s="7">
        <f>IF(O95="","",IF(O95&lt;59.06,"是⚠","否"))</f>
        <v/>
      </c>
      <c r="Q95" s="7">
        <f>IF(O95="","",IF(O95&lt;59.06,4-1,4))</f>
        <v/>
      </c>
      <c r="R95" s="7" t="n"/>
      <c r="S95" s="8" t="n">
        <v>1.694</v>
      </c>
      <c r="T95" s="8" t="n">
        <v>-0.01015</v>
      </c>
      <c r="U95" s="7" t="inlineStr">
        <is>
          <t>A</t>
        </is>
      </c>
      <c r="V95" s="8" t="n">
        <v>87.5</v>
      </c>
    </row>
    <row r="96">
      <c r="A96" s="10" t="inlineStr">
        <is>
          <t>热身校准</t>
        </is>
      </c>
      <c r="B96" s="10" t="inlineStr">
        <is>
          <t>a</t>
        </is>
      </c>
      <c r="C96" s="10" t="inlineStr">
        <is>
          <t>b</t>
        </is>
      </c>
      <c r="D96" s="10" t="inlineStr">
        <is>
          <t>50%热身</t>
        </is>
      </c>
      <c r="E96" s="10" t="inlineStr">
        <is>
          <t>70%热身</t>
        </is>
      </c>
      <c r="F96" s="10" t="inlineStr">
        <is>
          <t>热身负荷</t>
        </is>
      </c>
      <c r="G96" s="10" t="inlineStr">
        <is>
          <t>实测MCV</t>
        </is>
      </c>
      <c r="H96" s="10" t="inlineStr">
        <is>
          <t>预测MCV</t>
        </is>
      </c>
      <c r="I96" s="10" t="inlineStr">
        <is>
          <t>Δv</t>
        </is>
      </c>
      <c r="J96" s="10" t="inlineStr">
        <is>
          <t>调整量</t>
        </is>
      </c>
      <c r="K96" s="10" t="inlineStr">
        <is>
          <t>校准第1组</t>
        </is>
      </c>
    </row>
    <row r="97">
      <c r="A97" s="7" t="n"/>
      <c r="B97" s="11" t="n">
        <v>1.694</v>
      </c>
      <c r="C97" s="11" t="n">
        <v>-0.01015</v>
      </c>
      <c r="D97" s="11">
        <f>IFERROR(ROUND(V95*0.5/2.5,0)*2.5,"")</f>
        <v/>
      </c>
      <c r="E97" s="11" t="inlineStr"/>
      <c r="F97" s="11">
        <f>IFERROR(ROUND(V95*0.5/2.5,0)*2.5,"")</f>
        <v/>
      </c>
      <c r="G97" s="9" t="n"/>
      <c r="H97" s="11">
        <f>IFERROR(B97+C97*F97,"")</f>
        <v/>
      </c>
      <c r="I97" s="11">
        <f>IFERROR(G97-H97,"")</f>
        <v/>
      </c>
      <c r="J97" s="11">
        <f>IFERROR(IF(I97&gt;0.08,5,IF(I97&gt;0.04,2.5,IF(I97&gt;=-0.04,0,IF(I97&gt;=-0.08,-2.5,-5)))),"")</f>
        <v/>
      </c>
      <c r="K97" s="11">
        <f>IFERROR(ROUND(V95+J97,0),"")</f>
        <v/>
      </c>
    </row>
    <row r="98">
      <c r="A98" s="12" t="inlineStr">
        <is>
          <t>组</t>
        </is>
      </c>
      <c r="B98" s="12" t="inlineStr">
        <is>
          <t>负荷</t>
        </is>
      </c>
      <c r="C98" s="12" t="inlineStr">
        <is>
          <t>rep1</t>
        </is>
      </c>
      <c r="D98" s="12" t="inlineStr">
        <is>
          <t>rep2</t>
        </is>
      </c>
      <c r="E98" s="12" t="inlineStr">
        <is>
          <t>rep3</t>
        </is>
      </c>
      <c r="F98" s="12" t="inlineStr">
        <is>
          <t>rep4</t>
        </is>
      </c>
      <c r="G98" s="12" t="inlineStr">
        <is>
          <t>rep5</t>
        </is>
      </c>
      <c r="H98" s="12" t="inlineStr">
        <is>
          <t>rep6</t>
        </is>
      </c>
      <c r="I98" s="12" t="inlineStr">
        <is>
          <t>best</t>
        </is>
      </c>
      <c r="J98" s="12" t="inlineStr">
        <is>
          <t>best#</t>
        </is>
      </c>
      <c r="K98" s="12" t="inlineStr">
        <is>
          <t>VL%</t>
        </is>
      </c>
      <c r="L98" s="12" t="inlineStr">
        <is>
          <t>stop_th</t>
        </is>
      </c>
      <c r="M98" s="12" t="inlineStr">
        <is>
          <t>latest</t>
        </is>
      </c>
      <c r="N98" s="12" t="inlineStr">
        <is>
          <t>VL_flag</t>
        </is>
      </c>
      <c r="O98" s="12" t="inlineStr">
        <is>
          <t>safety</t>
        </is>
      </c>
      <c r="P98" s="12" t="inlineStr">
        <is>
          <t>原因</t>
        </is>
      </c>
      <c r="Q98" s="12" t="inlineStr">
        <is>
          <t>建议</t>
        </is>
      </c>
      <c r="R98" s="12" t="inlineStr">
        <is>
          <t>次数</t>
        </is>
      </c>
    </row>
    <row r="99">
      <c r="A99" s="7" t="n">
        <v>1</v>
      </c>
      <c r="B99" s="9">
        <f>IFERROR(K97,"")</f>
        <v/>
      </c>
      <c r="C99" s="9" t="n"/>
      <c r="D99" s="9" t="n"/>
      <c r="E99" s="9" t="n"/>
      <c r="F99" s="9" t="n"/>
      <c r="G99" s="9" t="n"/>
      <c r="H99" s="9" t="n"/>
      <c r="I99" s="7">
        <f>IFERROR(MAX(C99:H99),"")</f>
        <v/>
      </c>
      <c r="J99" s="7">
        <f>IFERROR(MATCH(I99,C99:H99,0),"")</f>
        <v/>
      </c>
      <c r="K99" s="7" t="n">
        <v>10</v>
      </c>
      <c r="L99" s="7">
        <f>IFERROR(I99*(1-(K99/100)),"")</f>
        <v/>
      </c>
      <c r="M99" s="7">
        <f>IFERROR(LOOKUP(9.99E+307,C99:H99),"")</f>
        <v/>
      </c>
      <c r="N99" s="7">
        <f>IFERROR(IF(M99="","",IF(M99&lt;=N99,"停组🛑","继续✓")),"")</f>
        <v/>
      </c>
      <c r="O99" s="7">
        <f>IFERROR(IF(M99="","",IF(M99&lt;0.15,"SAFETY_STOP","")),"")</f>
        <v/>
      </c>
      <c r="P99" s="7">
        <f>IFERROR(IF(M99="","",IF(M99&lt;0.15,"SAFETY_STOP",IF(M99&lt;=N99,"VL_THRESHOLD",""))),"")</f>
        <v/>
      </c>
      <c r="Q99" s="7">
        <f>IFERROR(IF(I99="","",IF(I99&gt;(0.8+0.05),"+5kg",IF(I99&gt;(0.8+0.02),"+2.5kg",IF(I99&gt;=(0.8-0.05),"保持",IF(I99&gt;=(0.8-0.08),"-2.5kg","-5kg"))))),"")</f>
        <v/>
      </c>
      <c r="R99" s="9" t="n"/>
    </row>
    <row r="100">
      <c r="A100" s="7" t="n">
        <v>2</v>
      </c>
      <c r="B100" s="9" t="n"/>
      <c r="C100" s="9" t="n"/>
      <c r="D100" s="9" t="n"/>
      <c r="E100" s="9" t="n"/>
      <c r="F100" s="9" t="n"/>
      <c r="G100" s="9" t="n"/>
      <c r="H100" s="9" t="n"/>
      <c r="I100" s="7">
        <f>IFERROR(MAX(C100:H100),"")</f>
        <v/>
      </c>
      <c r="J100" s="7">
        <f>IFERROR(MATCH(I100,C100:H100,0),"")</f>
        <v/>
      </c>
      <c r="K100" s="7" t="n">
        <v>10</v>
      </c>
      <c r="L100" s="7">
        <f>IFERROR(I100*(1-(K100/100)),"")</f>
        <v/>
      </c>
      <c r="M100" s="7">
        <f>IFERROR(LOOKUP(9.99E+307,C100:H100),"")</f>
        <v/>
      </c>
      <c r="N100" s="7">
        <f>IFERROR(IF(M100="","",IF(M100&lt;=N100,"停组🛑","继续✓")),"")</f>
        <v/>
      </c>
      <c r="O100" s="7">
        <f>IFERROR(IF(M100="","",IF(M100&lt;0.15,"SAFETY_STOP","")),"")</f>
        <v/>
      </c>
      <c r="P100" s="7">
        <f>IFERROR(IF(M100="","",IF(M100&lt;0.15,"SAFETY_STOP",IF(M100&lt;=N100,"VL_THRESHOLD",""))),"")</f>
        <v/>
      </c>
      <c r="Q100" s="7">
        <f>IFERROR(IF(I100="","",IF(I100&gt;(0.8+0.05),"+5kg",IF(I100&gt;(0.8+0.02),"+2.5kg",IF(I100&gt;=(0.8-0.05),"保持",IF(I100&gt;=(0.8-0.08),"-2.5kg","-5kg"))))),"")</f>
        <v/>
      </c>
      <c r="R100" s="9" t="n"/>
    </row>
    <row r="101">
      <c r="A101" s="7" t="n">
        <v>3</v>
      </c>
      <c r="B101" s="9" t="n"/>
      <c r="C101" s="9" t="n"/>
      <c r="D101" s="9" t="n"/>
      <c r="E101" s="9" t="n"/>
      <c r="F101" s="9" t="n"/>
      <c r="G101" s="9" t="n"/>
      <c r="H101" s="9" t="n"/>
      <c r="I101" s="7">
        <f>IFERROR(MAX(C101:H101),"")</f>
        <v/>
      </c>
      <c r="J101" s="7">
        <f>IFERROR(MATCH(I101,C101:H101,0),"")</f>
        <v/>
      </c>
      <c r="K101" s="7" t="n">
        <v>10</v>
      </c>
      <c r="L101" s="7">
        <f>IFERROR(I101*(1-(K101/100)),"")</f>
        <v/>
      </c>
      <c r="M101" s="7">
        <f>IFERROR(LOOKUP(9.99E+307,C101:H101),"")</f>
        <v/>
      </c>
      <c r="N101" s="7">
        <f>IFERROR(IF(M101="","",IF(M101&lt;=N101,"停组🛑","继续✓")),"")</f>
        <v/>
      </c>
      <c r="O101" s="7">
        <f>IFERROR(IF(M101="","",IF(M101&lt;0.15,"SAFETY_STOP","")),"")</f>
        <v/>
      </c>
      <c r="P101" s="7">
        <f>IFERROR(IF(M101="","",IF(M101&lt;0.15,"SAFETY_STOP",IF(M101&lt;=N101,"VL_THRESHOLD",""))),"")</f>
        <v/>
      </c>
      <c r="Q101" s="7">
        <f>IFERROR(IF(I101="","",IF(I101&gt;(0.8+0.05),"+5kg",IF(I101&gt;(0.8+0.02),"+2.5kg",IF(I101&gt;=(0.8-0.05),"保持",IF(I101&gt;=(0.8-0.08),"-2.5kg","-5kg"))))),"")</f>
        <v/>
      </c>
      <c r="R101" s="9" t="n"/>
    </row>
    <row r="102">
      <c r="A102" s="7" t="n">
        <v>4</v>
      </c>
      <c r="B102" s="9" t="n"/>
      <c r="C102" s="9" t="n"/>
      <c r="D102" s="9" t="n"/>
      <c r="E102" s="9" t="n"/>
      <c r="F102" s="9" t="n"/>
      <c r="G102" s="9" t="n"/>
      <c r="H102" s="9" t="n"/>
      <c r="I102" s="7">
        <f>IFERROR(MAX(C102:H102),"")</f>
        <v/>
      </c>
      <c r="J102" s="7">
        <f>IFERROR(MATCH(I102,C102:H102,0),"")</f>
        <v/>
      </c>
      <c r="K102" s="7" t="n">
        <v>10</v>
      </c>
      <c r="L102" s="7">
        <f>IFERROR(I102*(1-(K102/100)),"")</f>
        <v/>
      </c>
      <c r="M102" s="7">
        <f>IFERROR(LOOKUP(9.99E+307,C102:H102),"")</f>
        <v/>
      </c>
      <c r="N102" s="7">
        <f>IFERROR(IF(M102="","",IF(M102&lt;=N102,"停组🛑","继续✓")),"")</f>
        <v/>
      </c>
      <c r="O102" s="7">
        <f>IFERROR(IF(M102="","",IF(M102&lt;0.15,"SAFETY_STOP","")),"")</f>
        <v/>
      </c>
      <c r="P102" s="7">
        <f>IFERROR(IF(M102="","",IF(M102&lt;0.15,"SAFETY_STOP",IF(M102&lt;=N102,"VL_THRESHOLD",""))),"")</f>
        <v/>
      </c>
      <c r="Q102" s="7">
        <f>IFERROR(IF(I102="","",IF(I102&gt;(0.8+0.05),"+5kg",IF(I102&gt;(0.8+0.02),"+2.5kg",IF(I102&gt;=(0.8-0.05),"保持",IF(I102&gt;=(0.8-0.08),"-2.5kg","-5kg"))))),"")</f>
        <v/>
      </c>
      <c r="R102" s="9" t="n"/>
    </row>
    <row r="103">
      <c r="A103" s="7" t="n">
        <v>5</v>
      </c>
      <c r="B103" s="9" t="n"/>
      <c r="C103" s="9" t="n"/>
      <c r="D103" s="9" t="n"/>
      <c r="E103" s="9" t="n"/>
      <c r="F103" s="9" t="n"/>
      <c r="G103" s="9" t="n"/>
      <c r="H103" s="9" t="n"/>
      <c r="I103" s="7">
        <f>IFERROR(MAX(C103:H103),"")</f>
        <v/>
      </c>
      <c r="J103" s="7">
        <f>IFERROR(MATCH(I103,C103:H103,0),"")</f>
        <v/>
      </c>
      <c r="K103" s="7" t="n">
        <v>10</v>
      </c>
      <c r="L103" s="7">
        <f>IFERROR(I103*(1-(K103/100)),"")</f>
        <v/>
      </c>
      <c r="M103" s="7">
        <f>IFERROR(LOOKUP(9.99E+307,C103:H103),"")</f>
        <v/>
      </c>
      <c r="N103" s="7">
        <f>IFERROR(IF(M103="","",IF(M103&lt;=N103,"停组🛑","继续✓")),"")</f>
        <v/>
      </c>
      <c r="O103" s="7">
        <f>IFERROR(IF(M103="","",IF(M103&lt;0.15,"SAFETY_STOP","")),"")</f>
        <v/>
      </c>
      <c r="P103" s="7">
        <f>IFERROR(IF(M103="","",IF(M103&lt;0.15,"SAFETY_STOP",IF(M103&lt;=N103,"VL_THRESHOLD",""))),"")</f>
        <v/>
      </c>
      <c r="Q103" s="7">
        <f>IFERROR(IF(I103="","",IF(I103&gt;(0.8+0.05),"+5kg",IF(I103&gt;(0.8+0.02),"+2.5kg",IF(I103&gt;=(0.8-0.05),"保持",IF(I103&gt;=(0.8-0.08),"-2.5kg","-5kg"))))),"")</f>
        <v/>
      </c>
      <c r="R103" s="9" t="n"/>
    </row>
    <row r="104">
      <c r="A104" s="7" t="n">
        <v>6</v>
      </c>
      <c r="B104" s="9" t="n"/>
      <c r="C104" s="9" t="n"/>
      <c r="D104" s="9" t="n"/>
      <c r="E104" s="9" t="n"/>
      <c r="F104" s="9" t="n"/>
      <c r="G104" s="9" t="n"/>
      <c r="H104" s="9" t="n"/>
      <c r="I104" s="7">
        <f>IFERROR(MAX(C104:H104),"")</f>
        <v/>
      </c>
      <c r="J104" s="7">
        <f>IFERROR(MATCH(I104,C104:H104,0),"")</f>
        <v/>
      </c>
      <c r="K104" s="7" t="n">
        <v>10</v>
      </c>
      <c r="L104" s="7">
        <f>IFERROR(I104*(1-(K104/100)),"")</f>
        <v/>
      </c>
      <c r="M104" s="7">
        <f>IFERROR(LOOKUP(9.99E+307,C104:H104),"")</f>
        <v/>
      </c>
      <c r="N104" s="7">
        <f>IFERROR(IF(M104="","",IF(M104&lt;=N104,"停组🛑","继续✓")),"")</f>
        <v/>
      </c>
      <c r="O104" s="7">
        <f>IFERROR(IF(M104="","",IF(M104&lt;0.15,"SAFETY_STOP","")),"")</f>
        <v/>
      </c>
      <c r="P104" s="7">
        <f>IFERROR(IF(M104="","",IF(M104&lt;0.15,"SAFETY_STOP",IF(M104&lt;=N104,"VL_THRESHOLD",""))),"")</f>
        <v/>
      </c>
      <c r="Q104" s="7">
        <f>IFERROR(IF(I104="","",IF(I104&gt;(0.8+0.05),"+5kg",IF(I104&gt;(0.8+0.02),"+2.5kg",IF(I104&gt;=(0.8-0.05),"保持",IF(I104&gt;=(0.8-0.08),"-2.5kg","-5kg"))))),"")</f>
        <v/>
      </c>
      <c r="R104" s="9" t="n"/>
    </row>
    <row r="105">
      <c r="A105" s="13" t="inlineStr">
        <is>
          <t>辅助</t>
        </is>
      </c>
      <c r="D105" s="14" t="inlineStr">
        <is>
          <t>保加利亚单腿蹲</t>
        </is>
      </c>
      <c r="E105" s="14" t="inlineStr">
        <is>
          <t>负荷</t>
        </is>
      </c>
      <c r="F105" s="14" t="inlineStr">
        <is>
          <t>完成</t>
        </is>
      </c>
      <c r="I105" t="inlineStr">
        <is>
          <t>VL</t>
        </is>
      </c>
    </row>
    <row r="106">
      <c r="A106" s="15" t="inlineStr">
        <is>
          <t>训练后</t>
        </is>
      </c>
      <c r="B106" s="15" t="inlineStr">
        <is>
          <t>开始</t>
        </is>
      </c>
      <c r="C106" s="15" t="inlineStr">
        <is>
          <t>结束</t>
        </is>
      </c>
      <c r="D106" s="15" t="inlineStr">
        <is>
          <t>时长min</t>
        </is>
      </c>
      <c r="E106" s="15" t="inlineStr">
        <is>
          <t>sRPE</t>
        </is>
      </c>
      <c r="F106" s="15" t="inlineStr">
        <is>
          <t>load</t>
        </is>
      </c>
      <c r="G106" s="15" t="inlineStr">
        <is>
          <t>不适?</t>
        </is>
      </c>
      <c r="H106" s="15" t="inlineStr">
        <is>
          <t>备注</t>
        </is>
      </c>
      <c r="I106" s="15" t="inlineStr">
        <is>
          <t>签名</t>
        </is>
      </c>
    </row>
    <row r="107">
      <c r="A107" s="7" t="n"/>
      <c r="B107" s="9" t="n"/>
      <c r="C107" s="9" t="n"/>
      <c r="D107" s="11">
        <f>IFERROR((C107-B107)*1440,"")</f>
        <v/>
      </c>
      <c r="E107" s="9" t="n"/>
      <c r="F107" s="11">
        <f>IFERROR(E107*D107,"")</f>
        <v/>
      </c>
      <c r="G107" s="9" t="n"/>
      <c r="H107" s="9" t="n"/>
      <c r="I107" s="9" t="n"/>
    </row>
    <row r="108">
      <c r="A108" s="16" t="inlineStr">
        <is>
          <t>跳跃</t>
        </is>
      </c>
      <c r="B108" s="16" t="inlineStr">
        <is>
          <t>类型</t>
        </is>
      </c>
      <c r="C108" s="16" t="inlineStr">
        <is>
          <t>组×次</t>
        </is>
      </c>
      <c r="D108" s="16" t="inlineStr">
        <is>
          <t>负荷kg</t>
        </is>
      </c>
      <c r="E108" s="16" t="inlineStr">
        <is>
          <t>接触</t>
        </is>
      </c>
    </row>
    <row r="109">
      <c r="B109" t="inlineStr">
        <is>
          <t>SJ</t>
        </is>
      </c>
      <c r="C109" t="inlineStr">
        <is>
          <t>3×3</t>
        </is>
      </c>
      <c r="D109" t="n">
        <v>0</v>
      </c>
      <c r="E109" t="n">
        <v>9</v>
      </c>
    </row>
    <row r="110">
      <c r="B110" t="inlineStr">
        <is>
          <t>负重跳</t>
        </is>
      </c>
      <c r="C110" t="inlineStr">
        <is>
          <t>3×4</t>
        </is>
      </c>
      <c r="D110" s="14" t="n"/>
      <c r="E110" s="14" t="n"/>
    </row>
    <row r="111">
      <c r="A111" s="17" t="inlineStr">
        <is>
          <t>▶ 暴露量汇总</t>
        </is>
      </c>
      <c r="B111" s="17" t="inlineStr">
        <is>
          <t>说明</t>
        </is>
      </c>
      <c r="C111" s="17" t="inlineStr">
        <is>
          <t>公式/来源</t>
        </is>
      </c>
      <c r="D111" s="17" t="inlineStr">
        <is>
          <t>数值</t>
        </is>
      </c>
    </row>
    <row r="112">
      <c r="A112" s="18" t="inlineStr">
        <is>
          <t>① 无负荷跳跃接触</t>
        </is>
      </c>
      <c r="B112" s="18" t="inlineStr">
        <is>
          <t>CMJ+SJ+箱跳</t>
        </is>
      </c>
      <c r="C112" s="19">
        <f>IFERROR(E109+E110,2)</f>
        <v/>
      </c>
    </row>
    <row r="113">
      <c r="A113" s="18" t="inlineStr">
        <is>
          <t>② 负重跳跃接触</t>
        </is>
      </c>
      <c r="B113" s="18" t="inlineStr">
        <is>
          <t>负重深蹲跳</t>
        </is>
      </c>
      <c r="C113" s="19">
        <f>IFERROR(E110,"")</f>
        <v/>
      </c>
    </row>
    <row r="114">
      <c r="A114" s="18" t="inlineStr">
        <is>
          <t>③ 跳跃总计</t>
        </is>
      </c>
      <c r="B114" s="18" t="inlineStr">
        <is>
          <t>①+②</t>
        </is>
      </c>
      <c r="C114" s="19">
        <f>IFERROR(B112+B113,"")</f>
        <v/>
      </c>
    </row>
    <row r="115">
      <c r="A115" s="18" t="inlineStr">
        <is>
          <t>④ 热身VL</t>
        </is>
      </c>
      <c r="B115" s="18" t="inlineStr">
        <is>
          <t>20×5+50%×3(+70%×2)</t>
        </is>
      </c>
      <c r="C115" s="19">
        <f>IFERROR(20*5+ROUND(V95*0.5,0)*3,"-")</f>
        <v/>
      </c>
    </row>
    <row r="116">
      <c r="A116" s="20" t="inlineStr">
        <is>
          <t>⑤ 主项工作组VL ★</t>
        </is>
      </c>
      <c r="B116" s="20" t="inlineStr">
        <is>
          <t>Σ(负荷×次数)</t>
        </is>
      </c>
      <c r="C116" s="21">
        <f>SUMPRODUCT($B$99:$B$104,$R$99:$R$104)</f>
        <v/>
      </c>
    </row>
    <row r="117">
      <c r="A117" s="18" t="inlineStr">
        <is>
          <t>⑥ 主项总VL</t>
        </is>
      </c>
      <c r="B117" s="18" t="inlineStr">
        <is>
          <t>④+⑤</t>
        </is>
      </c>
      <c r="C117" s="19">
        <f>IFERROR(D112+D113,"")</f>
        <v/>
      </c>
    </row>
    <row r="118">
      <c r="A118" s="18" t="inlineStr">
        <is>
          <t>⑦ 辅助VL</t>
        </is>
      </c>
      <c r="B118" s="18" t="inlineStr">
        <is>
          <t>RDL/保加利亚</t>
        </is>
      </c>
      <c r="C118" s="19">
        <f>IFERROR(I105,"")</f>
        <v/>
      </c>
    </row>
    <row r="119">
      <c r="A119" s="18" t="inlineStr">
        <is>
          <t>⑧ 总外部负荷</t>
        </is>
      </c>
      <c r="B119" s="18" t="inlineStr">
        <is>
          <t>⑥+⑦(+负重跳)</t>
        </is>
      </c>
      <c r="C119" s="19">
        <f>IFERROR(F112+G112,"")</f>
        <v/>
      </c>
    </row>
    <row r="120">
      <c r="A120" s="18" t="inlineStr">
        <is>
          <t>⑨ sRPE load</t>
        </is>
      </c>
      <c r="B120" s="18" t="inlineStr">
        <is>
          <t>sRPE×时长</t>
        </is>
      </c>
      <c r="C120" s="19">
        <f>IFERROR(F107,"")</f>
        <v/>
      </c>
    </row>
    <row r="123">
      <c r="A123" s="5" t="inlineStr">
        <is>
          <t>P015 陈先栋  a=1.77 b=-0.01025 1RM=135</t>
        </is>
      </c>
    </row>
    <row r="124">
      <c r="A124" s="6" t="inlineStr">
        <is>
          <t>编号</t>
        </is>
      </c>
      <c r="B124" s="6" t="inlineStr">
        <is>
          <t>姓名</t>
        </is>
      </c>
      <c r="C124" s="6" t="inlineStr">
        <is>
          <t>身高</t>
        </is>
      </c>
      <c r="D124" s="6" t="inlineStr">
        <is>
          <t>1RM</t>
        </is>
      </c>
      <c r="E124" s="6" t="inlineStr">
        <is>
          <t>Hooper睡</t>
        </is>
      </c>
      <c r="F124" s="6" t="inlineStr">
        <is>
          <t>Hooper压</t>
        </is>
      </c>
      <c r="G124" s="6" t="inlineStr">
        <is>
          <t>Hooper疲</t>
        </is>
      </c>
      <c r="H124" s="6" t="inlineStr">
        <is>
          <t>Hooper酸</t>
        </is>
      </c>
      <c r="I124" s="6" t="inlineStr">
        <is>
          <t>H总</t>
        </is>
      </c>
      <c r="J124" s="6" t="inlineStr">
        <is>
          <t>不适?</t>
        </is>
      </c>
      <c r="K124" s="6" t="inlineStr">
        <is>
          <t>说明</t>
        </is>
      </c>
      <c r="L124" s="6" t="inlineStr">
        <is>
          <t>CMJ1</t>
        </is>
      </c>
      <c r="M124" s="6" t="inlineStr">
        <is>
          <t>CMJ2</t>
        </is>
      </c>
      <c r="N124" s="6" t="inlineStr">
        <is>
          <t>CMJ3</t>
        </is>
      </c>
      <c r="O124" s="6" t="inlineStr">
        <is>
          <t>CMJμ</t>
        </is>
      </c>
      <c r="P124" s="6" t="inlineStr">
        <is>
          <t>&lt;95%</t>
        </is>
      </c>
      <c r="Q124" s="6" t="inlineStr">
        <is>
          <t>减组</t>
        </is>
      </c>
      <c r="R124" s="6" t="inlineStr">
        <is>
          <t>组数</t>
        </is>
      </c>
      <c r="S124" s="6" t="inlineStr">
        <is>
          <t>a(V0)</t>
        </is>
      </c>
      <c r="T124" s="6" t="inlineStr">
        <is>
          <t>b</t>
        </is>
      </c>
      <c r="U124" s="6" t="inlineStr">
        <is>
          <t>等级</t>
        </is>
      </c>
      <c r="V124" s="6" t="inlineStr">
        <is>
          <t>预测起始</t>
        </is>
      </c>
    </row>
    <row r="125">
      <c r="A125" s="7" t="inlineStr">
        <is>
          <t>P015</t>
        </is>
      </c>
      <c r="B125" s="7" t="inlineStr">
        <is>
          <t>陈先栋</t>
        </is>
      </c>
      <c r="C125" s="7" t="n">
        <v>175</v>
      </c>
      <c r="D125" s="8" t="n">
        <v>135</v>
      </c>
      <c r="E125" s="9" t="n"/>
      <c r="F125" s="9" t="n"/>
      <c r="G125" s="9" t="n"/>
      <c r="H125" s="9" t="n"/>
      <c r="I125" s="7">
        <f>IFERROR(SUM(E125:H125),"")</f>
        <v/>
      </c>
      <c r="J125" s="9" t="n"/>
      <c r="K125" s="9" t="n"/>
      <c r="L125" s="9" t="n"/>
      <c r="M125" s="9" t="n"/>
      <c r="N125" s="9" t="n"/>
      <c r="O125" s="7">
        <f>IFERROR(AVERAGE(L125:N125),"")</f>
        <v/>
      </c>
      <c r="P125" s="7">
        <f>IF(O125="","",IF(O125&lt;54.25,"是⚠","否"))</f>
        <v/>
      </c>
      <c r="Q125" s="7">
        <f>IF(O125="","",IF(O125&lt;54.25,4-1,4))</f>
        <v/>
      </c>
      <c r="R125" s="7" t="n"/>
      <c r="S125" s="8" t="n">
        <v>1.77</v>
      </c>
      <c r="T125" s="8" t="n">
        <v>-0.01025</v>
      </c>
      <c r="U125" s="7" t="inlineStr">
        <is>
          <t>C</t>
        </is>
      </c>
      <c r="V125" s="8" t="n">
        <v>95</v>
      </c>
    </row>
    <row r="126">
      <c r="A126" s="10" t="inlineStr">
        <is>
          <t>热身校准</t>
        </is>
      </c>
      <c r="B126" s="10" t="inlineStr">
        <is>
          <t>a</t>
        </is>
      </c>
      <c r="C126" s="10" t="inlineStr">
        <is>
          <t>b</t>
        </is>
      </c>
      <c r="D126" s="10" t="inlineStr">
        <is>
          <t>50%热身</t>
        </is>
      </c>
      <c r="E126" s="10" t="inlineStr">
        <is>
          <t>70%热身</t>
        </is>
      </c>
      <c r="F126" s="10" t="inlineStr">
        <is>
          <t>热身负荷</t>
        </is>
      </c>
      <c r="G126" s="10" t="inlineStr">
        <is>
          <t>实测MCV</t>
        </is>
      </c>
      <c r="H126" s="10" t="inlineStr">
        <is>
          <t>预测MCV</t>
        </is>
      </c>
      <c r="I126" s="10" t="inlineStr">
        <is>
          <t>Δv</t>
        </is>
      </c>
      <c r="J126" s="10" t="inlineStr">
        <is>
          <t>调整量</t>
        </is>
      </c>
      <c r="K126" s="10" t="inlineStr">
        <is>
          <t>校准第1组</t>
        </is>
      </c>
    </row>
    <row r="127">
      <c r="A127" s="7" t="n"/>
      <c r="B127" s="11" t="n">
        <v>1.77</v>
      </c>
      <c r="C127" s="11" t="n">
        <v>-0.01025</v>
      </c>
      <c r="D127" s="11">
        <f>IFERROR(ROUND(V125*0.5/2.5,0)*2.5,"")</f>
        <v/>
      </c>
      <c r="E127" s="11" t="inlineStr"/>
      <c r="F127" s="11">
        <f>IFERROR(ROUND(V125*0.5/2.5,0)*2.5,"")</f>
        <v/>
      </c>
      <c r="G127" s="9" t="n"/>
      <c r="H127" s="11">
        <f>IFERROR(B127+C127*F127,"")</f>
        <v/>
      </c>
      <c r="I127" s="11">
        <f>IFERROR(G127-H127,"")</f>
        <v/>
      </c>
      <c r="J127" s="11">
        <f>IFERROR(IF(I127&gt;0.08,5,IF(I127&gt;0.04,2.5,IF(I127&gt;=-0.04,0,IF(I127&gt;=-0.08,-2.5,-5)))),"")</f>
        <v/>
      </c>
      <c r="K127" s="11">
        <f>IFERROR(ROUND(V125+J127,0),"")</f>
        <v/>
      </c>
    </row>
    <row r="128">
      <c r="A128" s="12" t="inlineStr">
        <is>
          <t>组</t>
        </is>
      </c>
      <c r="B128" s="12" t="inlineStr">
        <is>
          <t>负荷</t>
        </is>
      </c>
      <c r="C128" s="12" t="inlineStr">
        <is>
          <t>rep1</t>
        </is>
      </c>
      <c r="D128" s="12" t="inlineStr">
        <is>
          <t>rep2</t>
        </is>
      </c>
      <c r="E128" s="12" t="inlineStr">
        <is>
          <t>rep3</t>
        </is>
      </c>
      <c r="F128" s="12" t="inlineStr">
        <is>
          <t>rep4</t>
        </is>
      </c>
      <c r="G128" s="12" t="inlineStr">
        <is>
          <t>rep5</t>
        </is>
      </c>
      <c r="H128" s="12" t="inlineStr">
        <is>
          <t>rep6</t>
        </is>
      </c>
      <c r="I128" s="12" t="inlineStr">
        <is>
          <t>best</t>
        </is>
      </c>
      <c r="J128" s="12" t="inlineStr">
        <is>
          <t>best#</t>
        </is>
      </c>
      <c r="K128" s="12" t="inlineStr">
        <is>
          <t>VL%</t>
        </is>
      </c>
      <c r="L128" s="12" t="inlineStr">
        <is>
          <t>stop_th</t>
        </is>
      </c>
      <c r="M128" s="12" t="inlineStr">
        <is>
          <t>latest</t>
        </is>
      </c>
      <c r="N128" s="12" t="inlineStr">
        <is>
          <t>VL_flag</t>
        </is>
      </c>
      <c r="O128" s="12" t="inlineStr">
        <is>
          <t>safety</t>
        </is>
      </c>
      <c r="P128" s="12" t="inlineStr">
        <is>
          <t>原因</t>
        </is>
      </c>
      <c r="Q128" s="12" t="inlineStr">
        <is>
          <t>建议</t>
        </is>
      </c>
      <c r="R128" s="12" t="inlineStr">
        <is>
          <t>次数</t>
        </is>
      </c>
    </row>
    <row r="129">
      <c r="A129" s="7" t="n">
        <v>1</v>
      </c>
      <c r="B129" s="9">
        <f>IFERROR(K127,"")</f>
        <v/>
      </c>
      <c r="C129" s="9" t="n"/>
      <c r="D129" s="9" t="n"/>
      <c r="E129" s="9" t="n"/>
      <c r="F129" s="9" t="n"/>
      <c r="G129" s="9" t="n"/>
      <c r="H129" s="9" t="n"/>
      <c r="I129" s="7">
        <f>IFERROR(MAX(C129:H129),"")</f>
        <v/>
      </c>
      <c r="J129" s="7">
        <f>IFERROR(MATCH(I129,C129:H129,0),"")</f>
        <v/>
      </c>
      <c r="K129" s="7" t="n">
        <v>10</v>
      </c>
      <c r="L129" s="7">
        <f>IFERROR(I129*(1-(K129/100)),"")</f>
        <v/>
      </c>
      <c r="M129" s="7">
        <f>IFERROR(LOOKUP(9.99E+307,C129:H129),"")</f>
        <v/>
      </c>
      <c r="N129" s="7">
        <f>IFERROR(IF(M129="","",IF(M129&lt;=N129,"停组🛑","继续✓")),"")</f>
        <v/>
      </c>
      <c r="O129" s="7">
        <f>IFERROR(IF(M129="","",IF(M129&lt;0.15,"SAFETY_STOP","")),"")</f>
        <v/>
      </c>
      <c r="P129" s="7">
        <f>IFERROR(IF(M129="","",IF(M129&lt;0.15,"SAFETY_STOP",IF(M129&lt;=N129,"VL_THRESHOLD",""))),"")</f>
        <v/>
      </c>
      <c r="Q129" s="7">
        <f>IFERROR(IF(I129="","",IF(I129&gt;(0.8+0.05),"+5kg",IF(I129&gt;(0.8+0.02),"+2.5kg",IF(I129&gt;=(0.8-0.05),"保持",IF(I129&gt;=(0.8-0.08),"-2.5kg","-5kg"))))),"")</f>
        <v/>
      </c>
      <c r="R129" s="9" t="n"/>
    </row>
    <row r="130">
      <c r="A130" s="7" t="n">
        <v>2</v>
      </c>
      <c r="B130" s="9" t="n"/>
      <c r="C130" s="9" t="n"/>
      <c r="D130" s="9" t="n"/>
      <c r="E130" s="9" t="n"/>
      <c r="F130" s="9" t="n"/>
      <c r="G130" s="9" t="n"/>
      <c r="H130" s="9" t="n"/>
      <c r="I130" s="7">
        <f>IFERROR(MAX(C130:H130),"")</f>
        <v/>
      </c>
      <c r="J130" s="7">
        <f>IFERROR(MATCH(I130,C130:H130,0),"")</f>
        <v/>
      </c>
      <c r="K130" s="7" t="n">
        <v>10</v>
      </c>
      <c r="L130" s="7">
        <f>IFERROR(I130*(1-(K130/100)),"")</f>
        <v/>
      </c>
      <c r="M130" s="7">
        <f>IFERROR(LOOKUP(9.99E+307,C130:H130),"")</f>
        <v/>
      </c>
      <c r="N130" s="7">
        <f>IFERROR(IF(M130="","",IF(M130&lt;=N130,"停组🛑","继续✓")),"")</f>
        <v/>
      </c>
      <c r="O130" s="7">
        <f>IFERROR(IF(M130="","",IF(M130&lt;0.15,"SAFETY_STOP","")),"")</f>
        <v/>
      </c>
      <c r="P130" s="7">
        <f>IFERROR(IF(M130="","",IF(M130&lt;0.15,"SAFETY_STOP",IF(M130&lt;=N130,"VL_THRESHOLD",""))),"")</f>
        <v/>
      </c>
      <c r="Q130" s="7">
        <f>IFERROR(IF(I130="","",IF(I130&gt;(0.8+0.05),"+5kg",IF(I130&gt;(0.8+0.02),"+2.5kg",IF(I130&gt;=(0.8-0.05),"保持",IF(I130&gt;=(0.8-0.08),"-2.5kg","-5kg"))))),"")</f>
        <v/>
      </c>
      <c r="R130" s="9" t="n"/>
    </row>
    <row r="131">
      <c r="A131" s="7" t="n">
        <v>3</v>
      </c>
      <c r="B131" s="9" t="n"/>
      <c r="C131" s="9" t="n"/>
      <c r="D131" s="9" t="n"/>
      <c r="E131" s="9" t="n"/>
      <c r="F131" s="9" t="n"/>
      <c r="G131" s="9" t="n"/>
      <c r="H131" s="9" t="n"/>
      <c r="I131" s="7">
        <f>IFERROR(MAX(C131:H131),"")</f>
        <v/>
      </c>
      <c r="J131" s="7">
        <f>IFERROR(MATCH(I131,C131:H131,0),"")</f>
        <v/>
      </c>
      <c r="K131" s="7" t="n">
        <v>10</v>
      </c>
      <c r="L131" s="7">
        <f>IFERROR(I131*(1-(K131/100)),"")</f>
        <v/>
      </c>
      <c r="M131" s="7">
        <f>IFERROR(LOOKUP(9.99E+307,C131:H131),"")</f>
        <v/>
      </c>
      <c r="N131" s="7">
        <f>IFERROR(IF(M131="","",IF(M131&lt;=N131,"停组🛑","继续✓")),"")</f>
        <v/>
      </c>
      <c r="O131" s="7">
        <f>IFERROR(IF(M131="","",IF(M131&lt;0.15,"SAFETY_STOP","")),"")</f>
        <v/>
      </c>
      <c r="P131" s="7">
        <f>IFERROR(IF(M131="","",IF(M131&lt;0.15,"SAFETY_STOP",IF(M131&lt;=N131,"VL_THRESHOLD",""))),"")</f>
        <v/>
      </c>
      <c r="Q131" s="7">
        <f>IFERROR(IF(I131="","",IF(I131&gt;(0.8+0.05),"+5kg",IF(I131&gt;(0.8+0.02),"+2.5kg",IF(I131&gt;=(0.8-0.05),"保持",IF(I131&gt;=(0.8-0.08),"-2.5kg","-5kg"))))),"")</f>
        <v/>
      </c>
      <c r="R131" s="9" t="n"/>
    </row>
    <row r="132">
      <c r="A132" s="7" t="n">
        <v>4</v>
      </c>
      <c r="B132" s="9" t="n"/>
      <c r="C132" s="9" t="n"/>
      <c r="D132" s="9" t="n"/>
      <c r="E132" s="9" t="n"/>
      <c r="F132" s="9" t="n"/>
      <c r="G132" s="9" t="n"/>
      <c r="H132" s="9" t="n"/>
      <c r="I132" s="7">
        <f>IFERROR(MAX(C132:H132),"")</f>
        <v/>
      </c>
      <c r="J132" s="7">
        <f>IFERROR(MATCH(I132,C132:H132,0),"")</f>
        <v/>
      </c>
      <c r="K132" s="7" t="n">
        <v>10</v>
      </c>
      <c r="L132" s="7">
        <f>IFERROR(I132*(1-(K132/100)),"")</f>
        <v/>
      </c>
      <c r="M132" s="7">
        <f>IFERROR(LOOKUP(9.99E+307,C132:H132),"")</f>
        <v/>
      </c>
      <c r="N132" s="7">
        <f>IFERROR(IF(M132="","",IF(M132&lt;=N132,"停组🛑","继续✓")),"")</f>
        <v/>
      </c>
      <c r="O132" s="7">
        <f>IFERROR(IF(M132="","",IF(M132&lt;0.15,"SAFETY_STOP","")),"")</f>
        <v/>
      </c>
      <c r="P132" s="7">
        <f>IFERROR(IF(M132="","",IF(M132&lt;0.15,"SAFETY_STOP",IF(M132&lt;=N132,"VL_THRESHOLD",""))),"")</f>
        <v/>
      </c>
      <c r="Q132" s="7">
        <f>IFERROR(IF(I132="","",IF(I132&gt;(0.8+0.05),"+5kg",IF(I132&gt;(0.8+0.02),"+2.5kg",IF(I132&gt;=(0.8-0.05),"保持",IF(I132&gt;=(0.8-0.08),"-2.5kg","-5kg"))))),"")</f>
        <v/>
      </c>
      <c r="R132" s="9" t="n"/>
    </row>
    <row r="133">
      <c r="A133" s="7" t="n">
        <v>5</v>
      </c>
      <c r="B133" s="9" t="n"/>
      <c r="C133" s="9" t="n"/>
      <c r="D133" s="9" t="n"/>
      <c r="E133" s="9" t="n"/>
      <c r="F133" s="9" t="n"/>
      <c r="G133" s="9" t="n"/>
      <c r="H133" s="9" t="n"/>
      <c r="I133" s="7">
        <f>IFERROR(MAX(C133:H133),"")</f>
        <v/>
      </c>
      <c r="J133" s="7">
        <f>IFERROR(MATCH(I133,C133:H133,0),"")</f>
        <v/>
      </c>
      <c r="K133" s="7" t="n">
        <v>10</v>
      </c>
      <c r="L133" s="7">
        <f>IFERROR(I133*(1-(K133/100)),"")</f>
        <v/>
      </c>
      <c r="M133" s="7">
        <f>IFERROR(LOOKUP(9.99E+307,C133:H133),"")</f>
        <v/>
      </c>
      <c r="N133" s="7">
        <f>IFERROR(IF(M133="","",IF(M133&lt;=N133,"停组🛑","继续✓")),"")</f>
        <v/>
      </c>
      <c r="O133" s="7">
        <f>IFERROR(IF(M133="","",IF(M133&lt;0.15,"SAFETY_STOP","")),"")</f>
        <v/>
      </c>
      <c r="P133" s="7">
        <f>IFERROR(IF(M133="","",IF(M133&lt;0.15,"SAFETY_STOP",IF(M133&lt;=N133,"VL_THRESHOLD",""))),"")</f>
        <v/>
      </c>
      <c r="Q133" s="7">
        <f>IFERROR(IF(I133="","",IF(I133&gt;(0.8+0.05),"+5kg",IF(I133&gt;(0.8+0.02),"+2.5kg",IF(I133&gt;=(0.8-0.05),"保持",IF(I133&gt;=(0.8-0.08),"-2.5kg","-5kg"))))),"")</f>
        <v/>
      </c>
      <c r="R133" s="9" t="n"/>
    </row>
    <row r="134">
      <c r="A134" s="7" t="n">
        <v>6</v>
      </c>
      <c r="B134" s="9" t="n"/>
      <c r="C134" s="9" t="n"/>
      <c r="D134" s="9" t="n"/>
      <c r="E134" s="9" t="n"/>
      <c r="F134" s="9" t="n"/>
      <c r="G134" s="9" t="n"/>
      <c r="H134" s="9" t="n"/>
      <c r="I134" s="7">
        <f>IFERROR(MAX(C134:H134),"")</f>
        <v/>
      </c>
      <c r="J134" s="7">
        <f>IFERROR(MATCH(I134,C134:H134,0),"")</f>
        <v/>
      </c>
      <c r="K134" s="7" t="n">
        <v>10</v>
      </c>
      <c r="L134" s="7">
        <f>IFERROR(I134*(1-(K134/100)),"")</f>
        <v/>
      </c>
      <c r="M134" s="7">
        <f>IFERROR(LOOKUP(9.99E+307,C134:H134),"")</f>
        <v/>
      </c>
      <c r="N134" s="7">
        <f>IFERROR(IF(M134="","",IF(M134&lt;=N134,"停组🛑","继续✓")),"")</f>
        <v/>
      </c>
      <c r="O134" s="7">
        <f>IFERROR(IF(M134="","",IF(M134&lt;0.15,"SAFETY_STOP","")),"")</f>
        <v/>
      </c>
      <c r="P134" s="7">
        <f>IFERROR(IF(M134="","",IF(M134&lt;0.15,"SAFETY_STOP",IF(M134&lt;=N134,"VL_THRESHOLD",""))),"")</f>
        <v/>
      </c>
      <c r="Q134" s="7">
        <f>IFERROR(IF(I134="","",IF(I134&gt;(0.8+0.05),"+5kg",IF(I134&gt;(0.8+0.02),"+2.5kg",IF(I134&gt;=(0.8-0.05),"保持",IF(I134&gt;=(0.8-0.08),"-2.5kg","-5kg"))))),"")</f>
        <v/>
      </c>
      <c r="R134" s="9" t="n"/>
    </row>
    <row r="135">
      <c r="A135" s="13" t="inlineStr">
        <is>
          <t>辅助</t>
        </is>
      </c>
      <c r="D135" s="14" t="inlineStr">
        <is>
          <t>保加利亚单腿蹲</t>
        </is>
      </c>
      <c r="E135" s="14" t="inlineStr">
        <is>
          <t>负荷</t>
        </is>
      </c>
      <c r="F135" s="14" t="inlineStr">
        <is>
          <t>完成</t>
        </is>
      </c>
      <c r="I135" t="inlineStr">
        <is>
          <t>VL</t>
        </is>
      </c>
    </row>
    <row r="136">
      <c r="A136" s="15" t="inlineStr">
        <is>
          <t>训练后</t>
        </is>
      </c>
      <c r="B136" s="15" t="inlineStr">
        <is>
          <t>开始</t>
        </is>
      </c>
      <c r="C136" s="15" t="inlineStr">
        <is>
          <t>结束</t>
        </is>
      </c>
      <c r="D136" s="15" t="inlineStr">
        <is>
          <t>时长min</t>
        </is>
      </c>
      <c r="E136" s="15" t="inlineStr">
        <is>
          <t>sRPE</t>
        </is>
      </c>
      <c r="F136" s="15" t="inlineStr">
        <is>
          <t>load</t>
        </is>
      </c>
      <c r="G136" s="15" t="inlineStr">
        <is>
          <t>不适?</t>
        </is>
      </c>
      <c r="H136" s="15" t="inlineStr">
        <is>
          <t>备注</t>
        </is>
      </c>
      <c r="I136" s="15" t="inlineStr">
        <is>
          <t>签名</t>
        </is>
      </c>
    </row>
    <row r="137">
      <c r="A137" s="7" t="n"/>
      <c r="B137" s="9" t="n"/>
      <c r="C137" s="9" t="n"/>
      <c r="D137" s="11">
        <f>IFERROR((C137-B137)*1440,"")</f>
        <v/>
      </c>
      <c r="E137" s="9" t="n"/>
      <c r="F137" s="11">
        <f>IFERROR(E137*D137,"")</f>
        <v/>
      </c>
      <c r="G137" s="9" t="n"/>
      <c r="H137" s="9" t="n"/>
      <c r="I137" s="9" t="n"/>
    </row>
    <row r="138">
      <c r="A138" s="16" t="inlineStr">
        <is>
          <t>跳跃</t>
        </is>
      </c>
      <c r="B138" s="16" t="inlineStr">
        <is>
          <t>类型</t>
        </is>
      </c>
      <c r="C138" s="16" t="inlineStr">
        <is>
          <t>组×次</t>
        </is>
      </c>
      <c r="D138" s="16" t="inlineStr">
        <is>
          <t>负荷kg</t>
        </is>
      </c>
      <c r="E138" s="16" t="inlineStr">
        <is>
          <t>接触</t>
        </is>
      </c>
    </row>
    <row r="139">
      <c r="B139" t="inlineStr">
        <is>
          <t>SJ</t>
        </is>
      </c>
      <c r="C139" t="inlineStr">
        <is>
          <t>3×3</t>
        </is>
      </c>
      <c r="D139" t="n">
        <v>0</v>
      </c>
      <c r="E139" t="n">
        <v>9</v>
      </c>
    </row>
    <row r="140">
      <c r="B140" t="inlineStr">
        <is>
          <t>负重跳</t>
        </is>
      </c>
      <c r="C140" t="inlineStr">
        <is>
          <t>3×4</t>
        </is>
      </c>
      <c r="D140" s="14" t="n"/>
      <c r="E140" s="14" t="n"/>
    </row>
    <row r="141">
      <c r="A141" s="17" t="inlineStr">
        <is>
          <t>▶ 暴露量汇总</t>
        </is>
      </c>
      <c r="B141" s="17" t="inlineStr">
        <is>
          <t>说明</t>
        </is>
      </c>
      <c r="C141" s="17" t="inlineStr">
        <is>
          <t>公式/来源</t>
        </is>
      </c>
      <c r="D141" s="17" t="inlineStr">
        <is>
          <t>数值</t>
        </is>
      </c>
    </row>
    <row r="142">
      <c r="A142" s="18" t="inlineStr">
        <is>
          <t>① 无负荷跳跃接触</t>
        </is>
      </c>
      <c r="B142" s="18" t="inlineStr">
        <is>
          <t>CMJ+SJ+箱跳</t>
        </is>
      </c>
      <c r="C142" s="19">
        <f>IFERROR(E139+E140,2)</f>
        <v/>
      </c>
    </row>
    <row r="143">
      <c r="A143" s="18" t="inlineStr">
        <is>
          <t>② 负重跳跃接触</t>
        </is>
      </c>
      <c r="B143" s="18" t="inlineStr">
        <is>
          <t>负重深蹲跳</t>
        </is>
      </c>
      <c r="C143" s="19">
        <f>IFERROR(E140,"")</f>
        <v/>
      </c>
    </row>
    <row r="144">
      <c r="A144" s="18" t="inlineStr">
        <is>
          <t>③ 跳跃总计</t>
        </is>
      </c>
      <c r="B144" s="18" t="inlineStr">
        <is>
          <t>①+②</t>
        </is>
      </c>
      <c r="C144" s="19">
        <f>IFERROR(B142+B143,"")</f>
        <v/>
      </c>
    </row>
    <row r="145">
      <c r="A145" s="18" t="inlineStr">
        <is>
          <t>④ 热身VL</t>
        </is>
      </c>
      <c r="B145" s="18" t="inlineStr">
        <is>
          <t>20×5+50%×3(+70%×2)</t>
        </is>
      </c>
      <c r="C145" s="19">
        <f>IFERROR(20*5+ROUND(V125*0.5,0)*3,"-")</f>
        <v/>
      </c>
    </row>
    <row r="146">
      <c r="A146" s="20" t="inlineStr">
        <is>
          <t>⑤ 主项工作组VL ★</t>
        </is>
      </c>
      <c r="B146" s="20" t="inlineStr">
        <is>
          <t>Σ(负荷×次数)</t>
        </is>
      </c>
      <c r="C146" s="21">
        <f>SUMPRODUCT($B$129:$B$134,$R$129:$R$134)</f>
        <v/>
      </c>
    </row>
    <row r="147">
      <c r="A147" s="18" t="inlineStr">
        <is>
          <t>⑥ 主项总VL</t>
        </is>
      </c>
      <c r="B147" s="18" t="inlineStr">
        <is>
          <t>④+⑤</t>
        </is>
      </c>
      <c r="C147" s="19">
        <f>IFERROR(D142+D143,"")</f>
        <v/>
      </c>
    </row>
    <row r="148">
      <c r="A148" s="18" t="inlineStr">
        <is>
          <t>⑦ 辅助VL</t>
        </is>
      </c>
      <c r="B148" s="18" t="inlineStr">
        <is>
          <t>RDL/保加利亚</t>
        </is>
      </c>
      <c r="C148" s="19">
        <f>IFERROR(I135,"")</f>
        <v/>
      </c>
    </row>
    <row r="149">
      <c r="A149" s="18" t="inlineStr">
        <is>
          <t>⑧ 总外部负荷</t>
        </is>
      </c>
      <c r="B149" s="18" t="inlineStr">
        <is>
          <t>⑥+⑦(+负重跳)</t>
        </is>
      </c>
      <c r="C149" s="19">
        <f>IFERROR(F142+G142,"")</f>
        <v/>
      </c>
    </row>
    <row r="150">
      <c r="A150" s="18" t="inlineStr">
        <is>
          <t>⑨ sRPE load</t>
        </is>
      </c>
      <c r="B150" s="18" t="inlineStr">
        <is>
          <t>sRPE×时长</t>
        </is>
      </c>
      <c r="C150" s="19">
        <f>IFERROR(F137,"")</f>
        <v/>
      </c>
    </row>
    <row r="153">
      <c r="A153" s="5" t="inlineStr">
        <is>
          <t>P011 朱怀远  a=1.258 b=-0.00613 1RM=125</t>
        </is>
      </c>
    </row>
    <row r="154">
      <c r="A154" s="6" t="inlineStr">
        <is>
          <t>编号</t>
        </is>
      </c>
      <c r="B154" s="6" t="inlineStr">
        <is>
          <t>姓名</t>
        </is>
      </c>
      <c r="C154" s="6" t="inlineStr">
        <is>
          <t>身高</t>
        </is>
      </c>
      <c r="D154" s="6" t="inlineStr">
        <is>
          <t>1RM</t>
        </is>
      </c>
      <c r="E154" s="6" t="inlineStr">
        <is>
          <t>Hooper睡</t>
        </is>
      </c>
      <c r="F154" s="6" t="inlineStr">
        <is>
          <t>Hooper压</t>
        </is>
      </c>
      <c r="G154" s="6" t="inlineStr">
        <is>
          <t>Hooper疲</t>
        </is>
      </c>
      <c r="H154" s="6" t="inlineStr">
        <is>
          <t>Hooper酸</t>
        </is>
      </c>
      <c r="I154" s="6" t="inlineStr">
        <is>
          <t>H总</t>
        </is>
      </c>
      <c r="J154" s="6" t="inlineStr">
        <is>
          <t>不适?</t>
        </is>
      </c>
      <c r="K154" s="6" t="inlineStr">
        <is>
          <t>说明</t>
        </is>
      </c>
      <c r="L154" s="6" t="inlineStr">
        <is>
          <t>CMJ1</t>
        </is>
      </c>
      <c r="M154" s="6" t="inlineStr">
        <is>
          <t>CMJ2</t>
        </is>
      </c>
      <c r="N154" s="6" t="inlineStr">
        <is>
          <t>CMJ3</t>
        </is>
      </c>
      <c r="O154" s="6" t="inlineStr">
        <is>
          <t>CMJμ</t>
        </is>
      </c>
      <c r="P154" s="6" t="inlineStr">
        <is>
          <t>&lt;95%</t>
        </is>
      </c>
      <c r="Q154" s="6" t="inlineStr">
        <is>
          <t>减组</t>
        </is>
      </c>
      <c r="R154" s="6" t="inlineStr">
        <is>
          <t>组数</t>
        </is>
      </c>
      <c r="S154" s="6" t="inlineStr">
        <is>
          <t>a(V0)</t>
        </is>
      </c>
      <c r="T154" s="6" t="inlineStr">
        <is>
          <t>b</t>
        </is>
      </c>
      <c r="U154" s="6" t="inlineStr">
        <is>
          <t>等级</t>
        </is>
      </c>
      <c r="V154" s="6" t="inlineStr">
        <is>
          <t>预测起始</t>
        </is>
      </c>
    </row>
    <row r="155">
      <c r="A155" s="7" t="inlineStr">
        <is>
          <t>P011</t>
        </is>
      </c>
      <c r="B155" s="7" t="inlineStr">
        <is>
          <t>朱怀远</t>
        </is>
      </c>
      <c r="C155" s="7" t="n">
        <v>165</v>
      </c>
      <c r="D155" s="8" t="n">
        <v>125</v>
      </c>
      <c r="E155" s="9" t="n"/>
      <c r="F155" s="9" t="n"/>
      <c r="G155" s="9" t="n"/>
      <c r="H155" s="9" t="n"/>
      <c r="I155" s="7">
        <f>IFERROR(SUM(E155:H155),"")</f>
        <v/>
      </c>
      <c r="J155" s="9" t="n"/>
      <c r="K155" s="9" t="n"/>
      <c r="L155" s="9" t="n"/>
      <c r="M155" s="9" t="n"/>
      <c r="N155" s="9" t="n"/>
      <c r="O155" s="7">
        <f>IFERROR(AVERAGE(L155:N155),"")</f>
        <v/>
      </c>
      <c r="P155" s="7">
        <f>IF(O155="","",IF(O155&lt;64.98,"是⚠","否"))</f>
        <v/>
      </c>
      <c r="Q155" s="7">
        <f>IF(O155="","",IF(O155&lt;64.98,4-1,4))</f>
        <v/>
      </c>
      <c r="R155" s="7" t="n"/>
      <c r="S155" s="8" t="n">
        <v>1.258</v>
      </c>
      <c r="T155" s="8" t="n">
        <v>-0.00613</v>
      </c>
      <c r="U155" s="7" t="inlineStr">
        <is>
          <t>D</t>
        </is>
      </c>
      <c r="V155" s="8" t="n">
        <v>75</v>
      </c>
    </row>
    <row r="156">
      <c r="A156" s="10" t="inlineStr">
        <is>
          <t>热身校准</t>
        </is>
      </c>
      <c r="B156" s="10" t="inlineStr">
        <is>
          <t>a</t>
        </is>
      </c>
      <c r="C156" s="10" t="inlineStr">
        <is>
          <t>b</t>
        </is>
      </c>
      <c r="D156" s="10" t="inlineStr">
        <is>
          <t>50%热身</t>
        </is>
      </c>
      <c r="E156" s="10" t="inlineStr">
        <is>
          <t>70%热身</t>
        </is>
      </c>
      <c r="F156" s="10" t="inlineStr">
        <is>
          <t>热身负荷</t>
        </is>
      </c>
      <c r="G156" s="10" t="inlineStr">
        <is>
          <t>实测MCV</t>
        </is>
      </c>
      <c r="H156" s="10" t="inlineStr">
        <is>
          <t>预测MCV</t>
        </is>
      </c>
      <c r="I156" s="10" t="inlineStr">
        <is>
          <t>Δv</t>
        </is>
      </c>
      <c r="J156" s="10" t="inlineStr">
        <is>
          <t>调整量</t>
        </is>
      </c>
      <c r="K156" s="10" t="inlineStr">
        <is>
          <t>校准第1组</t>
        </is>
      </c>
    </row>
    <row r="157">
      <c r="A157" s="7" t="n"/>
      <c r="B157" s="11" t="n">
        <v>1.258</v>
      </c>
      <c r="C157" s="11" t="n">
        <v>-0.00613</v>
      </c>
      <c r="D157" s="11">
        <f>IFERROR(ROUND(V155*0.5/2.5,0)*2.5,"")</f>
        <v/>
      </c>
      <c r="E157" s="11" t="inlineStr"/>
      <c r="F157" s="11">
        <f>IFERROR(ROUND(V155*0.5/2.5,0)*2.5,"")</f>
        <v/>
      </c>
      <c r="G157" s="9" t="n"/>
      <c r="H157" s="11">
        <f>IFERROR(B157+C157*F157,"")</f>
        <v/>
      </c>
      <c r="I157" s="11">
        <f>IFERROR(G157-H157,"")</f>
        <v/>
      </c>
      <c r="J157" s="11">
        <f>IFERROR(IF(I157&gt;0.08,5,IF(I157&gt;0.04,2.5,IF(I157&gt;=-0.04,0,IF(I157&gt;=-0.08,-2.5,-5)))),"")</f>
        <v/>
      </c>
      <c r="K157" s="11">
        <f>IFERROR(ROUND(V155+J157,0),"")</f>
        <v/>
      </c>
    </row>
    <row r="158">
      <c r="A158" s="12" t="inlineStr">
        <is>
          <t>组</t>
        </is>
      </c>
      <c r="B158" s="12" t="inlineStr">
        <is>
          <t>负荷</t>
        </is>
      </c>
      <c r="C158" s="12" t="inlineStr">
        <is>
          <t>rep1</t>
        </is>
      </c>
      <c r="D158" s="12" t="inlineStr">
        <is>
          <t>rep2</t>
        </is>
      </c>
      <c r="E158" s="12" t="inlineStr">
        <is>
          <t>rep3</t>
        </is>
      </c>
      <c r="F158" s="12" t="inlineStr">
        <is>
          <t>rep4</t>
        </is>
      </c>
      <c r="G158" s="12" t="inlineStr">
        <is>
          <t>rep5</t>
        </is>
      </c>
      <c r="H158" s="12" t="inlineStr">
        <is>
          <t>rep6</t>
        </is>
      </c>
      <c r="I158" s="12" t="inlineStr">
        <is>
          <t>best</t>
        </is>
      </c>
      <c r="J158" s="12" t="inlineStr">
        <is>
          <t>best#</t>
        </is>
      </c>
      <c r="K158" s="12" t="inlineStr">
        <is>
          <t>VL%</t>
        </is>
      </c>
      <c r="L158" s="12" t="inlineStr">
        <is>
          <t>stop_th</t>
        </is>
      </c>
      <c r="M158" s="12" t="inlineStr">
        <is>
          <t>latest</t>
        </is>
      </c>
      <c r="N158" s="12" t="inlineStr">
        <is>
          <t>VL_flag</t>
        </is>
      </c>
      <c r="O158" s="12" t="inlineStr">
        <is>
          <t>safety</t>
        </is>
      </c>
      <c r="P158" s="12" t="inlineStr">
        <is>
          <t>原因</t>
        </is>
      </c>
      <c r="Q158" s="12" t="inlineStr">
        <is>
          <t>建议</t>
        </is>
      </c>
      <c r="R158" s="12" t="inlineStr">
        <is>
          <t>次数</t>
        </is>
      </c>
    </row>
    <row r="159">
      <c r="A159" s="7" t="n">
        <v>1</v>
      </c>
      <c r="B159" s="9">
        <f>IFERROR(K157,"")</f>
        <v/>
      </c>
      <c r="C159" s="9" t="n"/>
      <c r="D159" s="9" t="n"/>
      <c r="E159" s="9" t="n"/>
      <c r="F159" s="9" t="n"/>
      <c r="G159" s="9" t="n"/>
      <c r="H159" s="9" t="n"/>
      <c r="I159" s="7">
        <f>IFERROR(MAX(C159:H159),"")</f>
        <v/>
      </c>
      <c r="J159" s="7">
        <f>IFERROR(MATCH(I159,C159:H159,0),"")</f>
        <v/>
      </c>
      <c r="K159" s="7" t="n">
        <v>10</v>
      </c>
      <c r="L159" s="7">
        <f>IFERROR(I159*(1-(K159/100)),"")</f>
        <v/>
      </c>
      <c r="M159" s="7">
        <f>IFERROR(LOOKUP(9.99E+307,C159:H159),"")</f>
        <v/>
      </c>
      <c r="N159" s="7">
        <f>IFERROR(IF(M159="","",IF(M159&lt;=N159,"停组🛑","继续✓")),"")</f>
        <v/>
      </c>
      <c r="O159" s="7">
        <f>IFERROR(IF(M159="","",IF(M159&lt;0.15,"SAFETY_STOP","")),"")</f>
        <v/>
      </c>
      <c r="P159" s="7">
        <f>IFERROR(IF(M159="","",IF(M159&lt;0.15,"SAFETY_STOP",IF(M159&lt;=N159,"VL_THRESHOLD",""))),"")</f>
        <v/>
      </c>
      <c r="Q159" s="7">
        <f>IFERROR(IF(I159="","",IF(I159&gt;(0.8+0.05),"+5kg",IF(I159&gt;(0.8+0.02),"+2.5kg",IF(I159&gt;=(0.8-0.05),"保持",IF(I159&gt;=(0.8-0.08),"-2.5kg","-5kg"))))),"")</f>
        <v/>
      </c>
      <c r="R159" s="9" t="n"/>
    </row>
    <row r="160">
      <c r="A160" s="7" t="n">
        <v>2</v>
      </c>
      <c r="B160" s="9" t="n"/>
      <c r="C160" s="9" t="n"/>
      <c r="D160" s="9" t="n"/>
      <c r="E160" s="9" t="n"/>
      <c r="F160" s="9" t="n"/>
      <c r="G160" s="9" t="n"/>
      <c r="H160" s="9" t="n"/>
      <c r="I160" s="7">
        <f>IFERROR(MAX(C160:H160),"")</f>
        <v/>
      </c>
      <c r="J160" s="7">
        <f>IFERROR(MATCH(I160,C160:H160,0),"")</f>
        <v/>
      </c>
      <c r="K160" s="7" t="n">
        <v>10</v>
      </c>
      <c r="L160" s="7">
        <f>IFERROR(I160*(1-(K160/100)),"")</f>
        <v/>
      </c>
      <c r="M160" s="7">
        <f>IFERROR(LOOKUP(9.99E+307,C160:H160),"")</f>
        <v/>
      </c>
      <c r="N160" s="7">
        <f>IFERROR(IF(M160="","",IF(M160&lt;=N160,"停组🛑","继续✓")),"")</f>
        <v/>
      </c>
      <c r="O160" s="7">
        <f>IFERROR(IF(M160="","",IF(M160&lt;0.15,"SAFETY_STOP","")),"")</f>
        <v/>
      </c>
      <c r="P160" s="7">
        <f>IFERROR(IF(M160="","",IF(M160&lt;0.15,"SAFETY_STOP",IF(M160&lt;=N160,"VL_THRESHOLD",""))),"")</f>
        <v/>
      </c>
      <c r="Q160" s="7">
        <f>IFERROR(IF(I160="","",IF(I160&gt;(0.8+0.05),"+5kg",IF(I160&gt;(0.8+0.02),"+2.5kg",IF(I160&gt;=(0.8-0.05),"保持",IF(I160&gt;=(0.8-0.08),"-2.5kg","-5kg"))))),"")</f>
        <v/>
      </c>
      <c r="R160" s="9" t="n"/>
    </row>
    <row r="161">
      <c r="A161" s="7" t="n">
        <v>3</v>
      </c>
      <c r="B161" s="9" t="n"/>
      <c r="C161" s="9" t="n"/>
      <c r="D161" s="9" t="n"/>
      <c r="E161" s="9" t="n"/>
      <c r="F161" s="9" t="n"/>
      <c r="G161" s="9" t="n"/>
      <c r="H161" s="9" t="n"/>
      <c r="I161" s="7">
        <f>IFERROR(MAX(C161:H161),"")</f>
        <v/>
      </c>
      <c r="J161" s="7">
        <f>IFERROR(MATCH(I161,C161:H161,0),"")</f>
        <v/>
      </c>
      <c r="K161" s="7" t="n">
        <v>10</v>
      </c>
      <c r="L161" s="7">
        <f>IFERROR(I161*(1-(K161/100)),"")</f>
        <v/>
      </c>
      <c r="M161" s="7">
        <f>IFERROR(LOOKUP(9.99E+307,C161:H161),"")</f>
        <v/>
      </c>
      <c r="N161" s="7">
        <f>IFERROR(IF(M161="","",IF(M161&lt;=N161,"停组🛑","继续✓")),"")</f>
        <v/>
      </c>
      <c r="O161" s="7">
        <f>IFERROR(IF(M161="","",IF(M161&lt;0.15,"SAFETY_STOP","")),"")</f>
        <v/>
      </c>
      <c r="P161" s="7">
        <f>IFERROR(IF(M161="","",IF(M161&lt;0.15,"SAFETY_STOP",IF(M161&lt;=N161,"VL_THRESHOLD",""))),"")</f>
        <v/>
      </c>
      <c r="Q161" s="7">
        <f>IFERROR(IF(I161="","",IF(I161&gt;(0.8+0.05),"+5kg",IF(I161&gt;(0.8+0.02),"+2.5kg",IF(I161&gt;=(0.8-0.05),"保持",IF(I161&gt;=(0.8-0.08),"-2.5kg","-5kg"))))),"")</f>
        <v/>
      </c>
      <c r="R161" s="9" t="n"/>
    </row>
    <row r="162">
      <c r="A162" s="7" t="n">
        <v>4</v>
      </c>
      <c r="B162" s="9" t="n"/>
      <c r="C162" s="9" t="n"/>
      <c r="D162" s="9" t="n"/>
      <c r="E162" s="9" t="n"/>
      <c r="F162" s="9" t="n"/>
      <c r="G162" s="9" t="n"/>
      <c r="H162" s="9" t="n"/>
      <c r="I162" s="7">
        <f>IFERROR(MAX(C162:H162),"")</f>
        <v/>
      </c>
      <c r="J162" s="7">
        <f>IFERROR(MATCH(I162,C162:H162,0),"")</f>
        <v/>
      </c>
      <c r="K162" s="7" t="n">
        <v>10</v>
      </c>
      <c r="L162" s="7">
        <f>IFERROR(I162*(1-(K162/100)),"")</f>
        <v/>
      </c>
      <c r="M162" s="7">
        <f>IFERROR(LOOKUP(9.99E+307,C162:H162),"")</f>
        <v/>
      </c>
      <c r="N162" s="7">
        <f>IFERROR(IF(M162="","",IF(M162&lt;=N162,"停组🛑","继续✓")),"")</f>
        <v/>
      </c>
      <c r="O162" s="7">
        <f>IFERROR(IF(M162="","",IF(M162&lt;0.15,"SAFETY_STOP","")),"")</f>
        <v/>
      </c>
      <c r="P162" s="7">
        <f>IFERROR(IF(M162="","",IF(M162&lt;0.15,"SAFETY_STOP",IF(M162&lt;=N162,"VL_THRESHOLD",""))),"")</f>
        <v/>
      </c>
      <c r="Q162" s="7">
        <f>IFERROR(IF(I162="","",IF(I162&gt;(0.8+0.05),"+5kg",IF(I162&gt;(0.8+0.02),"+2.5kg",IF(I162&gt;=(0.8-0.05),"保持",IF(I162&gt;=(0.8-0.08),"-2.5kg","-5kg"))))),"")</f>
        <v/>
      </c>
      <c r="R162" s="9" t="n"/>
    </row>
    <row r="163">
      <c r="A163" s="7" t="n">
        <v>5</v>
      </c>
      <c r="B163" s="9" t="n"/>
      <c r="C163" s="9" t="n"/>
      <c r="D163" s="9" t="n"/>
      <c r="E163" s="9" t="n"/>
      <c r="F163" s="9" t="n"/>
      <c r="G163" s="9" t="n"/>
      <c r="H163" s="9" t="n"/>
      <c r="I163" s="7">
        <f>IFERROR(MAX(C163:H163),"")</f>
        <v/>
      </c>
      <c r="J163" s="7">
        <f>IFERROR(MATCH(I163,C163:H163,0),"")</f>
        <v/>
      </c>
      <c r="K163" s="7" t="n">
        <v>10</v>
      </c>
      <c r="L163" s="7">
        <f>IFERROR(I163*(1-(K163/100)),"")</f>
        <v/>
      </c>
      <c r="M163" s="7">
        <f>IFERROR(LOOKUP(9.99E+307,C163:H163),"")</f>
        <v/>
      </c>
      <c r="N163" s="7">
        <f>IFERROR(IF(M163="","",IF(M163&lt;=N163,"停组🛑","继续✓")),"")</f>
        <v/>
      </c>
      <c r="O163" s="7">
        <f>IFERROR(IF(M163="","",IF(M163&lt;0.15,"SAFETY_STOP","")),"")</f>
        <v/>
      </c>
      <c r="P163" s="7">
        <f>IFERROR(IF(M163="","",IF(M163&lt;0.15,"SAFETY_STOP",IF(M163&lt;=N163,"VL_THRESHOLD",""))),"")</f>
        <v/>
      </c>
      <c r="Q163" s="7">
        <f>IFERROR(IF(I163="","",IF(I163&gt;(0.8+0.05),"+5kg",IF(I163&gt;(0.8+0.02),"+2.5kg",IF(I163&gt;=(0.8-0.05),"保持",IF(I163&gt;=(0.8-0.08),"-2.5kg","-5kg"))))),"")</f>
        <v/>
      </c>
      <c r="R163" s="9" t="n"/>
    </row>
    <row r="164">
      <c r="A164" s="7" t="n">
        <v>6</v>
      </c>
      <c r="B164" s="9" t="n"/>
      <c r="C164" s="9" t="n"/>
      <c r="D164" s="9" t="n"/>
      <c r="E164" s="9" t="n"/>
      <c r="F164" s="9" t="n"/>
      <c r="G164" s="9" t="n"/>
      <c r="H164" s="9" t="n"/>
      <c r="I164" s="7">
        <f>IFERROR(MAX(C164:H164),"")</f>
        <v/>
      </c>
      <c r="J164" s="7">
        <f>IFERROR(MATCH(I164,C164:H164,0),"")</f>
        <v/>
      </c>
      <c r="K164" s="7" t="n">
        <v>10</v>
      </c>
      <c r="L164" s="7">
        <f>IFERROR(I164*(1-(K164/100)),"")</f>
        <v/>
      </c>
      <c r="M164" s="7">
        <f>IFERROR(LOOKUP(9.99E+307,C164:H164),"")</f>
        <v/>
      </c>
      <c r="N164" s="7">
        <f>IFERROR(IF(M164="","",IF(M164&lt;=N164,"停组🛑","继续✓")),"")</f>
        <v/>
      </c>
      <c r="O164" s="7">
        <f>IFERROR(IF(M164="","",IF(M164&lt;0.15,"SAFETY_STOP","")),"")</f>
        <v/>
      </c>
      <c r="P164" s="7">
        <f>IFERROR(IF(M164="","",IF(M164&lt;0.15,"SAFETY_STOP",IF(M164&lt;=N164,"VL_THRESHOLD",""))),"")</f>
        <v/>
      </c>
      <c r="Q164" s="7">
        <f>IFERROR(IF(I164="","",IF(I164&gt;(0.8+0.05),"+5kg",IF(I164&gt;(0.8+0.02),"+2.5kg",IF(I164&gt;=(0.8-0.05),"保持",IF(I164&gt;=(0.8-0.08),"-2.5kg","-5kg"))))),"")</f>
        <v/>
      </c>
      <c r="R164" s="9" t="n"/>
    </row>
    <row r="165">
      <c r="A165" s="13" t="inlineStr">
        <is>
          <t>辅助</t>
        </is>
      </c>
      <c r="D165" s="14" t="inlineStr">
        <is>
          <t>保加利亚单腿蹲</t>
        </is>
      </c>
      <c r="E165" s="14" t="inlineStr">
        <is>
          <t>负荷</t>
        </is>
      </c>
      <c r="F165" s="14" t="inlineStr">
        <is>
          <t>完成</t>
        </is>
      </c>
      <c r="I165" t="inlineStr">
        <is>
          <t>VL</t>
        </is>
      </c>
    </row>
    <row r="166">
      <c r="A166" s="15" t="inlineStr">
        <is>
          <t>训练后</t>
        </is>
      </c>
      <c r="B166" s="15" t="inlineStr">
        <is>
          <t>开始</t>
        </is>
      </c>
      <c r="C166" s="15" t="inlineStr">
        <is>
          <t>结束</t>
        </is>
      </c>
      <c r="D166" s="15" t="inlineStr">
        <is>
          <t>时长min</t>
        </is>
      </c>
      <c r="E166" s="15" t="inlineStr">
        <is>
          <t>sRPE</t>
        </is>
      </c>
      <c r="F166" s="15" t="inlineStr">
        <is>
          <t>load</t>
        </is>
      </c>
      <c r="G166" s="15" t="inlineStr">
        <is>
          <t>不适?</t>
        </is>
      </c>
      <c r="H166" s="15" t="inlineStr">
        <is>
          <t>备注</t>
        </is>
      </c>
      <c r="I166" s="15" t="inlineStr">
        <is>
          <t>签名</t>
        </is>
      </c>
    </row>
    <row r="167">
      <c r="A167" s="7" t="n"/>
      <c r="B167" s="9" t="n"/>
      <c r="C167" s="9" t="n"/>
      <c r="D167" s="11">
        <f>IFERROR((C167-B167)*1440,"")</f>
        <v/>
      </c>
      <c r="E167" s="9" t="n"/>
      <c r="F167" s="11">
        <f>IFERROR(E167*D167,"")</f>
        <v/>
      </c>
      <c r="G167" s="9" t="n"/>
      <c r="H167" s="9" t="n"/>
      <c r="I167" s="9" t="n"/>
    </row>
    <row r="168">
      <c r="A168" s="16" t="inlineStr">
        <is>
          <t>跳跃</t>
        </is>
      </c>
      <c r="B168" s="16" t="inlineStr">
        <is>
          <t>类型</t>
        </is>
      </c>
      <c r="C168" s="16" t="inlineStr">
        <is>
          <t>组×次</t>
        </is>
      </c>
      <c r="D168" s="16" t="inlineStr">
        <is>
          <t>负荷kg</t>
        </is>
      </c>
      <c r="E168" s="16" t="inlineStr">
        <is>
          <t>接触</t>
        </is>
      </c>
    </row>
    <row r="169">
      <c r="B169" t="inlineStr">
        <is>
          <t>SJ</t>
        </is>
      </c>
      <c r="C169" t="inlineStr">
        <is>
          <t>3×3</t>
        </is>
      </c>
      <c r="D169" t="n">
        <v>0</v>
      </c>
      <c r="E169" t="n">
        <v>9</v>
      </c>
    </row>
    <row r="170">
      <c r="B170" t="inlineStr">
        <is>
          <t>负重跳</t>
        </is>
      </c>
      <c r="C170" t="inlineStr">
        <is>
          <t>3×4</t>
        </is>
      </c>
      <c r="D170" s="14" t="n"/>
      <c r="E170" s="14" t="n"/>
    </row>
    <row r="171">
      <c r="A171" s="17" t="inlineStr">
        <is>
          <t>▶ 暴露量汇总</t>
        </is>
      </c>
      <c r="B171" s="17" t="inlineStr">
        <is>
          <t>说明</t>
        </is>
      </c>
      <c r="C171" s="17" t="inlineStr">
        <is>
          <t>公式/来源</t>
        </is>
      </c>
      <c r="D171" s="17" t="inlineStr">
        <is>
          <t>数值</t>
        </is>
      </c>
    </row>
    <row r="172">
      <c r="A172" s="18" t="inlineStr">
        <is>
          <t>① 无负荷跳跃接触</t>
        </is>
      </c>
      <c r="B172" s="18" t="inlineStr">
        <is>
          <t>CMJ+SJ+箱跳</t>
        </is>
      </c>
      <c r="C172" s="19">
        <f>IFERROR(E169+E170,2)</f>
        <v/>
      </c>
    </row>
    <row r="173">
      <c r="A173" s="18" t="inlineStr">
        <is>
          <t>② 负重跳跃接触</t>
        </is>
      </c>
      <c r="B173" s="18" t="inlineStr">
        <is>
          <t>负重深蹲跳</t>
        </is>
      </c>
      <c r="C173" s="19">
        <f>IFERROR(E170,"")</f>
        <v/>
      </c>
    </row>
    <row r="174">
      <c r="A174" s="18" t="inlineStr">
        <is>
          <t>③ 跳跃总计</t>
        </is>
      </c>
      <c r="B174" s="18" t="inlineStr">
        <is>
          <t>①+②</t>
        </is>
      </c>
      <c r="C174" s="19">
        <f>IFERROR(B172+B173,"")</f>
        <v/>
      </c>
    </row>
    <row r="175">
      <c r="A175" s="18" t="inlineStr">
        <is>
          <t>④ 热身VL</t>
        </is>
      </c>
      <c r="B175" s="18" t="inlineStr">
        <is>
          <t>20×5+50%×3(+70%×2)</t>
        </is>
      </c>
      <c r="C175" s="19">
        <f>IFERROR(20*5+ROUND(V155*0.5,0)*3,"-")</f>
        <v/>
      </c>
    </row>
    <row r="176">
      <c r="A176" s="20" t="inlineStr">
        <is>
          <t>⑤ 主项工作组VL ★</t>
        </is>
      </c>
      <c r="B176" s="20" t="inlineStr">
        <is>
          <t>Σ(负荷×次数)</t>
        </is>
      </c>
      <c r="C176" s="21">
        <f>SUMPRODUCT($B$159:$B$164,$R$159:$R$164)</f>
        <v/>
      </c>
    </row>
    <row r="177">
      <c r="A177" s="18" t="inlineStr">
        <is>
          <t>⑥ 主项总VL</t>
        </is>
      </c>
      <c r="B177" s="18" t="inlineStr">
        <is>
          <t>④+⑤</t>
        </is>
      </c>
      <c r="C177" s="19">
        <f>IFERROR(D172+D173,"")</f>
        <v/>
      </c>
    </row>
    <row r="178">
      <c r="A178" s="18" t="inlineStr">
        <is>
          <t>⑦ 辅助VL</t>
        </is>
      </c>
      <c r="B178" s="18" t="inlineStr">
        <is>
          <t>RDL/保加利亚</t>
        </is>
      </c>
      <c r="C178" s="19">
        <f>IFERROR(I165,"")</f>
        <v/>
      </c>
    </row>
    <row r="179">
      <c r="A179" s="18" t="inlineStr">
        <is>
          <t>⑧ 总外部负荷</t>
        </is>
      </c>
      <c r="B179" s="18" t="inlineStr">
        <is>
          <t>⑥+⑦(+负重跳)</t>
        </is>
      </c>
      <c r="C179" s="19">
        <f>IFERROR(F172+G172,"")</f>
        <v/>
      </c>
    </row>
    <row r="180">
      <c r="A180" s="18" t="inlineStr">
        <is>
          <t>⑨ sRPE load</t>
        </is>
      </c>
      <c r="B180" s="18" t="inlineStr">
        <is>
          <t>sRPE×时长</t>
        </is>
      </c>
      <c r="C180" s="19">
        <f>IFERROR(F167,"")</f>
        <v/>
      </c>
    </row>
    <row r="183">
      <c r="A183" s="5" t="inlineStr">
        <is>
          <t>P016 杜遥  a=1.54 b=-0.0085 1RM=135</t>
        </is>
      </c>
    </row>
    <row r="184">
      <c r="A184" s="6" t="inlineStr">
        <is>
          <t>编号</t>
        </is>
      </c>
      <c r="B184" s="6" t="inlineStr">
        <is>
          <t>姓名</t>
        </is>
      </c>
      <c r="C184" s="6" t="inlineStr">
        <is>
          <t>身高</t>
        </is>
      </c>
      <c r="D184" s="6" t="inlineStr">
        <is>
          <t>1RM</t>
        </is>
      </c>
      <c r="E184" s="6" t="inlineStr">
        <is>
          <t>Hooper睡</t>
        </is>
      </c>
      <c r="F184" s="6" t="inlineStr">
        <is>
          <t>Hooper压</t>
        </is>
      </c>
      <c r="G184" s="6" t="inlineStr">
        <is>
          <t>Hooper疲</t>
        </is>
      </c>
      <c r="H184" s="6" t="inlineStr">
        <is>
          <t>Hooper酸</t>
        </is>
      </c>
      <c r="I184" s="6" t="inlineStr">
        <is>
          <t>H总</t>
        </is>
      </c>
      <c r="J184" s="6" t="inlineStr">
        <is>
          <t>不适?</t>
        </is>
      </c>
      <c r="K184" s="6" t="inlineStr">
        <is>
          <t>说明</t>
        </is>
      </c>
      <c r="L184" s="6" t="inlineStr">
        <is>
          <t>CMJ1</t>
        </is>
      </c>
      <c r="M184" s="6" t="inlineStr">
        <is>
          <t>CMJ2</t>
        </is>
      </c>
      <c r="N184" s="6" t="inlineStr">
        <is>
          <t>CMJ3</t>
        </is>
      </c>
      <c r="O184" s="6" t="inlineStr">
        <is>
          <t>CMJμ</t>
        </is>
      </c>
      <c r="P184" s="6" t="inlineStr">
        <is>
          <t>&lt;95%</t>
        </is>
      </c>
      <c r="Q184" s="6" t="inlineStr">
        <is>
          <t>减组</t>
        </is>
      </c>
      <c r="R184" s="6" t="inlineStr">
        <is>
          <t>组数</t>
        </is>
      </c>
      <c r="S184" s="6" t="inlineStr">
        <is>
          <t>a(V0)</t>
        </is>
      </c>
      <c r="T184" s="6" t="inlineStr">
        <is>
          <t>b</t>
        </is>
      </c>
      <c r="U184" s="6" t="inlineStr">
        <is>
          <t>等级</t>
        </is>
      </c>
      <c r="V184" s="6" t="inlineStr">
        <is>
          <t>预测起始</t>
        </is>
      </c>
    </row>
    <row r="185">
      <c r="A185" s="7" t="inlineStr">
        <is>
          <t>P016</t>
        </is>
      </c>
      <c r="B185" s="7" t="inlineStr">
        <is>
          <t>杜遥</t>
        </is>
      </c>
      <c r="C185" s="7" t="n">
        <v>180</v>
      </c>
      <c r="D185" s="8" t="n">
        <v>135</v>
      </c>
      <c r="E185" s="9" t="n"/>
      <c r="F185" s="9" t="n"/>
      <c r="G185" s="9" t="n"/>
      <c r="H185" s="9" t="n"/>
      <c r="I185" s="7">
        <f>IFERROR(SUM(E185:H185),"")</f>
        <v/>
      </c>
      <c r="J185" s="9" t="n"/>
      <c r="K185" s="9" t="n"/>
      <c r="L185" s="9" t="n"/>
      <c r="M185" s="9" t="n"/>
      <c r="N185" s="9" t="n"/>
      <c r="O185" s="7">
        <f>IFERROR(AVERAGE(L185:N185),"")</f>
        <v/>
      </c>
      <c r="P185" s="7">
        <f>IF(O185="","",IF(O185&lt;49.75,"是⚠","否"))</f>
        <v/>
      </c>
      <c r="Q185" s="7">
        <f>IF(O185="","",IF(O185&lt;49.75,4-1,4))</f>
        <v/>
      </c>
      <c r="R185" s="7" t="n"/>
      <c r="S185" s="8" t="n">
        <v>1.54</v>
      </c>
      <c r="T185" s="8" t="n">
        <v>-0.008500000000000001</v>
      </c>
      <c r="U185" s="7" t="inlineStr">
        <is>
          <t>B</t>
        </is>
      </c>
      <c r="V185" s="8" t="n">
        <v>87.5</v>
      </c>
    </row>
    <row r="186">
      <c r="A186" s="10" t="inlineStr">
        <is>
          <t>热身校准</t>
        </is>
      </c>
      <c r="B186" s="10" t="inlineStr">
        <is>
          <t>a</t>
        </is>
      </c>
      <c r="C186" s="10" t="inlineStr">
        <is>
          <t>b</t>
        </is>
      </c>
      <c r="D186" s="10" t="inlineStr">
        <is>
          <t>50%热身</t>
        </is>
      </c>
      <c r="E186" s="10" t="inlineStr">
        <is>
          <t>70%热身</t>
        </is>
      </c>
      <c r="F186" s="10" t="inlineStr">
        <is>
          <t>热身负荷</t>
        </is>
      </c>
      <c r="G186" s="10" t="inlineStr">
        <is>
          <t>实测MCV</t>
        </is>
      </c>
      <c r="H186" s="10" t="inlineStr">
        <is>
          <t>预测MCV</t>
        </is>
      </c>
      <c r="I186" s="10" t="inlineStr">
        <is>
          <t>Δv</t>
        </is>
      </c>
      <c r="J186" s="10" t="inlineStr">
        <is>
          <t>调整量</t>
        </is>
      </c>
      <c r="K186" s="10" t="inlineStr">
        <is>
          <t>校准第1组</t>
        </is>
      </c>
    </row>
    <row r="187">
      <c r="A187" s="7" t="n"/>
      <c r="B187" s="11" t="n">
        <v>1.54</v>
      </c>
      <c r="C187" s="11" t="n">
        <v>-0.008500000000000001</v>
      </c>
      <c r="D187" s="11">
        <f>IFERROR(ROUND(V185*0.5/2.5,0)*2.5,"")</f>
        <v/>
      </c>
      <c r="E187" s="11" t="inlineStr"/>
      <c r="F187" s="11">
        <f>IFERROR(ROUND(V185*0.5/2.5,0)*2.5,"")</f>
        <v/>
      </c>
      <c r="G187" s="9" t="n"/>
      <c r="H187" s="11">
        <f>IFERROR(B187+C187*F187,"")</f>
        <v/>
      </c>
      <c r="I187" s="11">
        <f>IFERROR(G187-H187,"")</f>
        <v/>
      </c>
      <c r="J187" s="11">
        <f>IFERROR(IF(I187&gt;0.08,5,IF(I187&gt;0.04,2.5,IF(I187&gt;=-0.04,0,IF(I187&gt;=-0.08,-2.5,-5)))),"")</f>
        <v/>
      </c>
      <c r="K187" s="11">
        <f>IFERROR(ROUND(V185+J187,0),"")</f>
        <v/>
      </c>
    </row>
    <row r="188">
      <c r="A188" s="12" t="inlineStr">
        <is>
          <t>组</t>
        </is>
      </c>
      <c r="B188" s="12" t="inlineStr">
        <is>
          <t>负荷</t>
        </is>
      </c>
      <c r="C188" s="12" t="inlineStr">
        <is>
          <t>rep1</t>
        </is>
      </c>
      <c r="D188" s="12" t="inlineStr">
        <is>
          <t>rep2</t>
        </is>
      </c>
      <c r="E188" s="12" t="inlineStr">
        <is>
          <t>rep3</t>
        </is>
      </c>
      <c r="F188" s="12" t="inlineStr">
        <is>
          <t>rep4</t>
        </is>
      </c>
      <c r="G188" s="12" t="inlineStr">
        <is>
          <t>rep5</t>
        </is>
      </c>
      <c r="H188" s="12" t="inlineStr">
        <is>
          <t>rep6</t>
        </is>
      </c>
      <c r="I188" s="12" t="inlineStr">
        <is>
          <t>best</t>
        </is>
      </c>
      <c r="J188" s="12" t="inlineStr">
        <is>
          <t>best#</t>
        </is>
      </c>
      <c r="K188" s="12" t="inlineStr">
        <is>
          <t>VL%</t>
        </is>
      </c>
      <c r="L188" s="12" t="inlineStr">
        <is>
          <t>stop_th</t>
        </is>
      </c>
      <c r="M188" s="12" t="inlineStr">
        <is>
          <t>latest</t>
        </is>
      </c>
      <c r="N188" s="12" t="inlineStr">
        <is>
          <t>VL_flag</t>
        </is>
      </c>
      <c r="O188" s="12" t="inlineStr">
        <is>
          <t>safety</t>
        </is>
      </c>
      <c r="P188" s="12" t="inlineStr">
        <is>
          <t>原因</t>
        </is>
      </c>
      <c r="Q188" s="12" t="inlineStr">
        <is>
          <t>建议</t>
        </is>
      </c>
      <c r="R188" s="12" t="inlineStr">
        <is>
          <t>次数</t>
        </is>
      </c>
    </row>
    <row r="189">
      <c r="A189" s="7" t="n">
        <v>1</v>
      </c>
      <c r="B189" s="9">
        <f>IFERROR(K187,"")</f>
        <v/>
      </c>
      <c r="C189" s="9" t="n"/>
      <c r="D189" s="9" t="n"/>
      <c r="E189" s="9" t="n"/>
      <c r="F189" s="9" t="n"/>
      <c r="G189" s="9" t="n"/>
      <c r="H189" s="9" t="n"/>
      <c r="I189" s="7">
        <f>IFERROR(MAX(C189:H189),"")</f>
        <v/>
      </c>
      <c r="J189" s="7">
        <f>IFERROR(MATCH(I189,C189:H189,0),"")</f>
        <v/>
      </c>
      <c r="K189" s="7" t="n">
        <v>10</v>
      </c>
      <c r="L189" s="7">
        <f>IFERROR(I189*(1-(K189/100)),"")</f>
        <v/>
      </c>
      <c r="M189" s="7">
        <f>IFERROR(LOOKUP(9.99E+307,C189:H189),"")</f>
        <v/>
      </c>
      <c r="N189" s="7">
        <f>IFERROR(IF(M189="","",IF(M189&lt;=N189,"停组🛑","继续✓")),"")</f>
        <v/>
      </c>
      <c r="O189" s="7">
        <f>IFERROR(IF(M189="","",IF(M189&lt;0.15,"SAFETY_STOP","")),"")</f>
        <v/>
      </c>
      <c r="P189" s="7">
        <f>IFERROR(IF(M189="","",IF(M189&lt;0.15,"SAFETY_STOP",IF(M189&lt;=N189,"VL_THRESHOLD",""))),"")</f>
        <v/>
      </c>
      <c r="Q189" s="7">
        <f>IFERROR(IF(I189="","",IF(I189&gt;(0.8+0.05),"+5kg",IF(I189&gt;(0.8+0.02),"+2.5kg",IF(I189&gt;=(0.8-0.05),"保持",IF(I189&gt;=(0.8-0.08),"-2.5kg","-5kg"))))),"")</f>
        <v/>
      </c>
      <c r="R189" s="9" t="n"/>
    </row>
    <row r="190">
      <c r="A190" s="7" t="n">
        <v>2</v>
      </c>
      <c r="B190" s="9" t="n"/>
      <c r="C190" s="9" t="n"/>
      <c r="D190" s="9" t="n"/>
      <c r="E190" s="9" t="n"/>
      <c r="F190" s="9" t="n"/>
      <c r="G190" s="9" t="n"/>
      <c r="H190" s="9" t="n"/>
      <c r="I190" s="7">
        <f>IFERROR(MAX(C190:H190),"")</f>
        <v/>
      </c>
      <c r="J190" s="7">
        <f>IFERROR(MATCH(I190,C190:H190,0),"")</f>
        <v/>
      </c>
      <c r="K190" s="7" t="n">
        <v>10</v>
      </c>
      <c r="L190" s="7">
        <f>IFERROR(I190*(1-(K190/100)),"")</f>
        <v/>
      </c>
      <c r="M190" s="7">
        <f>IFERROR(LOOKUP(9.99E+307,C190:H190),"")</f>
        <v/>
      </c>
      <c r="N190" s="7">
        <f>IFERROR(IF(M190="","",IF(M190&lt;=N190,"停组🛑","继续✓")),"")</f>
        <v/>
      </c>
      <c r="O190" s="7">
        <f>IFERROR(IF(M190="","",IF(M190&lt;0.15,"SAFETY_STOP","")),"")</f>
        <v/>
      </c>
      <c r="P190" s="7">
        <f>IFERROR(IF(M190="","",IF(M190&lt;0.15,"SAFETY_STOP",IF(M190&lt;=N190,"VL_THRESHOLD",""))),"")</f>
        <v/>
      </c>
      <c r="Q190" s="7">
        <f>IFERROR(IF(I190="","",IF(I190&gt;(0.8+0.05),"+5kg",IF(I190&gt;(0.8+0.02),"+2.5kg",IF(I190&gt;=(0.8-0.05),"保持",IF(I190&gt;=(0.8-0.08),"-2.5kg","-5kg"))))),"")</f>
        <v/>
      </c>
      <c r="R190" s="9" t="n"/>
    </row>
    <row r="191">
      <c r="A191" s="7" t="n">
        <v>3</v>
      </c>
      <c r="B191" s="9" t="n"/>
      <c r="C191" s="9" t="n"/>
      <c r="D191" s="9" t="n"/>
      <c r="E191" s="9" t="n"/>
      <c r="F191" s="9" t="n"/>
      <c r="G191" s="9" t="n"/>
      <c r="H191" s="9" t="n"/>
      <c r="I191" s="7">
        <f>IFERROR(MAX(C191:H191),"")</f>
        <v/>
      </c>
      <c r="J191" s="7">
        <f>IFERROR(MATCH(I191,C191:H191,0),"")</f>
        <v/>
      </c>
      <c r="K191" s="7" t="n">
        <v>10</v>
      </c>
      <c r="L191" s="7">
        <f>IFERROR(I191*(1-(K191/100)),"")</f>
        <v/>
      </c>
      <c r="M191" s="7">
        <f>IFERROR(LOOKUP(9.99E+307,C191:H191),"")</f>
        <v/>
      </c>
      <c r="N191" s="7">
        <f>IFERROR(IF(M191="","",IF(M191&lt;=N191,"停组🛑","继续✓")),"")</f>
        <v/>
      </c>
      <c r="O191" s="7">
        <f>IFERROR(IF(M191="","",IF(M191&lt;0.15,"SAFETY_STOP","")),"")</f>
        <v/>
      </c>
      <c r="P191" s="7">
        <f>IFERROR(IF(M191="","",IF(M191&lt;0.15,"SAFETY_STOP",IF(M191&lt;=N191,"VL_THRESHOLD",""))),"")</f>
        <v/>
      </c>
      <c r="Q191" s="7">
        <f>IFERROR(IF(I191="","",IF(I191&gt;(0.8+0.05),"+5kg",IF(I191&gt;(0.8+0.02),"+2.5kg",IF(I191&gt;=(0.8-0.05),"保持",IF(I191&gt;=(0.8-0.08),"-2.5kg","-5kg"))))),"")</f>
        <v/>
      </c>
      <c r="R191" s="9" t="n"/>
    </row>
    <row r="192">
      <c r="A192" s="7" t="n">
        <v>4</v>
      </c>
      <c r="B192" s="9" t="n"/>
      <c r="C192" s="9" t="n"/>
      <c r="D192" s="9" t="n"/>
      <c r="E192" s="9" t="n"/>
      <c r="F192" s="9" t="n"/>
      <c r="G192" s="9" t="n"/>
      <c r="H192" s="9" t="n"/>
      <c r="I192" s="7">
        <f>IFERROR(MAX(C192:H192),"")</f>
        <v/>
      </c>
      <c r="J192" s="7">
        <f>IFERROR(MATCH(I192,C192:H192,0),"")</f>
        <v/>
      </c>
      <c r="K192" s="7" t="n">
        <v>10</v>
      </c>
      <c r="L192" s="7">
        <f>IFERROR(I192*(1-(K192/100)),"")</f>
        <v/>
      </c>
      <c r="M192" s="7">
        <f>IFERROR(LOOKUP(9.99E+307,C192:H192),"")</f>
        <v/>
      </c>
      <c r="N192" s="7">
        <f>IFERROR(IF(M192="","",IF(M192&lt;=N192,"停组🛑","继续✓")),"")</f>
        <v/>
      </c>
      <c r="O192" s="7">
        <f>IFERROR(IF(M192="","",IF(M192&lt;0.15,"SAFETY_STOP","")),"")</f>
        <v/>
      </c>
      <c r="P192" s="7">
        <f>IFERROR(IF(M192="","",IF(M192&lt;0.15,"SAFETY_STOP",IF(M192&lt;=N192,"VL_THRESHOLD",""))),"")</f>
        <v/>
      </c>
      <c r="Q192" s="7">
        <f>IFERROR(IF(I192="","",IF(I192&gt;(0.8+0.05),"+5kg",IF(I192&gt;(0.8+0.02),"+2.5kg",IF(I192&gt;=(0.8-0.05),"保持",IF(I192&gt;=(0.8-0.08),"-2.5kg","-5kg"))))),"")</f>
        <v/>
      </c>
      <c r="R192" s="9" t="n"/>
    </row>
    <row r="193">
      <c r="A193" s="7" t="n">
        <v>5</v>
      </c>
      <c r="B193" s="9" t="n"/>
      <c r="C193" s="9" t="n"/>
      <c r="D193" s="9" t="n"/>
      <c r="E193" s="9" t="n"/>
      <c r="F193" s="9" t="n"/>
      <c r="G193" s="9" t="n"/>
      <c r="H193" s="9" t="n"/>
      <c r="I193" s="7">
        <f>IFERROR(MAX(C193:H193),"")</f>
        <v/>
      </c>
      <c r="J193" s="7">
        <f>IFERROR(MATCH(I193,C193:H193,0),"")</f>
        <v/>
      </c>
      <c r="K193" s="7" t="n">
        <v>10</v>
      </c>
      <c r="L193" s="7">
        <f>IFERROR(I193*(1-(K193/100)),"")</f>
        <v/>
      </c>
      <c r="M193" s="7">
        <f>IFERROR(LOOKUP(9.99E+307,C193:H193),"")</f>
        <v/>
      </c>
      <c r="N193" s="7">
        <f>IFERROR(IF(M193="","",IF(M193&lt;=N193,"停组🛑","继续✓")),"")</f>
        <v/>
      </c>
      <c r="O193" s="7">
        <f>IFERROR(IF(M193="","",IF(M193&lt;0.15,"SAFETY_STOP","")),"")</f>
        <v/>
      </c>
      <c r="P193" s="7">
        <f>IFERROR(IF(M193="","",IF(M193&lt;0.15,"SAFETY_STOP",IF(M193&lt;=N193,"VL_THRESHOLD",""))),"")</f>
        <v/>
      </c>
      <c r="Q193" s="7">
        <f>IFERROR(IF(I193="","",IF(I193&gt;(0.8+0.05),"+5kg",IF(I193&gt;(0.8+0.02),"+2.5kg",IF(I193&gt;=(0.8-0.05),"保持",IF(I193&gt;=(0.8-0.08),"-2.5kg","-5kg"))))),"")</f>
        <v/>
      </c>
      <c r="R193" s="9" t="n"/>
    </row>
    <row r="194">
      <c r="A194" s="7" t="n">
        <v>6</v>
      </c>
      <c r="B194" s="9" t="n"/>
      <c r="C194" s="9" t="n"/>
      <c r="D194" s="9" t="n"/>
      <c r="E194" s="9" t="n"/>
      <c r="F194" s="9" t="n"/>
      <c r="G194" s="9" t="n"/>
      <c r="H194" s="9" t="n"/>
      <c r="I194" s="7">
        <f>IFERROR(MAX(C194:H194),"")</f>
        <v/>
      </c>
      <c r="J194" s="7">
        <f>IFERROR(MATCH(I194,C194:H194,0),"")</f>
        <v/>
      </c>
      <c r="K194" s="7" t="n">
        <v>10</v>
      </c>
      <c r="L194" s="7">
        <f>IFERROR(I194*(1-(K194/100)),"")</f>
        <v/>
      </c>
      <c r="M194" s="7">
        <f>IFERROR(LOOKUP(9.99E+307,C194:H194),"")</f>
        <v/>
      </c>
      <c r="N194" s="7">
        <f>IFERROR(IF(M194="","",IF(M194&lt;=N194,"停组🛑","继续✓")),"")</f>
        <v/>
      </c>
      <c r="O194" s="7">
        <f>IFERROR(IF(M194="","",IF(M194&lt;0.15,"SAFETY_STOP","")),"")</f>
        <v/>
      </c>
      <c r="P194" s="7">
        <f>IFERROR(IF(M194="","",IF(M194&lt;0.15,"SAFETY_STOP",IF(M194&lt;=N194,"VL_THRESHOLD",""))),"")</f>
        <v/>
      </c>
      <c r="Q194" s="7">
        <f>IFERROR(IF(I194="","",IF(I194&gt;(0.8+0.05),"+5kg",IF(I194&gt;(0.8+0.02),"+2.5kg",IF(I194&gt;=(0.8-0.05),"保持",IF(I194&gt;=(0.8-0.08),"-2.5kg","-5kg"))))),"")</f>
        <v/>
      </c>
      <c r="R194" s="9" t="n"/>
    </row>
    <row r="195">
      <c r="A195" s="13" t="inlineStr">
        <is>
          <t>辅助</t>
        </is>
      </c>
      <c r="D195" s="14" t="inlineStr">
        <is>
          <t>保加利亚单腿蹲</t>
        </is>
      </c>
      <c r="E195" s="14" t="inlineStr">
        <is>
          <t>负荷</t>
        </is>
      </c>
      <c r="F195" s="14" t="inlineStr">
        <is>
          <t>完成</t>
        </is>
      </c>
      <c r="I195" t="inlineStr">
        <is>
          <t>VL</t>
        </is>
      </c>
    </row>
    <row r="196">
      <c r="A196" s="15" t="inlineStr">
        <is>
          <t>训练后</t>
        </is>
      </c>
      <c r="B196" s="15" t="inlineStr">
        <is>
          <t>开始</t>
        </is>
      </c>
      <c r="C196" s="15" t="inlineStr">
        <is>
          <t>结束</t>
        </is>
      </c>
      <c r="D196" s="15" t="inlineStr">
        <is>
          <t>时长min</t>
        </is>
      </c>
      <c r="E196" s="15" t="inlineStr">
        <is>
          <t>sRPE</t>
        </is>
      </c>
      <c r="F196" s="15" t="inlineStr">
        <is>
          <t>load</t>
        </is>
      </c>
      <c r="G196" s="15" t="inlineStr">
        <is>
          <t>不适?</t>
        </is>
      </c>
      <c r="H196" s="15" t="inlineStr">
        <is>
          <t>备注</t>
        </is>
      </c>
      <c r="I196" s="15" t="inlineStr">
        <is>
          <t>签名</t>
        </is>
      </c>
    </row>
    <row r="197">
      <c r="A197" s="7" t="n"/>
      <c r="B197" s="9" t="n"/>
      <c r="C197" s="9" t="n"/>
      <c r="D197" s="11">
        <f>IFERROR((C197-B197)*1440,"")</f>
        <v/>
      </c>
      <c r="E197" s="9" t="n"/>
      <c r="F197" s="11">
        <f>IFERROR(E197*D197,"")</f>
        <v/>
      </c>
      <c r="G197" s="9" t="n"/>
      <c r="H197" s="9" t="n"/>
      <c r="I197" s="9" t="n"/>
    </row>
    <row r="198">
      <c r="A198" s="16" t="inlineStr">
        <is>
          <t>跳跃</t>
        </is>
      </c>
      <c r="B198" s="16" t="inlineStr">
        <is>
          <t>类型</t>
        </is>
      </c>
      <c r="C198" s="16" t="inlineStr">
        <is>
          <t>组×次</t>
        </is>
      </c>
      <c r="D198" s="16" t="inlineStr">
        <is>
          <t>负荷kg</t>
        </is>
      </c>
      <c r="E198" s="16" t="inlineStr">
        <is>
          <t>接触</t>
        </is>
      </c>
    </row>
    <row r="199">
      <c r="B199" t="inlineStr">
        <is>
          <t>SJ</t>
        </is>
      </c>
      <c r="C199" t="inlineStr">
        <is>
          <t>3×3</t>
        </is>
      </c>
      <c r="D199" t="n">
        <v>0</v>
      </c>
      <c r="E199" t="n">
        <v>9</v>
      </c>
    </row>
    <row r="200">
      <c r="B200" t="inlineStr">
        <is>
          <t>负重跳</t>
        </is>
      </c>
      <c r="C200" t="inlineStr">
        <is>
          <t>3×4</t>
        </is>
      </c>
      <c r="D200" s="14" t="n"/>
      <c r="E200" s="14" t="n"/>
    </row>
    <row r="201">
      <c r="A201" s="17" t="inlineStr">
        <is>
          <t>▶ 暴露量汇总</t>
        </is>
      </c>
      <c r="B201" s="17" t="inlineStr">
        <is>
          <t>说明</t>
        </is>
      </c>
      <c r="C201" s="17" t="inlineStr">
        <is>
          <t>公式/来源</t>
        </is>
      </c>
      <c r="D201" s="17" t="inlineStr">
        <is>
          <t>数值</t>
        </is>
      </c>
    </row>
    <row r="202">
      <c r="A202" s="18" t="inlineStr">
        <is>
          <t>① 无负荷跳跃接触</t>
        </is>
      </c>
      <c r="B202" s="18" t="inlineStr">
        <is>
          <t>CMJ+SJ+箱跳</t>
        </is>
      </c>
      <c r="C202" s="19">
        <f>IFERROR(E199+E200,2)</f>
        <v/>
      </c>
    </row>
    <row r="203">
      <c r="A203" s="18" t="inlineStr">
        <is>
          <t>② 负重跳跃接触</t>
        </is>
      </c>
      <c r="B203" s="18" t="inlineStr">
        <is>
          <t>负重深蹲跳</t>
        </is>
      </c>
      <c r="C203" s="19">
        <f>IFERROR(E200,"")</f>
        <v/>
      </c>
    </row>
    <row r="204">
      <c r="A204" s="18" t="inlineStr">
        <is>
          <t>③ 跳跃总计</t>
        </is>
      </c>
      <c r="B204" s="18" t="inlineStr">
        <is>
          <t>①+②</t>
        </is>
      </c>
      <c r="C204" s="19">
        <f>IFERROR(B202+B203,"")</f>
        <v/>
      </c>
    </row>
    <row r="205">
      <c r="A205" s="18" t="inlineStr">
        <is>
          <t>④ 热身VL</t>
        </is>
      </c>
      <c r="B205" s="18" t="inlineStr">
        <is>
          <t>20×5+50%×3(+70%×2)</t>
        </is>
      </c>
      <c r="C205" s="19">
        <f>IFERROR(20*5+ROUND(V185*0.5,0)*3,"-")</f>
        <v/>
      </c>
    </row>
    <row r="206">
      <c r="A206" s="20" t="inlineStr">
        <is>
          <t>⑤ 主项工作组VL ★</t>
        </is>
      </c>
      <c r="B206" s="20" t="inlineStr">
        <is>
          <t>Σ(负荷×次数)</t>
        </is>
      </c>
      <c r="C206" s="21">
        <f>SUMPRODUCT($B$189:$B$194,$R$189:$R$194)</f>
        <v/>
      </c>
    </row>
    <row r="207">
      <c r="A207" s="18" t="inlineStr">
        <is>
          <t>⑥ 主项总VL</t>
        </is>
      </c>
      <c r="B207" s="18" t="inlineStr">
        <is>
          <t>④+⑤</t>
        </is>
      </c>
      <c r="C207" s="19">
        <f>IFERROR(D202+D203,"")</f>
        <v/>
      </c>
    </row>
    <row r="208">
      <c r="A208" s="18" t="inlineStr">
        <is>
          <t>⑦ 辅助VL</t>
        </is>
      </c>
      <c r="B208" s="18" t="inlineStr">
        <is>
          <t>RDL/保加利亚</t>
        </is>
      </c>
      <c r="C208" s="19">
        <f>IFERROR(I195,"")</f>
        <v/>
      </c>
    </row>
    <row r="209">
      <c r="A209" s="18" t="inlineStr">
        <is>
          <t>⑧ 总外部负荷</t>
        </is>
      </c>
      <c r="B209" s="18" t="inlineStr">
        <is>
          <t>⑥+⑦(+负重跳)</t>
        </is>
      </c>
      <c r="C209" s="19">
        <f>IFERROR(F202+G202,"")</f>
        <v/>
      </c>
    </row>
    <row r="210">
      <c r="A210" s="18" t="inlineStr">
        <is>
          <t>⑨ sRPE load</t>
        </is>
      </c>
      <c r="B210" s="18" t="inlineStr">
        <is>
          <t>sRPE×时长</t>
        </is>
      </c>
      <c r="C210" s="19">
        <f>IFERROR(F197,"")</f>
        <v/>
      </c>
    </row>
    <row r="213">
      <c r="A213" s="5" t="inlineStr">
        <is>
          <t>P025 范芳忠  a=1.77 b=-0.0105 1RM=135</t>
        </is>
      </c>
    </row>
    <row r="214">
      <c r="A214" s="6" t="inlineStr">
        <is>
          <t>编号</t>
        </is>
      </c>
      <c r="B214" s="6" t="inlineStr">
        <is>
          <t>姓名</t>
        </is>
      </c>
      <c r="C214" s="6" t="inlineStr">
        <is>
          <t>身高</t>
        </is>
      </c>
      <c r="D214" s="6" t="inlineStr">
        <is>
          <t>1RM</t>
        </is>
      </c>
      <c r="E214" s="6" t="inlineStr">
        <is>
          <t>Hooper睡</t>
        </is>
      </c>
      <c r="F214" s="6" t="inlineStr">
        <is>
          <t>Hooper压</t>
        </is>
      </c>
      <c r="G214" s="6" t="inlineStr">
        <is>
          <t>Hooper疲</t>
        </is>
      </c>
      <c r="H214" s="6" t="inlineStr">
        <is>
          <t>Hooper酸</t>
        </is>
      </c>
      <c r="I214" s="6" t="inlineStr">
        <is>
          <t>H总</t>
        </is>
      </c>
      <c r="J214" s="6" t="inlineStr">
        <is>
          <t>不适?</t>
        </is>
      </c>
      <c r="K214" s="6" t="inlineStr">
        <is>
          <t>说明</t>
        </is>
      </c>
      <c r="L214" s="6" t="inlineStr">
        <is>
          <t>CMJ1</t>
        </is>
      </c>
      <c r="M214" s="6" t="inlineStr">
        <is>
          <t>CMJ2</t>
        </is>
      </c>
      <c r="N214" s="6" t="inlineStr">
        <is>
          <t>CMJ3</t>
        </is>
      </c>
      <c r="O214" s="6" t="inlineStr">
        <is>
          <t>CMJμ</t>
        </is>
      </c>
      <c r="P214" s="6" t="inlineStr">
        <is>
          <t>&lt;95%</t>
        </is>
      </c>
      <c r="Q214" s="6" t="inlineStr">
        <is>
          <t>减组</t>
        </is>
      </c>
      <c r="R214" s="6" t="inlineStr">
        <is>
          <t>组数</t>
        </is>
      </c>
      <c r="S214" s="6" t="inlineStr">
        <is>
          <t>a(V0)</t>
        </is>
      </c>
      <c r="T214" s="6" t="inlineStr">
        <is>
          <t>b</t>
        </is>
      </c>
      <c r="U214" s="6" t="inlineStr">
        <is>
          <t>等级</t>
        </is>
      </c>
      <c r="V214" s="6" t="inlineStr">
        <is>
          <t>预测起始</t>
        </is>
      </c>
    </row>
    <row r="215">
      <c r="A215" s="7" t="inlineStr">
        <is>
          <t>P025</t>
        </is>
      </c>
      <c r="B215" s="7" t="inlineStr">
        <is>
          <t>范芳忠</t>
        </is>
      </c>
      <c r="C215" s="7" t="n">
        <v>178</v>
      </c>
      <c r="D215" s="8" t="n">
        <v>135</v>
      </c>
      <c r="E215" s="9" t="n"/>
      <c r="F215" s="9" t="n"/>
      <c r="G215" s="9" t="n"/>
      <c r="H215" s="9" t="n"/>
      <c r="I215" s="7">
        <f>IFERROR(SUM(E215:H215),"")</f>
        <v/>
      </c>
      <c r="J215" s="9" t="n"/>
      <c r="K215" s="9" t="n"/>
      <c r="L215" s="9" t="n"/>
      <c r="M215" s="9" t="n"/>
      <c r="N215" s="9" t="n"/>
      <c r="O215" s="7">
        <f>IFERROR(AVERAGE(L215:N215),"")</f>
        <v/>
      </c>
      <c r="P215" s="7">
        <f>IF(O215="","",IF(O215&lt;58.43,"是⚠","否"))</f>
        <v/>
      </c>
      <c r="Q215" s="7">
        <f>IF(O215="","",IF(O215&lt;58.43,4-1,4))</f>
        <v/>
      </c>
      <c r="R215" s="7" t="n"/>
      <c r="S215" s="8" t="n">
        <v>1.77</v>
      </c>
      <c r="T215" s="8" t="n">
        <v>-0.0105</v>
      </c>
      <c r="U215" s="7" t="inlineStr">
        <is>
          <t>A</t>
        </is>
      </c>
      <c r="V215" s="8" t="n">
        <v>92.5</v>
      </c>
    </row>
    <row r="216">
      <c r="A216" s="10" t="inlineStr">
        <is>
          <t>热身校准</t>
        </is>
      </c>
      <c r="B216" s="10" t="inlineStr">
        <is>
          <t>a</t>
        </is>
      </c>
      <c r="C216" s="10" t="inlineStr">
        <is>
          <t>b</t>
        </is>
      </c>
      <c r="D216" s="10" t="inlineStr">
        <is>
          <t>50%热身</t>
        </is>
      </c>
      <c r="E216" s="10" t="inlineStr">
        <is>
          <t>70%热身</t>
        </is>
      </c>
      <c r="F216" s="10" t="inlineStr">
        <is>
          <t>热身负荷</t>
        </is>
      </c>
      <c r="G216" s="10" t="inlineStr">
        <is>
          <t>实测MCV</t>
        </is>
      </c>
      <c r="H216" s="10" t="inlineStr">
        <is>
          <t>预测MCV</t>
        </is>
      </c>
      <c r="I216" s="10" t="inlineStr">
        <is>
          <t>Δv</t>
        </is>
      </c>
      <c r="J216" s="10" t="inlineStr">
        <is>
          <t>调整量</t>
        </is>
      </c>
      <c r="K216" s="10" t="inlineStr">
        <is>
          <t>校准第1组</t>
        </is>
      </c>
    </row>
    <row r="217">
      <c r="A217" s="7" t="n"/>
      <c r="B217" s="11" t="n">
        <v>1.77</v>
      </c>
      <c r="C217" s="11" t="n">
        <v>-0.0105</v>
      </c>
      <c r="D217" s="11">
        <f>IFERROR(ROUND(V215*0.5/2.5,0)*2.5,"")</f>
        <v/>
      </c>
      <c r="E217" s="11" t="inlineStr"/>
      <c r="F217" s="11">
        <f>IFERROR(ROUND(V215*0.5/2.5,0)*2.5,"")</f>
        <v/>
      </c>
      <c r="G217" s="9" t="n"/>
      <c r="H217" s="11">
        <f>IFERROR(B217+C217*F217,"")</f>
        <v/>
      </c>
      <c r="I217" s="11">
        <f>IFERROR(G217-H217,"")</f>
        <v/>
      </c>
      <c r="J217" s="11">
        <f>IFERROR(IF(I217&gt;0.08,5,IF(I217&gt;0.04,2.5,IF(I217&gt;=-0.04,0,IF(I217&gt;=-0.08,-2.5,-5)))),"")</f>
        <v/>
      </c>
      <c r="K217" s="11">
        <f>IFERROR(ROUND(V215+J217,0),"")</f>
        <v/>
      </c>
    </row>
    <row r="218">
      <c r="A218" s="12" t="inlineStr">
        <is>
          <t>组</t>
        </is>
      </c>
      <c r="B218" s="12" t="inlineStr">
        <is>
          <t>负荷</t>
        </is>
      </c>
      <c r="C218" s="12" t="inlineStr">
        <is>
          <t>rep1</t>
        </is>
      </c>
      <c r="D218" s="12" t="inlineStr">
        <is>
          <t>rep2</t>
        </is>
      </c>
      <c r="E218" s="12" t="inlineStr">
        <is>
          <t>rep3</t>
        </is>
      </c>
      <c r="F218" s="12" t="inlineStr">
        <is>
          <t>rep4</t>
        </is>
      </c>
      <c r="G218" s="12" t="inlineStr">
        <is>
          <t>rep5</t>
        </is>
      </c>
      <c r="H218" s="12" t="inlineStr">
        <is>
          <t>rep6</t>
        </is>
      </c>
      <c r="I218" s="12" t="inlineStr">
        <is>
          <t>best</t>
        </is>
      </c>
      <c r="J218" s="12" t="inlineStr">
        <is>
          <t>best#</t>
        </is>
      </c>
      <c r="K218" s="12" t="inlineStr">
        <is>
          <t>VL%</t>
        </is>
      </c>
      <c r="L218" s="12" t="inlineStr">
        <is>
          <t>stop_th</t>
        </is>
      </c>
      <c r="M218" s="12" t="inlineStr">
        <is>
          <t>latest</t>
        </is>
      </c>
      <c r="N218" s="12" t="inlineStr">
        <is>
          <t>VL_flag</t>
        </is>
      </c>
      <c r="O218" s="12" t="inlineStr">
        <is>
          <t>safety</t>
        </is>
      </c>
      <c r="P218" s="12" t="inlineStr">
        <is>
          <t>原因</t>
        </is>
      </c>
      <c r="Q218" s="12" t="inlineStr">
        <is>
          <t>建议</t>
        </is>
      </c>
      <c r="R218" s="12" t="inlineStr">
        <is>
          <t>次数</t>
        </is>
      </c>
    </row>
    <row r="219">
      <c r="A219" s="7" t="n">
        <v>1</v>
      </c>
      <c r="B219" s="9">
        <f>IFERROR(K217,"")</f>
        <v/>
      </c>
      <c r="C219" s="9" t="n"/>
      <c r="D219" s="9" t="n"/>
      <c r="E219" s="9" t="n"/>
      <c r="F219" s="9" t="n"/>
      <c r="G219" s="9" t="n"/>
      <c r="H219" s="9" t="n"/>
      <c r="I219" s="7">
        <f>IFERROR(MAX(C219:H219),"")</f>
        <v/>
      </c>
      <c r="J219" s="7">
        <f>IFERROR(MATCH(I219,C219:H219,0),"")</f>
        <v/>
      </c>
      <c r="K219" s="7" t="n">
        <v>10</v>
      </c>
      <c r="L219" s="7">
        <f>IFERROR(I219*(1-(K219/100)),"")</f>
        <v/>
      </c>
      <c r="M219" s="7">
        <f>IFERROR(LOOKUP(9.99E+307,C219:H219),"")</f>
        <v/>
      </c>
      <c r="N219" s="7">
        <f>IFERROR(IF(M219="","",IF(M219&lt;=N219,"停组🛑","继续✓")),"")</f>
        <v/>
      </c>
      <c r="O219" s="7">
        <f>IFERROR(IF(M219="","",IF(M219&lt;0.15,"SAFETY_STOP","")),"")</f>
        <v/>
      </c>
      <c r="P219" s="7">
        <f>IFERROR(IF(M219="","",IF(M219&lt;0.15,"SAFETY_STOP",IF(M219&lt;=N219,"VL_THRESHOLD",""))),"")</f>
        <v/>
      </c>
      <c r="Q219" s="7">
        <f>IFERROR(IF(I219="","",IF(I219&gt;(0.8+0.05),"+5kg",IF(I219&gt;(0.8+0.02),"+2.5kg",IF(I219&gt;=(0.8-0.05),"保持",IF(I219&gt;=(0.8-0.08),"-2.5kg","-5kg"))))),"")</f>
        <v/>
      </c>
      <c r="R219" s="9" t="n"/>
    </row>
    <row r="220">
      <c r="A220" s="7" t="n">
        <v>2</v>
      </c>
      <c r="B220" s="9" t="n"/>
      <c r="C220" s="9" t="n"/>
      <c r="D220" s="9" t="n"/>
      <c r="E220" s="9" t="n"/>
      <c r="F220" s="9" t="n"/>
      <c r="G220" s="9" t="n"/>
      <c r="H220" s="9" t="n"/>
      <c r="I220" s="7">
        <f>IFERROR(MAX(C220:H220),"")</f>
        <v/>
      </c>
      <c r="J220" s="7">
        <f>IFERROR(MATCH(I220,C220:H220,0),"")</f>
        <v/>
      </c>
      <c r="K220" s="7" t="n">
        <v>10</v>
      </c>
      <c r="L220" s="7">
        <f>IFERROR(I220*(1-(K220/100)),"")</f>
        <v/>
      </c>
      <c r="M220" s="7">
        <f>IFERROR(LOOKUP(9.99E+307,C220:H220),"")</f>
        <v/>
      </c>
      <c r="N220" s="7">
        <f>IFERROR(IF(M220="","",IF(M220&lt;=N220,"停组🛑","继续✓")),"")</f>
        <v/>
      </c>
      <c r="O220" s="7">
        <f>IFERROR(IF(M220="","",IF(M220&lt;0.15,"SAFETY_STOP","")),"")</f>
        <v/>
      </c>
      <c r="P220" s="7">
        <f>IFERROR(IF(M220="","",IF(M220&lt;0.15,"SAFETY_STOP",IF(M220&lt;=N220,"VL_THRESHOLD",""))),"")</f>
        <v/>
      </c>
      <c r="Q220" s="7">
        <f>IFERROR(IF(I220="","",IF(I220&gt;(0.8+0.05),"+5kg",IF(I220&gt;(0.8+0.02),"+2.5kg",IF(I220&gt;=(0.8-0.05),"保持",IF(I220&gt;=(0.8-0.08),"-2.5kg","-5kg"))))),"")</f>
        <v/>
      </c>
      <c r="R220" s="9" t="n"/>
    </row>
    <row r="221">
      <c r="A221" s="7" t="n">
        <v>3</v>
      </c>
      <c r="B221" s="9" t="n"/>
      <c r="C221" s="9" t="n"/>
      <c r="D221" s="9" t="n"/>
      <c r="E221" s="9" t="n"/>
      <c r="F221" s="9" t="n"/>
      <c r="G221" s="9" t="n"/>
      <c r="H221" s="9" t="n"/>
      <c r="I221" s="7">
        <f>IFERROR(MAX(C221:H221),"")</f>
        <v/>
      </c>
      <c r="J221" s="7">
        <f>IFERROR(MATCH(I221,C221:H221,0),"")</f>
        <v/>
      </c>
      <c r="K221" s="7" t="n">
        <v>10</v>
      </c>
      <c r="L221" s="7">
        <f>IFERROR(I221*(1-(K221/100)),"")</f>
        <v/>
      </c>
      <c r="M221" s="7">
        <f>IFERROR(LOOKUP(9.99E+307,C221:H221),"")</f>
        <v/>
      </c>
      <c r="N221" s="7">
        <f>IFERROR(IF(M221="","",IF(M221&lt;=N221,"停组🛑","继续✓")),"")</f>
        <v/>
      </c>
      <c r="O221" s="7">
        <f>IFERROR(IF(M221="","",IF(M221&lt;0.15,"SAFETY_STOP","")),"")</f>
        <v/>
      </c>
      <c r="P221" s="7">
        <f>IFERROR(IF(M221="","",IF(M221&lt;0.15,"SAFETY_STOP",IF(M221&lt;=N221,"VL_THRESHOLD",""))),"")</f>
        <v/>
      </c>
      <c r="Q221" s="7">
        <f>IFERROR(IF(I221="","",IF(I221&gt;(0.8+0.05),"+5kg",IF(I221&gt;(0.8+0.02),"+2.5kg",IF(I221&gt;=(0.8-0.05),"保持",IF(I221&gt;=(0.8-0.08),"-2.5kg","-5kg"))))),"")</f>
        <v/>
      </c>
      <c r="R221" s="9" t="n"/>
    </row>
    <row r="222">
      <c r="A222" s="7" t="n">
        <v>4</v>
      </c>
      <c r="B222" s="9" t="n"/>
      <c r="C222" s="9" t="n"/>
      <c r="D222" s="9" t="n"/>
      <c r="E222" s="9" t="n"/>
      <c r="F222" s="9" t="n"/>
      <c r="G222" s="9" t="n"/>
      <c r="H222" s="9" t="n"/>
      <c r="I222" s="7">
        <f>IFERROR(MAX(C222:H222),"")</f>
        <v/>
      </c>
      <c r="J222" s="7">
        <f>IFERROR(MATCH(I222,C222:H222,0),"")</f>
        <v/>
      </c>
      <c r="K222" s="7" t="n">
        <v>10</v>
      </c>
      <c r="L222" s="7">
        <f>IFERROR(I222*(1-(K222/100)),"")</f>
        <v/>
      </c>
      <c r="M222" s="7">
        <f>IFERROR(LOOKUP(9.99E+307,C222:H222),"")</f>
        <v/>
      </c>
      <c r="N222" s="7">
        <f>IFERROR(IF(M222="","",IF(M222&lt;=N222,"停组🛑","继续✓")),"")</f>
        <v/>
      </c>
      <c r="O222" s="7">
        <f>IFERROR(IF(M222="","",IF(M222&lt;0.15,"SAFETY_STOP","")),"")</f>
        <v/>
      </c>
      <c r="P222" s="7">
        <f>IFERROR(IF(M222="","",IF(M222&lt;0.15,"SAFETY_STOP",IF(M222&lt;=N222,"VL_THRESHOLD",""))),"")</f>
        <v/>
      </c>
      <c r="Q222" s="7">
        <f>IFERROR(IF(I222="","",IF(I222&gt;(0.8+0.05),"+5kg",IF(I222&gt;(0.8+0.02),"+2.5kg",IF(I222&gt;=(0.8-0.05),"保持",IF(I222&gt;=(0.8-0.08),"-2.5kg","-5kg"))))),"")</f>
        <v/>
      </c>
      <c r="R222" s="9" t="n"/>
    </row>
    <row r="223">
      <c r="A223" s="7" t="n">
        <v>5</v>
      </c>
      <c r="B223" s="9" t="n"/>
      <c r="C223" s="9" t="n"/>
      <c r="D223" s="9" t="n"/>
      <c r="E223" s="9" t="n"/>
      <c r="F223" s="9" t="n"/>
      <c r="G223" s="9" t="n"/>
      <c r="H223" s="9" t="n"/>
      <c r="I223" s="7">
        <f>IFERROR(MAX(C223:H223),"")</f>
        <v/>
      </c>
      <c r="J223" s="7">
        <f>IFERROR(MATCH(I223,C223:H223,0),"")</f>
        <v/>
      </c>
      <c r="K223" s="7" t="n">
        <v>10</v>
      </c>
      <c r="L223" s="7">
        <f>IFERROR(I223*(1-(K223/100)),"")</f>
        <v/>
      </c>
      <c r="M223" s="7">
        <f>IFERROR(LOOKUP(9.99E+307,C223:H223),"")</f>
        <v/>
      </c>
      <c r="N223" s="7">
        <f>IFERROR(IF(M223="","",IF(M223&lt;=N223,"停组🛑","继续✓")),"")</f>
        <v/>
      </c>
      <c r="O223" s="7">
        <f>IFERROR(IF(M223="","",IF(M223&lt;0.15,"SAFETY_STOP","")),"")</f>
        <v/>
      </c>
      <c r="P223" s="7">
        <f>IFERROR(IF(M223="","",IF(M223&lt;0.15,"SAFETY_STOP",IF(M223&lt;=N223,"VL_THRESHOLD",""))),"")</f>
        <v/>
      </c>
      <c r="Q223" s="7">
        <f>IFERROR(IF(I223="","",IF(I223&gt;(0.8+0.05),"+5kg",IF(I223&gt;(0.8+0.02),"+2.5kg",IF(I223&gt;=(0.8-0.05),"保持",IF(I223&gt;=(0.8-0.08),"-2.5kg","-5kg"))))),"")</f>
        <v/>
      </c>
      <c r="R223" s="9" t="n"/>
    </row>
    <row r="224">
      <c r="A224" s="7" t="n">
        <v>6</v>
      </c>
      <c r="B224" s="9" t="n"/>
      <c r="C224" s="9" t="n"/>
      <c r="D224" s="9" t="n"/>
      <c r="E224" s="9" t="n"/>
      <c r="F224" s="9" t="n"/>
      <c r="G224" s="9" t="n"/>
      <c r="H224" s="9" t="n"/>
      <c r="I224" s="7">
        <f>IFERROR(MAX(C224:H224),"")</f>
        <v/>
      </c>
      <c r="J224" s="7">
        <f>IFERROR(MATCH(I224,C224:H224,0),"")</f>
        <v/>
      </c>
      <c r="K224" s="7" t="n">
        <v>10</v>
      </c>
      <c r="L224" s="7">
        <f>IFERROR(I224*(1-(K224/100)),"")</f>
        <v/>
      </c>
      <c r="M224" s="7">
        <f>IFERROR(LOOKUP(9.99E+307,C224:H224),"")</f>
        <v/>
      </c>
      <c r="N224" s="7">
        <f>IFERROR(IF(M224="","",IF(M224&lt;=N224,"停组🛑","继续✓")),"")</f>
        <v/>
      </c>
      <c r="O224" s="7">
        <f>IFERROR(IF(M224="","",IF(M224&lt;0.15,"SAFETY_STOP","")),"")</f>
        <v/>
      </c>
      <c r="P224" s="7">
        <f>IFERROR(IF(M224="","",IF(M224&lt;0.15,"SAFETY_STOP",IF(M224&lt;=N224,"VL_THRESHOLD",""))),"")</f>
        <v/>
      </c>
      <c r="Q224" s="7">
        <f>IFERROR(IF(I224="","",IF(I224&gt;(0.8+0.05),"+5kg",IF(I224&gt;(0.8+0.02),"+2.5kg",IF(I224&gt;=(0.8-0.05),"保持",IF(I224&gt;=(0.8-0.08),"-2.5kg","-5kg"))))),"")</f>
        <v/>
      </c>
      <c r="R224" s="9" t="n"/>
    </row>
    <row r="225">
      <c r="A225" s="13" t="inlineStr">
        <is>
          <t>辅助</t>
        </is>
      </c>
      <c r="D225" s="14" t="inlineStr">
        <is>
          <t>保加利亚单腿蹲</t>
        </is>
      </c>
      <c r="E225" s="14" t="inlineStr">
        <is>
          <t>负荷</t>
        </is>
      </c>
      <c r="F225" s="14" t="inlineStr">
        <is>
          <t>完成</t>
        </is>
      </c>
      <c r="I225" t="inlineStr">
        <is>
          <t>VL</t>
        </is>
      </c>
    </row>
    <row r="226">
      <c r="A226" s="15" t="inlineStr">
        <is>
          <t>训练后</t>
        </is>
      </c>
      <c r="B226" s="15" t="inlineStr">
        <is>
          <t>开始</t>
        </is>
      </c>
      <c r="C226" s="15" t="inlineStr">
        <is>
          <t>结束</t>
        </is>
      </c>
      <c r="D226" s="15" t="inlineStr">
        <is>
          <t>时长min</t>
        </is>
      </c>
      <c r="E226" s="15" t="inlineStr">
        <is>
          <t>sRPE</t>
        </is>
      </c>
      <c r="F226" s="15" t="inlineStr">
        <is>
          <t>load</t>
        </is>
      </c>
      <c r="G226" s="15" t="inlineStr">
        <is>
          <t>不适?</t>
        </is>
      </c>
      <c r="H226" s="15" t="inlineStr">
        <is>
          <t>备注</t>
        </is>
      </c>
      <c r="I226" s="15" t="inlineStr">
        <is>
          <t>签名</t>
        </is>
      </c>
    </row>
    <row r="227">
      <c r="A227" s="7" t="n"/>
      <c r="B227" s="9" t="n"/>
      <c r="C227" s="9" t="n"/>
      <c r="D227" s="11">
        <f>IFERROR((C227-B227)*1440,"")</f>
        <v/>
      </c>
      <c r="E227" s="9" t="n"/>
      <c r="F227" s="11">
        <f>IFERROR(E227*D227,"")</f>
        <v/>
      </c>
      <c r="G227" s="9" t="n"/>
      <c r="H227" s="9" t="n"/>
      <c r="I227" s="9" t="n"/>
    </row>
    <row r="228">
      <c r="A228" s="16" t="inlineStr">
        <is>
          <t>跳跃</t>
        </is>
      </c>
      <c r="B228" s="16" t="inlineStr">
        <is>
          <t>类型</t>
        </is>
      </c>
      <c r="C228" s="16" t="inlineStr">
        <is>
          <t>组×次</t>
        </is>
      </c>
      <c r="D228" s="16" t="inlineStr">
        <is>
          <t>负荷kg</t>
        </is>
      </c>
      <c r="E228" s="16" t="inlineStr">
        <is>
          <t>接触</t>
        </is>
      </c>
    </row>
    <row r="229">
      <c r="B229" t="inlineStr">
        <is>
          <t>SJ</t>
        </is>
      </c>
      <c r="C229" t="inlineStr">
        <is>
          <t>3×3</t>
        </is>
      </c>
      <c r="D229" t="n">
        <v>0</v>
      </c>
      <c r="E229" t="n">
        <v>9</v>
      </c>
    </row>
    <row r="230">
      <c r="B230" t="inlineStr">
        <is>
          <t>负重跳</t>
        </is>
      </c>
      <c r="C230" t="inlineStr">
        <is>
          <t>3×4</t>
        </is>
      </c>
      <c r="D230" s="14" t="n"/>
      <c r="E230" s="14" t="n"/>
    </row>
    <row r="231">
      <c r="A231" s="17" t="inlineStr">
        <is>
          <t>▶ 暴露量汇总</t>
        </is>
      </c>
      <c r="B231" s="17" t="inlineStr">
        <is>
          <t>说明</t>
        </is>
      </c>
      <c r="C231" s="17" t="inlineStr">
        <is>
          <t>公式/来源</t>
        </is>
      </c>
      <c r="D231" s="17" t="inlineStr">
        <is>
          <t>数值</t>
        </is>
      </c>
    </row>
    <row r="232">
      <c r="A232" s="18" t="inlineStr">
        <is>
          <t>① 无负荷跳跃接触</t>
        </is>
      </c>
      <c r="B232" s="18" t="inlineStr">
        <is>
          <t>CMJ+SJ+箱跳</t>
        </is>
      </c>
      <c r="C232" s="19">
        <f>IFERROR(E229+E230,2)</f>
        <v/>
      </c>
    </row>
    <row r="233">
      <c r="A233" s="18" t="inlineStr">
        <is>
          <t>② 负重跳跃接触</t>
        </is>
      </c>
      <c r="B233" s="18" t="inlineStr">
        <is>
          <t>负重深蹲跳</t>
        </is>
      </c>
      <c r="C233" s="19">
        <f>IFERROR(E230,"")</f>
        <v/>
      </c>
    </row>
    <row r="234">
      <c r="A234" s="18" t="inlineStr">
        <is>
          <t>③ 跳跃总计</t>
        </is>
      </c>
      <c r="B234" s="18" t="inlineStr">
        <is>
          <t>①+②</t>
        </is>
      </c>
      <c r="C234" s="19">
        <f>IFERROR(B232+B233,"")</f>
        <v/>
      </c>
    </row>
    <row r="235">
      <c r="A235" s="18" t="inlineStr">
        <is>
          <t>④ 热身VL</t>
        </is>
      </c>
      <c r="B235" s="18" t="inlineStr">
        <is>
          <t>20×5+50%×3(+70%×2)</t>
        </is>
      </c>
      <c r="C235" s="19">
        <f>IFERROR(20*5+ROUND(V215*0.5,0)*3,"-")</f>
        <v/>
      </c>
    </row>
    <row r="236">
      <c r="A236" s="20" t="inlineStr">
        <is>
          <t>⑤ 主项工作组VL ★</t>
        </is>
      </c>
      <c r="B236" s="20" t="inlineStr">
        <is>
          <t>Σ(负荷×次数)</t>
        </is>
      </c>
      <c r="C236" s="21">
        <f>SUMPRODUCT($B$219:$B$224,$R$219:$R$224)</f>
        <v/>
      </c>
    </row>
    <row r="237">
      <c r="A237" s="18" t="inlineStr">
        <is>
          <t>⑥ 主项总VL</t>
        </is>
      </c>
      <c r="B237" s="18" t="inlineStr">
        <is>
          <t>④+⑤</t>
        </is>
      </c>
      <c r="C237" s="19">
        <f>IFERROR(D232+D233,"")</f>
        <v/>
      </c>
    </row>
    <row r="238">
      <c r="A238" s="18" t="inlineStr">
        <is>
          <t>⑦ 辅助VL</t>
        </is>
      </c>
      <c r="B238" s="18" t="inlineStr">
        <is>
          <t>RDL/保加利亚</t>
        </is>
      </c>
      <c r="C238" s="19">
        <f>IFERROR(I225,"")</f>
        <v/>
      </c>
    </row>
    <row r="239">
      <c r="A239" s="18" t="inlineStr">
        <is>
          <t>⑧ 总外部负荷</t>
        </is>
      </c>
      <c r="B239" s="18" t="inlineStr">
        <is>
          <t>⑥+⑦(+负重跳)</t>
        </is>
      </c>
      <c r="C239" s="19">
        <f>IFERROR(F232+G232,"")</f>
        <v/>
      </c>
    </row>
    <row r="240">
      <c r="A240" s="18" t="inlineStr">
        <is>
          <t>⑨ sRPE load</t>
        </is>
      </c>
      <c r="B240" s="18" t="inlineStr">
        <is>
          <t>sRPE×时长</t>
        </is>
      </c>
      <c r="C240" s="19">
        <f>IFERROR(F227,"")</f>
        <v/>
      </c>
    </row>
    <row r="243">
      <c r="A243" s="5" t="inlineStr">
        <is>
          <t>P018 孟维宇  a=1.71 b=-0.0105 1RM=122.5</t>
        </is>
      </c>
    </row>
    <row r="244">
      <c r="A244" s="6" t="inlineStr">
        <is>
          <t>编号</t>
        </is>
      </c>
      <c r="B244" s="6" t="inlineStr">
        <is>
          <t>姓名</t>
        </is>
      </c>
      <c r="C244" s="6" t="inlineStr">
        <is>
          <t>身高</t>
        </is>
      </c>
      <c r="D244" s="6" t="inlineStr">
        <is>
          <t>1RM</t>
        </is>
      </c>
      <c r="E244" s="6" t="inlineStr">
        <is>
          <t>Hooper睡</t>
        </is>
      </c>
      <c r="F244" s="6" t="inlineStr">
        <is>
          <t>Hooper压</t>
        </is>
      </c>
      <c r="G244" s="6" t="inlineStr">
        <is>
          <t>Hooper疲</t>
        </is>
      </c>
      <c r="H244" s="6" t="inlineStr">
        <is>
          <t>Hooper酸</t>
        </is>
      </c>
      <c r="I244" s="6" t="inlineStr">
        <is>
          <t>H总</t>
        </is>
      </c>
      <c r="J244" s="6" t="inlineStr">
        <is>
          <t>不适?</t>
        </is>
      </c>
      <c r="K244" s="6" t="inlineStr">
        <is>
          <t>说明</t>
        </is>
      </c>
      <c r="L244" s="6" t="inlineStr">
        <is>
          <t>CMJ1</t>
        </is>
      </c>
      <c r="M244" s="6" t="inlineStr">
        <is>
          <t>CMJ2</t>
        </is>
      </c>
      <c r="N244" s="6" t="inlineStr">
        <is>
          <t>CMJ3</t>
        </is>
      </c>
      <c r="O244" s="6" t="inlineStr">
        <is>
          <t>CMJμ</t>
        </is>
      </c>
      <c r="P244" s="6" t="inlineStr">
        <is>
          <t>&lt;95%</t>
        </is>
      </c>
      <c r="Q244" s="6" t="inlineStr">
        <is>
          <t>减组</t>
        </is>
      </c>
      <c r="R244" s="6" t="inlineStr">
        <is>
          <t>组数</t>
        </is>
      </c>
      <c r="S244" s="6" t="inlineStr">
        <is>
          <t>a(V0)</t>
        </is>
      </c>
      <c r="T244" s="6" t="inlineStr">
        <is>
          <t>b</t>
        </is>
      </c>
      <c r="U244" s="6" t="inlineStr">
        <is>
          <t>等级</t>
        </is>
      </c>
      <c r="V244" s="6" t="inlineStr">
        <is>
          <t>预测起始</t>
        </is>
      </c>
    </row>
    <row r="245">
      <c r="A245" s="7" t="inlineStr">
        <is>
          <t>P018</t>
        </is>
      </c>
      <c r="B245" s="7" t="inlineStr">
        <is>
          <t>孟维宇</t>
        </is>
      </c>
      <c r="C245" s="7" t="n">
        <v>173</v>
      </c>
      <c r="D245" s="8" t="n">
        <v>122.5</v>
      </c>
      <c r="E245" s="9" t="n"/>
      <c r="F245" s="9" t="n"/>
      <c r="G245" s="9" t="n"/>
      <c r="H245" s="9" t="n"/>
      <c r="I245" s="7">
        <f>IFERROR(SUM(E245:H245),"")</f>
        <v/>
      </c>
      <c r="J245" s="9" t="n"/>
      <c r="K245" s="9" t="n"/>
      <c r="L245" s="9" t="n"/>
      <c r="M245" s="9" t="n"/>
      <c r="N245" s="9" t="n"/>
      <c r="O245" s="7">
        <f>IFERROR(AVERAGE(L245:N245),"")</f>
        <v/>
      </c>
      <c r="P245" s="7">
        <f>IF(O245="","",IF(O245&lt;52.6,"是⚠","否"))</f>
        <v/>
      </c>
      <c r="Q245" s="7">
        <f>IF(O245="","",IF(O245&lt;52.6,4-1,4))</f>
        <v/>
      </c>
      <c r="R245" s="7" t="n"/>
      <c r="S245" s="8" t="n">
        <v>1.71</v>
      </c>
      <c r="T245" s="8" t="n">
        <v>-0.0105</v>
      </c>
      <c r="U245" s="7" t="inlineStr">
        <is>
          <t>B</t>
        </is>
      </c>
      <c r="V245" s="8" t="n">
        <v>87.5</v>
      </c>
    </row>
    <row r="246">
      <c r="A246" s="10" t="inlineStr">
        <is>
          <t>热身校准</t>
        </is>
      </c>
      <c r="B246" s="10" t="inlineStr">
        <is>
          <t>a</t>
        </is>
      </c>
      <c r="C246" s="10" t="inlineStr">
        <is>
          <t>b</t>
        </is>
      </c>
      <c r="D246" s="10" t="inlineStr">
        <is>
          <t>50%热身</t>
        </is>
      </c>
      <c r="E246" s="10" t="inlineStr">
        <is>
          <t>70%热身</t>
        </is>
      </c>
      <c r="F246" s="10" t="inlineStr">
        <is>
          <t>热身负荷</t>
        </is>
      </c>
      <c r="G246" s="10" t="inlineStr">
        <is>
          <t>实测MCV</t>
        </is>
      </c>
      <c r="H246" s="10" t="inlineStr">
        <is>
          <t>预测MCV</t>
        </is>
      </c>
      <c r="I246" s="10" t="inlineStr">
        <is>
          <t>Δv</t>
        </is>
      </c>
      <c r="J246" s="10" t="inlineStr">
        <is>
          <t>调整量</t>
        </is>
      </c>
      <c r="K246" s="10" t="inlineStr">
        <is>
          <t>校准第1组</t>
        </is>
      </c>
    </row>
    <row r="247">
      <c r="A247" s="7" t="n"/>
      <c r="B247" s="11" t="n">
        <v>1.71</v>
      </c>
      <c r="C247" s="11" t="n">
        <v>-0.0105</v>
      </c>
      <c r="D247" s="11">
        <f>IFERROR(ROUND(V245*0.5/2.5,0)*2.5,"")</f>
        <v/>
      </c>
      <c r="E247" s="11" t="inlineStr"/>
      <c r="F247" s="11">
        <f>IFERROR(ROUND(V245*0.5/2.5,0)*2.5,"")</f>
        <v/>
      </c>
      <c r="G247" s="9" t="n"/>
      <c r="H247" s="11">
        <f>IFERROR(B247+C247*F247,"")</f>
        <v/>
      </c>
      <c r="I247" s="11">
        <f>IFERROR(G247-H247,"")</f>
        <v/>
      </c>
      <c r="J247" s="11">
        <f>IFERROR(IF(I247&gt;0.08,5,IF(I247&gt;0.04,2.5,IF(I247&gt;=-0.04,0,IF(I247&gt;=-0.08,-2.5,-5)))),"")</f>
        <v/>
      </c>
      <c r="K247" s="11">
        <f>IFERROR(ROUND(V245+J247,0),"")</f>
        <v/>
      </c>
    </row>
    <row r="248">
      <c r="A248" s="12" t="inlineStr">
        <is>
          <t>组</t>
        </is>
      </c>
      <c r="B248" s="12" t="inlineStr">
        <is>
          <t>负荷</t>
        </is>
      </c>
      <c r="C248" s="12" t="inlineStr">
        <is>
          <t>rep1</t>
        </is>
      </c>
      <c r="D248" s="12" t="inlineStr">
        <is>
          <t>rep2</t>
        </is>
      </c>
      <c r="E248" s="12" t="inlineStr">
        <is>
          <t>rep3</t>
        </is>
      </c>
      <c r="F248" s="12" t="inlineStr">
        <is>
          <t>rep4</t>
        </is>
      </c>
      <c r="G248" s="12" t="inlineStr">
        <is>
          <t>rep5</t>
        </is>
      </c>
      <c r="H248" s="12" t="inlineStr">
        <is>
          <t>rep6</t>
        </is>
      </c>
      <c r="I248" s="12" t="inlineStr">
        <is>
          <t>best</t>
        </is>
      </c>
      <c r="J248" s="12" t="inlineStr">
        <is>
          <t>best#</t>
        </is>
      </c>
      <c r="K248" s="12" t="inlineStr">
        <is>
          <t>VL%</t>
        </is>
      </c>
      <c r="L248" s="12" t="inlineStr">
        <is>
          <t>stop_th</t>
        </is>
      </c>
      <c r="M248" s="12" t="inlineStr">
        <is>
          <t>latest</t>
        </is>
      </c>
      <c r="N248" s="12" t="inlineStr">
        <is>
          <t>VL_flag</t>
        </is>
      </c>
      <c r="O248" s="12" t="inlineStr">
        <is>
          <t>safety</t>
        </is>
      </c>
      <c r="P248" s="12" t="inlineStr">
        <is>
          <t>原因</t>
        </is>
      </c>
      <c r="Q248" s="12" t="inlineStr">
        <is>
          <t>建议</t>
        </is>
      </c>
      <c r="R248" s="12" t="inlineStr">
        <is>
          <t>次数</t>
        </is>
      </c>
    </row>
    <row r="249">
      <c r="A249" s="7" t="n">
        <v>1</v>
      </c>
      <c r="B249" s="9">
        <f>IFERROR(K247,"")</f>
        <v/>
      </c>
      <c r="C249" s="9" t="n"/>
      <c r="D249" s="9" t="n"/>
      <c r="E249" s="9" t="n"/>
      <c r="F249" s="9" t="n"/>
      <c r="G249" s="9" t="n"/>
      <c r="H249" s="9" t="n"/>
      <c r="I249" s="7">
        <f>IFERROR(MAX(C249:H249),"")</f>
        <v/>
      </c>
      <c r="J249" s="7">
        <f>IFERROR(MATCH(I249,C249:H249,0),"")</f>
        <v/>
      </c>
      <c r="K249" s="7" t="n">
        <v>10</v>
      </c>
      <c r="L249" s="7">
        <f>IFERROR(I249*(1-(K249/100)),"")</f>
        <v/>
      </c>
      <c r="M249" s="7">
        <f>IFERROR(LOOKUP(9.99E+307,C249:H249),"")</f>
        <v/>
      </c>
      <c r="N249" s="7">
        <f>IFERROR(IF(M249="","",IF(M249&lt;=N249,"停组🛑","继续✓")),"")</f>
        <v/>
      </c>
      <c r="O249" s="7">
        <f>IFERROR(IF(M249="","",IF(M249&lt;0.15,"SAFETY_STOP","")),"")</f>
        <v/>
      </c>
      <c r="P249" s="7">
        <f>IFERROR(IF(M249="","",IF(M249&lt;0.15,"SAFETY_STOP",IF(M249&lt;=N249,"VL_THRESHOLD",""))),"")</f>
        <v/>
      </c>
      <c r="Q249" s="7">
        <f>IFERROR(IF(I249="","",IF(I249&gt;(0.8+0.05),"+5kg",IF(I249&gt;(0.8+0.02),"+2.5kg",IF(I249&gt;=(0.8-0.05),"保持",IF(I249&gt;=(0.8-0.08),"-2.5kg","-5kg"))))),"")</f>
        <v/>
      </c>
      <c r="R249" s="9" t="n"/>
    </row>
    <row r="250">
      <c r="A250" s="7" t="n">
        <v>2</v>
      </c>
      <c r="B250" s="9" t="n"/>
      <c r="C250" s="9" t="n"/>
      <c r="D250" s="9" t="n"/>
      <c r="E250" s="9" t="n"/>
      <c r="F250" s="9" t="n"/>
      <c r="G250" s="9" t="n"/>
      <c r="H250" s="9" t="n"/>
      <c r="I250" s="7">
        <f>IFERROR(MAX(C250:H250),"")</f>
        <v/>
      </c>
      <c r="J250" s="7">
        <f>IFERROR(MATCH(I250,C250:H250,0),"")</f>
        <v/>
      </c>
      <c r="K250" s="7" t="n">
        <v>10</v>
      </c>
      <c r="L250" s="7">
        <f>IFERROR(I250*(1-(K250/100)),"")</f>
        <v/>
      </c>
      <c r="M250" s="7">
        <f>IFERROR(LOOKUP(9.99E+307,C250:H250),"")</f>
        <v/>
      </c>
      <c r="N250" s="7">
        <f>IFERROR(IF(M250="","",IF(M250&lt;=N250,"停组🛑","继续✓")),"")</f>
        <v/>
      </c>
      <c r="O250" s="7">
        <f>IFERROR(IF(M250="","",IF(M250&lt;0.15,"SAFETY_STOP","")),"")</f>
        <v/>
      </c>
      <c r="P250" s="7">
        <f>IFERROR(IF(M250="","",IF(M250&lt;0.15,"SAFETY_STOP",IF(M250&lt;=N250,"VL_THRESHOLD",""))),"")</f>
        <v/>
      </c>
      <c r="Q250" s="7">
        <f>IFERROR(IF(I250="","",IF(I250&gt;(0.8+0.05),"+5kg",IF(I250&gt;(0.8+0.02),"+2.5kg",IF(I250&gt;=(0.8-0.05),"保持",IF(I250&gt;=(0.8-0.08),"-2.5kg","-5kg"))))),"")</f>
        <v/>
      </c>
      <c r="R250" s="9" t="n"/>
    </row>
    <row r="251">
      <c r="A251" s="7" t="n">
        <v>3</v>
      </c>
      <c r="B251" s="9" t="n"/>
      <c r="C251" s="9" t="n"/>
      <c r="D251" s="9" t="n"/>
      <c r="E251" s="9" t="n"/>
      <c r="F251" s="9" t="n"/>
      <c r="G251" s="9" t="n"/>
      <c r="H251" s="9" t="n"/>
      <c r="I251" s="7">
        <f>IFERROR(MAX(C251:H251),"")</f>
        <v/>
      </c>
      <c r="J251" s="7">
        <f>IFERROR(MATCH(I251,C251:H251,0),"")</f>
        <v/>
      </c>
      <c r="K251" s="7" t="n">
        <v>10</v>
      </c>
      <c r="L251" s="7">
        <f>IFERROR(I251*(1-(K251/100)),"")</f>
        <v/>
      </c>
      <c r="M251" s="7">
        <f>IFERROR(LOOKUP(9.99E+307,C251:H251),"")</f>
        <v/>
      </c>
      <c r="N251" s="7">
        <f>IFERROR(IF(M251="","",IF(M251&lt;=N251,"停组🛑","继续✓")),"")</f>
        <v/>
      </c>
      <c r="O251" s="7">
        <f>IFERROR(IF(M251="","",IF(M251&lt;0.15,"SAFETY_STOP","")),"")</f>
        <v/>
      </c>
      <c r="P251" s="7">
        <f>IFERROR(IF(M251="","",IF(M251&lt;0.15,"SAFETY_STOP",IF(M251&lt;=N251,"VL_THRESHOLD",""))),"")</f>
        <v/>
      </c>
      <c r="Q251" s="7">
        <f>IFERROR(IF(I251="","",IF(I251&gt;(0.8+0.05),"+5kg",IF(I251&gt;(0.8+0.02),"+2.5kg",IF(I251&gt;=(0.8-0.05),"保持",IF(I251&gt;=(0.8-0.08),"-2.5kg","-5kg"))))),"")</f>
        <v/>
      </c>
      <c r="R251" s="9" t="n"/>
    </row>
    <row r="252">
      <c r="A252" s="7" t="n">
        <v>4</v>
      </c>
      <c r="B252" s="9" t="n"/>
      <c r="C252" s="9" t="n"/>
      <c r="D252" s="9" t="n"/>
      <c r="E252" s="9" t="n"/>
      <c r="F252" s="9" t="n"/>
      <c r="G252" s="9" t="n"/>
      <c r="H252" s="9" t="n"/>
      <c r="I252" s="7">
        <f>IFERROR(MAX(C252:H252),"")</f>
        <v/>
      </c>
      <c r="J252" s="7">
        <f>IFERROR(MATCH(I252,C252:H252,0),"")</f>
        <v/>
      </c>
      <c r="K252" s="7" t="n">
        <v>10</v>
      </c>
      <c r="L252" s="7">
        <f>IFERROR(I252*(1-(K252/100)),"")</f>
        <v/>
      </c>
      <c r="M252" s="7">
        <f>IFERROR(LOOKUP(9.99E+307,C252:H252),"")</f>
        <v/>
      </c>
      <c r="N252" s="7">
        <f>IFERROR(IF(M252="","",IF(M252&lt;=N252,"停组🛑","继续✓")),"")</f>
        <v/>
      </c>
      <c r="O252" s="7">
        <f>IFERROR(IF(M252="","",IF(M252&lt;0.15,"SAFETY_STOP","")),"")</f>
        <v/>
      </c>
      <c r="P252" s="7">
        <f>IFERROR(IF(M252="","",IF(M252&lt;0.15,"SAFETY_STOP",IF(M252&lt;=N252,"VL_THRESHOLD",""))),"")</f>
        <v/>
      </c>
      <c r="Q252" s="7">
        <f>IFERROR(IF(I252="","",IF(I252&gt;(0.8+0.05),"+5kg",IF(I252&gt;(0.8+0.02),"+2.5kg",IF(I252&gt;=(0.8-0.05),"保持",IF(I252&gt;=(0.8-0.08),"-2.5kg","-5kg"))))),"")</f>
        <v/>
      </c>
      <c r="R252" s="9" t="n"/>
    </row>
    <row r="253">
      <c r="A253" s="7" t="n">
        <v>5</v>
      </c>
      <c r="B253" s="9" t="n"/>
      <c r="C253" s="9" t="n"/>
      <c r="D253" s="9" t="n"/>
      <c r="E253" s="9" t="n"/>
      <c r="F253" s="9" t="n"/>
      <c r="G253" s="9" t="n"/>
      <c r="H253" s="9" t="n"/>
      <c r="I253" s="7">
        <f>IFERROR(MAX(C253:H253),"")</f>
        <v/>
      </c>
      <c r="J253" s="7">
        <f>IFERROR(MATCH(I253,C253:H253,0),"")</f>
        <v/>
      </c>
      <c r="K253" s="7" t="n">
        <v>10</v>
      </c>
      <c r="L253" s="7">
        <f>IFERROR(I253*(1-(K253/100)),"")</f>
        <v/>
      </c>
      <c r="M253" s="7">
        <f>IFERROR(LOOKUP(9.99E+307,C253:H253),"")</f>
        <v/>
      </c>
      <c r="N253" s="7">
        <f>IFERROR(IF(M253="","",IF(M253&lt;=N253,"停组🛑","继续✓")),"")</f>
        <v/>
      </c>
      <c r="O253" s="7">
        <f>IFERROR(IF(M253="","",IF(M253&lt;0.15,"SAFETY_STOP","")),"")</f>
        <v/>
      </c>
      <c r="P253" s="7">
        <f>IFERROR(IF(M253="","",IF(M253&lt;0.15,"SAFETY_STOP",IF(M253&lt;=N253,"VL_THRESHOLD",""))),"")</f>
        <v/>
      </c>
      <c r="Q253" s="7">
        <f>IFERROR(IF(I253="","",IF(I253&gt;(0.8+0.05),"+5kg",IF(I253&gt;(0.8+0.02),"+2.5kg",IF(I253&gt;=(0.8-0.05),"保持",IF(I253&gt;=(0.8-0.08),"-2.5kg","-5kg"))))),"")</f>
        <v/>
      </c>
      <c r="R253" s="9" t="n"/>
    </row>
    <row r="254">
      <c r="A254" s="7" t="n">
        <v>6</v>
      </c>
      <c r="B254" s="9" t="n"/>
      <c r="C254" s="9" t="n"/>
      <c r="D254" s="9" t="n"/>
      <c r="E254" s="9" t="n"/>
      <c r="F254" s="9" t="n"/>
      <c r="G254" s="9" t="n"/>
      <c r="H254" s="9" t="n"/>
      <c r="I254" s="7">
        <f>IFERROR(MAX(C254:H254),"")</f>
        <v/>
      </c>
      <c r="J254" s="7">
        <f>IFERROR(MATCH(I254,C254:H254,0),"")</f>
        <v/>
      </c>
      <c r="K254" s="7" t="n">
        <v>10</v>
      </c>
      <c r="L254" s="7">
        <f>IFERROR(I254*(1-(K254/100)),"")</f>
        <v/>
      </c>
      <c r="M254" s="7">
        <f>IFERROR(LOOKUP(9.99E+307,C254:H254),"")</f>
        <v/>
      </c>
      <c r="N254" s="7">
        <f>IFERROR(IF(M254="","",IF(M254&lt;=N254,"停组🛑","继续✓")),"")</f>
        <v/>
      </c>
      <c r="O254" s="7">
        <f>IFERROR(IF(M254="","",IF(M254&lt;0.15,"SAFETY_STOP","")),"")</f>
        <v/>
      </c>
      <c r="P254" s="7">
        <f>IFERROR(IF(M254="","",IF(M254&lt;0.15,"SAFETY_STOP",IF(M254&lt;=N254,"VL_THRESHOLD",""))),"")</f>
        <v/>
      </c>
      <c r="Q254" s="7">
        <f>IFERROR(IF(I254="","",IF(I254&gt;(0.8+0.05),"+5kg",IF(I254&gt;(0.8+0.02),"+2.5kg",IF(I254&gt;=(0.8-0.05),"保持",IF(I254&gt;=(0.8-0.08),"-2.5kg","-5kg"))))),"")</f>
        <v/>
      </c>
      <c r="R254" s="9" t="n"/>
    </row>
    <row r="255">
      <c r="A255" s="13" t="inlineStr">
        <is>
          <t>辅助</t>
        </is>
      </c>
      <c r="D255" s="14" t="inlineStr">
        <is>
          <t>保加利亚单腿蹲</t>
        </is>
      </c>
      <c r="E255" s="14" t="inlineStr">
        <is>
          <t>负荷</t>
        </is>
      </c>
      <c r="F255" s="14" t="inlineStr">
        <is>
          <t>完成</t>
        </is>
      </c>
      <c r="I255" t="inlineStr">
        <is>
          <t>VL</t>
        </is>
      </c>
    </row>
    <row r="256">
      <c r="A256" s="15" t="inlineStr">
        <is>
          <t>训练后</t>
        </is>
      </c>
      <c r="B256" s="15" t="inlineStr">
        <is>
          <t>开始</t>
        </is>
      </c>
      <c r="C256" s="15" t="inlineStr">
        <is>
          <t>结束</t>
        </is>
      </c>
      <c r="D256" s="15" t="inlineStr">
        <is>
          <t>时长min</t>
        </is>
      </c>
      <c r="E256" s="15" t="inlineStr">
        <is>
          <t>sRPE</t>
        </is>
      </c>
      <c r="F256" s="15" t="inlineStr">
        <is>
          <t>load</t>
        </is>
      </c>
      <c r="G256" s="15" t="inlineStr">
        <is>
          <t>不适?</t>
        </is>
      </c>
      <c r="H256" s="15" t="inlineStr">
        <is>
          <t>备注</t>
        </is>
      </c>
      <c r="I256" s="15" t="inlineStr">
        <is>
          <t>签名</t>
        </is>
      </c>
    </row>
    <row r="257">
      <c r="A257" s="7" t="n"/>
      <c r="B257" s="9" t="n"/>
      <c r="C257" s="9" t="n"/>
      <c r="D257" s="11">
        <f>IFERROR((C257-B257)*1440,"")</f>
        <v/>
      </c>
      <c r="E257" s="9" t="n"/>
      <c r="F257" s="11">
        <f>IFERROR(E257*D257,"")</f>
        <v/>
      </c>
      <c r="G257" s="9" t="n"/>
      <c r="H257" s="9" t="n"/>
      <c r="I257" s="9" t="n"/>
    </row>
    <row r="258">
      <c r="A258" s="16" t="inlineStr">
        <is>
          <t>跳跃</t>
        </is>
      </c>
      <c r="B258" s="16" t="inlineStr">
        <is>
          <t>类型</t>
        </is>
      </c>
      <c r="C258" s="16" t="inlineStr">
        <is>
          <t>组×次</t>
        </is>
      </c>
      <c r="D258" s="16" t="inlineStr">
        <is>
          <t>负荷kg</t>
        </is>
      </c>
      <c r="E258" s="16" t="inlineStr">
        <is>
          <t>接触</t>
        </is>
      </c>
    </row>
    <row r="259">
      <c r="B259" t="inlineStr">
        <is>
          <t>SJ</t>
        </is>
      </c>
      <c r="C259" t="inlineStr">
        <is>
          <t>3×3</t>
        </is>
      </c>
      <c r="D259" t="n">
        <v>0</v>
      </c>
      <c r="E259" t="n">
        <v>9</v>
      </c>
    </row>
    <row r="260">
      <c r="B260" t="inlineStr">
        <is>
          <t>负重跳</t>
        </is>
      </c>
      <c r="C260" t="inlineStr">
        <is>
          <t>3×4</t>
        </is>
      </c>
      <c r="D260" s="14" t="n"/>
      <c r="E260" s="14" t="n"/>
    </row>
    <row r="261">
      <c r="A261" s="17" t="inlineStr">
        <is>
          <t>▶ 暴露量汇总</t>
        </is>
      </c>
      <c r="B261" s="17" t="inlineStr">
        <is>
          <t>说明</t>
        </is>
      </c>
      <c r="C261" s="17" t="inlineStr">
        <is>
          <t>公式/来源</t>
        </is>
      </c>
      <c r="D261" s="17" t="inlineStr">
        <is>
          <t>数值</t>
        </is>
      </c>
    </row>
    <row r="262">
      <c r="A262" s="18" t="inlineStr">
        <is>
          <t>① 无负荷跳跃接触</t>
        </is>
      </c>
      <c r="B262" s="18" t="inlineStr">
        <is>
          <t>CMJ+SJ+箱跳</t>
        </is>
      </c>
      <c r="C262" s="19">
        <f>IFERROR(E259+E260,2)</f>
        <v/>
      </c>
    </row>
    <row r="263">
      <c r="A263" s="18" t="inlineStr">
        <is>
          <t>② 负重跳跃接触</t>
        </is>
      </c>
      <c r="B263" s="18" t="inlineStr">
        <is>
          <t>负重深蹲跳</t>
        </is>
      </c>
      <c r="C263" s="19">
        <f>IFERROR(E260,"")</f>
        <v/>
      </c>
    </row>
    <row r="264">
      <c r="A264" s="18" t="inlineStr">
        <is>
          <t>③ 跳跃总计</t>
        </is>
      </c>
      <c r="B264" s="18" t="inlineStr">
        <is>
          <t>①+②</t>
        </is>
      </c>
      <c r="C264" s="19">
        <f>IFERROR(B262+B263,"")</f>
        <v/>
      </c>
    </row>
    <row r="265">
      <c r="A265" s="18" t="inlineStr">
        <is>
          <t>④ 热身VL</t>
        </is>
      </c>
      <c r="B265" s="18" t="inlineStr">
        <is>
          <t>20×5+50%×3(+70%×2)</t>
        </is>
      </c>
      <c r="C265" s="19">
        <f>IFERROR(20*5+ROUND(V245*0.5,0)*3,"-")</f>
        <v/>
      </c>
    </row>
    <row r="266">
      <c r="A266" s="20" t="inlineStr">
        <is>
          <t>⑤ 主项工作组VL ★</t>
        </is>
      </c>
      <c r="B266" s="20" t="inlineStr">
        <is>
          <t>Σ(负荷×次数)</t>
        </is>
      </c>
      <c r="C266" s="21">
        <f>SUMPRODUCT($B$249:$B$254,$R$249:$R$254)</f>
        <v/>
      </c>
    </row>
    <row r="267">
      <c r="A267" s="18" t="inlineStr">
        <is>
          <t>⑥ 主项总VL</t>
        </is>
      </c>
      <c r="B267" s="18" t="inlineStr">
        <is>
          <t>④+⑤</t>
        </is>
      </c>
      <c r="C267" s="19">
        <f>IFERROR(D262+D263,"")</f>
        <v/>
      </c>
    </row>
    <row r="268">
      <c r="A268" s="18" t="inlineStr">
        <is>
          <t>⑦ 辅助VL</t>
        </is>
      </c>
      <c r="B268" s="18" t="inlineStr">
        <is>
          <t>RDL/保加利亚</t>
        </is>
      </c>
      <c r="C268" s="19">
        <f>IFERROR(I255,"")</f>
        <v/>
      </c>
    </row>
    <row r="269">
      <c r="A269" s="18" t="inlineStr">
        <is>
          <t>⑧ 总外部负荷</t>
        </is>
      </c>
      <c r="B269" s="18" t="inlineStr">
        <is>
          <t>⑥+⑦(+负重跳)</t>
        </is>
      </c>
      <c r="C269" s="19">
        <f>IFERROR(F262+G262,"")</f>
        <v/>
      </c>
    </row>
    <row r="270">
      <c r="A270" s="18" t="inlineStr">
        <is>
          <t>⑨ sRPE load</t>
        </is>
      </c>
      <c r="B270" s="18" t="inlineStr">
        <is>
          <t>sRPE×时长</t>
        </is>
      </c>
      <c r="C270" s="19">
        <f>IFERROR(F257,"")</f>
        <v/>
      </c>
    </row>
    <row r="273">
      <c r="A273" s="5" t="inlineStr">
        <is>
          <t>P026 古翔宇  a=1.64 b=-0.00975 1RM=135</t>
        </is>
      </c>
    </row>
    <row r="274">
      <c r="A274" s="6" t="inlineStr">
        <is>
          <t>编号</t>
        </is>
      </c>
      <c r="B274" s="6" t="inlineStr">
        <is>
          <t>姓名</t>
        </is>
      </c>
      <c r="C274" s="6" t="inlineStr">
        <is>
          <t>身高</t>
        </is>
      </c>
      <c r="D274" s="6" t="inlineStr">
        <is>
          <t>1RM</t>
        </is>
      </c>
      <c r="E274" s="6" t="inlineStr">
        <is>
          <t>Hooper睡</t>
        </is>
      </c>
      <c r="F274" s="6" t="inlineStr">
        <is>
          <t>Hooper压</t>
        </is>
      </c>
      <c r="G274" s="6" t="inlineStr">
        <is>
          <t>Hooper疲</t>
        </is>
      </c>
      <c r="H274" s="6" t="inlineStr">
        <is>
          <t>Hooper酸</t>
        </is>
      </c>
      <c r="I274" s="6" t="inlineStr">
        <is>
          <t>H总</t>
        </is>
      </c>
      <c r="J274" s="6" t="inlineStr">
        <is>
          <t>不适?</t>
        </is>
      </c>
      <c r="K274" s="6" t="inlineStr">
        <is>
          <t>说明</t>
        </is>
      </c>
      <c r="L274" s="6" t="inlineStr">
        <is>
          <t>CMJ1</t>
        </is>
      </c>
      <c r="M274" s="6" t="inlineStr">
        <is>
          <t>CMJ2</t>
        </is>
      </c>
      <c r="N274" s="6" t="inlineStr">
        <is>
          <t>CMJ3</t>
        </is>
      </c>
      <c r="O274" s="6" t="inlineStr">
        <is>
          <t>CMJμ</t>
        </is>
      </c>
      <c r="P274" s="6" t="inlineStr">
        <is>
          <t>&lt;95%</t>
        </is>
      </c>
      <c r="Q274" s="6" t="inlineStr">
        <is>
          <t>减组</t>
        </is>
      </c>
      <c r="R274" s="6" t="inlineStr">
        <is>
          <t>组数</t>
        </is>
      </c>
      <c r="S274" s="6" t="inlineStr">
        <is>
          <t>a(V0)</t>
        </is>
      </c>
      <c r="T274" s="6" t="inlineStr">
        <is>
          <t>b</t>
        </is>
      </c>
      <c r="U274" s="6" t="inlineStr">
        <is>
          <t>等级</t>
        </is>
      </c>
      <c r="V274" s="6" t="inlineStr">
        <is>
          <t>预测起始</t>
        </is>
      </c>
    </row>
    <row r="275">
      <c r="A275" s="7" t="inlineStr">
        <is>
          <t>P026</t>
        </is>
      </c>
      <c r="B275" s="7" t="inlineStr">
        <is>
          <t>古翔宇</t>
        </is>
      </c>
      <c r="C275" s="7" t="n">
        <v>180</v>
      </c>
      <c r="D275" s="8" t="n">
        <v>135</v>
      </c>
      <c r="E275" s="9" t="n"/>
      <c r="F275" s="9" t="n"/>
      <c r="G275" s="9" t="n"/>
      <c r="H275" s="9" t="n"/>
      <c r="I275" s="7">
        <f>IFERROR(SUM(E275:H275),"")</f>
        <v/>
      </c>
      <c r="J275" s="9" t="n"/>
      <c r="K275" s="9" t="n"/>
      <c r="L275" s="9" t="n"/>
      <c r="M275" s="9" t="n"/>
      <c r="N275" s="9" t="n"/>
      <c r="O275" s="7">
        <f>IFERROR(AVERAGE(L275:N275),"")</f>
        <v/>
      </c>
      <c r="P275" s="7">
        <f>IF(O275="","",IF(O275&lt;45.51,"是⚠","否"))</f>
        <v/>
      </c>
      <c r="Q275" s="7">
        <f>IF(O275="","",IF(O275&lt;45.51,4-1,4))</f>
        <v/>
      </c>
      <c r="R275" s="7" t="n"/>
      <c r="S275" s="8" t="n">
        <v>1.64</v>
      </c>
      <c r="T275" s="8" t="n">
        <v>-0.00975</v>
      </c>
      <c r="U275" s="7" t="inlineStr">
        <is>
          <t>A</t>
        </is>
      </c>
      <c r="V275" s="8" t="n">
        <v>85</v>
      </c>
    </row>
    <row r="276">
      <c r="A276" s="10" t="inlineStr">
        <is>
          <t>热身校准</t>
        </is>
      </c>
      <c r="B276" s="10" t="inlineStr">
        <is>
          <t>a</t>
        </is>
      </c>
      <c r="C276" s="10" t="inlineStr">
        <is>
          <t>b</t>
        </is>
      </c>
      <c r="D276" s="10" t="inlineStr">
        <is>
          <t>50%热身</t>
        </is>
      </c>
      <c r="E276" s="10" t="inlineStr">
        <is>
          <t>70%热身</t>
        </is>
      </c>
      <c r="F276" s="10" t="inlineStr">
        <is>
          <t>热身负荷</t>
        </is>
      </c>
      <c r="G276" s="10" t="inlineStr">
        <is>
          <t>实测MCV</t>
        </is>
      </c>
      <c r="H276" s="10" t="inlineStr">
        <is>
          <t>预测MCV</t>
        </is>
      </c>
      <c r="I276" s="10" t="inlineStr">
        <is>
          <t>Δv</t>
        </is>
      </c>
      <c r="J276" s="10" t="inlineStr">
        <is>
          <t>调整量</t>
        </is>
      </c>
      <c r="K276" s="10" t="inlineStr">
        <is>
          <t>校准第1组</t>
        </is>
      </c>
    </row>
    <row r="277">
      <c r="A277" s="7" t="n"/>
      <c r="B277" s="11" t="n">
        <v>1.64</v>
      </c>
      <c r="C277" s="11" t="n">
        <v>-0.00975</v>
      </c>
      <c r="D277" s="11">
        <f>IFERROR(ROUND(V275*0.5/2.5,0)*2.5,"")</f>
        <v/>
      </c>
      <c r="E277" s="11" t="inlineStr"/>
      <c r="F277" s="11">
        <f>IFERROR(ROUND(V275*0.5/2.5,0)*2.5,"")</f>
        <v/>
      </c>
      <c r="G277" s="9" t="n"/>
      <c r="H277" s="11">
        <f>IFERROR(B277+C277*F277,"")</f>
        <v/>
      </c>
      <c r="I277" s="11">
        <f>IFERROR(G277-H277,"")</f>
        <v/>
      </c>
      <c r="J277" s="11">
        <f>IFERROR(IF(I277&gt;0.08,5,IF(I277&gt;0.04,2.5,IF(I277&gt;=-0.04,0,IF(I277&gt;=-0.08,-2.5,-5)))),"")</f>
        <v/>
      </c>
      <c r="K277" s="11">
        <f>IFERROR(ROUND(V275+J277,0),"")</f>
        <v/>
      </c>
    </row>
    <row r="278">
      <c r="A278" s="12" t="inlineStr">
        <is>
          <t>组</t>
        </is>
      </c>
      <c r="B278" s="12" t="inlineStr">
        <is>
          <t>负荷</t>
        </is>
      </c>
      <c r="C278" s="12" t="inlineStr">
        <is>
          <t>rep1</t>
        </is>
      </c>
      <c r="D278" s="12" t="inlineStr">
        <is>
          <t>rep2</t>
        </is>
      </c>
      <c r="E278" s="12" t="inlineStr">
        <is>
          <t>rep3</t>
        </is>
      </c>
      <c r="F278" s="12" t="inlineStr">
        <is>
          <t>rep4</t>
        </is>
      </c>
      <c r="G278" s="12" t="inlineStr">
        <is>
          <t>rep5</t>
        </is>
      </c>
      <c r="H278" s="12" t="inlineStr">
        <is>
          <t>rep6</t>
        </is>
      </c>
      <c r="I278" s="12" t="inlineStr">
        <is>
          <t>best</t>
        </is>
      </c>
      <c r="J278" s="12" t="inlineStr">
        <is>
          <t>best#</t>
        </is>
      </c>
      <c r="K278" s="12" t="inlineStr">
        <is>
          <t>VL%</t>
        </is>
      </c>
      <c r="L278" s="12" t="inlineStr">
        <is>
          <t>stop_th</t>
        </is>
      </c>
      <c r="M278" s="12" t="inlineStr">
        <is>
          <t>latest</t>
        </is>
      </c>
      <c r="N278" s="12" t="inlineStr">
        <is>
          <t>VL_flag</t>
        </is>
      </c>
      <c r="O278" s="12" t="inlineStr">
        <is>
          <t>safety</t>
        </is>
      </c>
      <c r="P278" s="12" t="inlineStr">
        <is>
          <t>原因</t>
        </is>
      </c>
      <c r="Q278" s="12" t="inlineStr">
        <is>
          <t>建议</t>
        </is>
      </c>
      <c r="R278" s="12" t="inlineStr">
        <is>
          <t>次数</t>
        </is>
      </c>
    </row>
    <row r="279">
      <c r="A279" s="7" t="n">
        <v>1</v>
      </c>
      <c r="B279" s="9">
        <f>IFERROR(K277,"")</f>
        <v/>
      </c>
      <c r="C279" s="9" t="n"/>
      <c r="D279" s="9" t="n"/>
      <c r="E279" s="9" t="n"/>
      <c r="F279" s="9" t="n"/>
      <c r="G279" s="9" t="n"/>
      <c r="H279" s="9" t="n"/>
      <c r="I279" s="7">
        <f>IFERROR(MAX(C279:H279),"")</f>
        <v/>
      </c>
      <c r="J279" s="7">
        <f>IFERROR(MATCH(I279,C279:H279,0),"")</f>
        <v/>
      </c>
      <c r="K279" s="7" t="n">
        <v>10</v>
      </c>
      <c r="L279" s="7">
        <f>IFERROR(I279*(1-(K279/100)),"")</f>
        <v/>
      </c>
      <c r="M279" s="7">
        <f>IFERROR(LOOKUP(9.99E+307,C279:H279),"")</f>
        <v/>
      </c>
      <c r="N279" s="7">
        <f>IFERROR(IF(M279="","",IF(M279&lt;=N279,"停组🛑","继续✓")),"")</f>
        <v/>
      </c>
      <c r="O279" s="7">
        <f>IFERROR(IF(M279="","",IF(M279&lt;0.15,"SAFETY_STOP","")),"")</f>
        <v/>
      </c>
      <c r="P279" s="7">
        <f>IFERROR(IF(M279="","",IF(M279&lt;0.15,"SAFETY_STOP",IF(M279&lt;=N279,"VL_THRESHOLD",""))),"")</f>
        <v/>
      </c>
      <c r="Q279" s="7">
        <f>IFERROR(IF(I279="","",IF(I279&gt;(0.8+0.05),"+5kg",IF(I279&gt;(0.8+0.02),"+2.5kg",IF(I279&gt;=(0.8-0.05),"保持",IF(I279&gt;=(0.8-0.08),"-2.5kg","-5kg"))))),"")</f>
        <v/>
      </c>
      <c r="R279" s="9" t="n"/>
    </row>
    <row r="280">
      <c r="A280" s="7" t="n">
        <v>2</v>
      </c>
      <c r="B280" s="9" t="n"/>
      <c r="C280" s="9" t="n"/>
      <c r="D280" s="9" t="n"/>
      <c r="E280" s="9" t="n"/>
      <c r="F280" s="9" t="n"/>
      <c r="G280" s="9" t="n"/>
      <c r="H280" s="9" t="n"/>
      <c r="I280" s="7">
        <f>IFERROR(MAX(C280:H280),"")</f>
        <v/>
      </c>
      <c r="J280" s="7">
        <f>IFERROR(MATCH(I280,C280:H280,0),"")</f>
        <v/>
      </c>
      <c r="K280" s="7" t="n">
        <v>10</v>
      </c>
      <c r="L280" s="7">
        <f>IFERROR(I280*(1-(K280/100)),"")</f>
        <v/>
      </c>
      <c r="M280" s="7">
        <f>IFERROR(LOOKUP(9.99E+307,C280:H280),"")</f>
        <v/>
      </c>
      <c r="N280" s="7">
        <f>IFERROR(IF(M280="","",IF(M280&lt;=N280,"停组🛑","继续✓")),"")</f>
        <v/>
      </c>
      <c r="O280" s="7">
        <f>IFERROR(IF(M280="","",IF(M280&lt;0.15,"SAFETY_STOP","")),"")</f>
        <v/>
      </c>
      <c r="P280" s="7">
        <f>IFERROR(IF(M280="","",IF(M280&lt;0.15,"SAFETY_STOP",IF(M280&lt;=N280,"VL_THRESHOLD",""))),"")</f>
        <v/>
      </c>
      <c r="Q280" s="7">
        <f>IFERROR(IF(I280="","",IF(I280&gt;(0.8+0.05),"+5kg",IF(I280&gt;(0.8+0.02),"+2.5kg",IF(I280&gt;=(0.8-0.05),"保持",IF(I280&gt;=(0.8-0.08),"-2.5kg","-5kg"))))),"")</f>
        <v/>
      </c>
      <c r="R280" s="9" t="n"/>
    </row>
    <row r="281">
      <c r="A281" s="7" t="n">
        <v>3</v>
      </c>
      <c r="B281" s="9" t="n"/>
      <c r="C281" s="9" t="n"/>
      <c r="D281" s="9" t="n"/>
      <c r="E281" s="9" t="n"/>
      <c r="F281" s="9" t="n"/>
      <c r="G281" s="9" t="n"/>
      <c r="H281" s="9" t="n"/>
      <c r="I281" s="7">
        <f>IFERROR(MAX(C281:H281),"")</f>
        <v/>
      </c>
      <c r="J281" s="7">
        <f>IFERROR(MATCH(I281,C281:H281,0),"")</f>
        <v/>
      </c>
      <c r="K281" s="7" t="n">
        <v>10</v>
      </c>
      <c r="L281" s="7">
        <f>IFERROR(I281*(1-(K281/100)),"")</f>
        <v/>
      </c>
      <c r="M281" s="7">
        <f>IFERROR(LOOKUP(9.99E+307,C281:H281),"")</f>
        <v/>
      </c>
      <c r="N281" s="7">
        <f>IFERROR(IF(M281="","",IF(M281&lt;=N281,"停组🛑","继续✓")),"")</f>
        <v/>
      </c>
      <c r="O281" s="7">
        <f>IFERROR(IF(M281="","",IF(M281&lt;0.15,"SAFETY_STOP","")),"")</f>
        <v/>
      </c>
      <c r="P281" s="7">
        <f>IFERROR(IF(M281="","",IF(M281&lt;0.15,"SAFETY_STOP",IF(M281&lt;=N281,"VL_THRESHOLD",""))),"")</f>
        <v/>
      </c>
      <c r="Q281" s="7">
        <f>IFERROR(IF(I281="","",IF(I281&gt;(0.8+0.05),"+5kg",IF(I281&gt;(0.8+0.02),"+2.5kg",IF(I281&gt;=(0.8-0.05),"保持",IF(I281&gt;=(0.8-0.08),"-2.5kg","-5kg"))))),"")</f>
        <v/>
      </c>
      <c r="R281" s="9" t="n"/>
    </row>
    <row r="282">
      <c r="A282" s="7" t="n">
        <v>4</v>
      </c>
      <c r="B282" s="9" t="n"/>
      <c r="C282" s="9" t="n"/>
      <c r="D282" s="9" t="n"/>
      <c r="E282" s="9" t="n"/>
      <c r="F282" s="9" t="n"/>
      <c r="G282" s="9" t="n"/>
      <c r="H282" s="9" t="n"/>
      <c r="I282" s="7">
        <f>IFERROR(MAX(C282:H282),"")</f>
        <v/>
      </c>
      <c r="J282" s="7">
        <f>IFERROR(MATCH(I282,C282:H282,0),"")</f>
        <v/>
      </c>
      <c r="K282" s="7" t="n">
        <v>10</v>
      </c>
      <c r="L282" s="7">
        <f>IFERROR(I282*(1-(K282/100)),"")</f>
        <v/>
      </c>
      <c r="M282" s="7">
        <f>IFERROR(LOOKUP(9.99E+307,C282:H282),"")</f>
        <v/>
      </c>
      <c r="N282" s="7">
        <f>IFERROR(IF(M282="","",IF(M282&lt;=N282,"停组🛑","继续✓")),"")</f>
        <v/>
      </c>
      <c r="O282" s="7">
        <f>IFERROR(IF(M282="","",IF(M282&lt;0.15,"SAFETY_STOP","")),"")</f>
        <v/>
      </c>
      <c r="P282" s="7">
        <f>IFERROR(IF(M282="","",IF(M282&lt;0.15,"SAFETY_STOP",IF(M282&lt;=N282,"VL_THRESHOLD",""))),"")</f>
        <v/>
      </c>
      <c r="Q282" s="7">
        <f>IFERROR(IF(I282="","",IF(I282&gt;(0.8+0.05),"+5kg",IF(I282&gt;(0.8+0.02),"+2.5kg",IF(I282&gt;=(0.8-0.05),"保持",IF(I282&gt;=(0.8-0.08),"-2.5kg","-5kg"))))),"")</f>
        <v/>
      </c>
      <c r="R282" s="9" t="n"/>
    </row>
    <row r="283">
      <c r="A283" s="7" t="n">
        <v>5</v>
      </c>
      <c r="B283" s="9" t="n"/>
      <c r="C283" s="9" t="n"/>
      <c r="D283" s="9" t="n"/>
      <c r="E283" s="9" t="n"/>
      <c r="F283" s="9" t="n"/>
      <c r="G283" s="9" t="n"/>
      <c r="H283" s="9" t="n"/>
      <c r="I283" s="7">
        <f>IFERROR(MAX(C283:H283),"")</f>
        <v/>
      </c>
      <c r="J283" s="7">
        <f>IFERROR(MATCH(I283,C283:H283,0),"")</f>
        <v/>
      </c>
      <c r="K283" s="7" t="n">
        <v>10</v>
      </c>
      <c r="L283" s="7">
        <f>IFERROR(I283*(1-(K283/100)),"")</f>
        <v/>
      </c>
      <c r="M283" s="7">
        <f>IFERROR(LOOKUP(9.99E+307,C283:H283),"")</f>
        <v/>
      </c>
      <c r="N283" s="7">
        <f>IFERROR(IF(M283="","",IF(M283&lt;=N283,"停组🛑","继续✓")),"")</f>
        <v/>
      </c>
      <c r="O283" s="7">
        <f>IFERROR(IF(M283="","",IF(M283&lt;0.15,"SAFETY_STOP","")),"")</f>
        <v/>
      </c>
      <c r="P283" s="7">
        <f>IFERROR(IF(M283="","",IF(M283&lt;0.15,"SAFETY_STOP",IF(M283&lt;=N283,"VL_THRESHOLD",""))),"")</f>
        <v/>
      </c>
      <c r="Q283" s="7">
        <f>IFERROR(IF(I283="","",IF(I283&gt;(0.8+0.05),"+5kg",IF(I283&gt;(0.8+0.02),"+2.5kg",IF(I283&gt;=(0.8-0.05),"保持",IF(I283&gt;=(0.8-0.08),"-2.5kg","-5kg"))))),"")</f>
        <v/>
      </c>
      <c r="R283" s="9" t="n"/>
    </row>
    <row r="284">
      <c r="A284" s="7" t="n">
        <v>6</v>
      </c>
      <c r="B284" s="9" t="n"/>
      <c r="C284" s="9" t="n"/>
      <c r="D284" s="9" t="n"/>
      <c r="E284" s="9" t="n"/>
      <c r="F284" s="9" t="n"/>
      <c r="G284" s="9" t="n"/>
      <c r="H284" s="9" t="n"/>
      <c r="I284" s="7">
        <f>IFERROR(MAX(C284:H284),"")</f>
        <v/>
      </c>
      <c r="J284" s="7">
        <f>IFERROR(MATCH(I284,C284:H284,0),"")</f>
        <v/>
      </c>
      <c r="K284" s="7" t="n">
        <v>10</v>
      </c>
      <c r="L284" s="7">
        <f>IFERROR(I284*(1-(K284/100)),"")</f>
        <v/>
      </c>
      <c r="M284" s="7">
        <f>IFERROR(LOOKUP(9.99E+307,C284:H284),"")</f>
        <v/>
      </c>
      <c r="N284" s="7">
        <f>IFERROR(IF(M284="","",IF(M284&lt;=N284,"停组🛑","继续✓")),"")</f>
        <v/>
      </c>
      <c r="O284" s="7">
        <f>IFERROR(IF(M284="","",IF(M284&lt;0.15,"SAFETY_STOP","")),"")</f>
        <v/>
      </c>
      <c r="P284" s="7">
        <f>IFERROR(IF(M284="","",IF(M284&lt;0.15,"SAFETY_STOP",IF(M284&lt;=N284,"VL_THRESHOLD",""))),"")</f>
        <v/>
      </c>
      <c r="Q284" s="7">
        <f>IFERROR(IF(I284="","",IF(I284&gt;(0.8+0.05),"+5kg",IF(I284&gt;(0.8+0.02),"+2.5kg",IF(I284&gt;=(0.8-0.05),"保持",IF(I284&gt;=(0.8-0.08),"-2.5kg","-5kg"))))),"")</f>
        <v/>
      </c>
      <c r="R284" s="9" t="n"/>
    </row>
    <row r="285">
      <c r="A285" s="13" t="inlineStr">
        <is>
          <t>辅助</t>
        </is>
      </c>
      <c r="D285" s="14" t="inlineStr">
        <is>
          <t>保加利亚单腿蹲</t>
        </is>
      </c>
      <c r="E285" s="14" t="inlineStr">
        <is>
          <t>负荷</t>
        </is>
      </c>
      <c r="F285" s="14" t="inlineStr">
        <is>
          <t>完成</t>
        </is>
      </c>
      <c r="I285" t="inlineStr">
        <is>
          <t>VL</t>
        </is>
      </c>
    </row>
    <row r="286">
      <c r="A286" s="15" t="inlineStr">
        <is>
          <t>训练后</t>
        </is>
      </c>
      <c r="B286" s="15" t="inlineStr">
        <is>
          <t>开始</t>
        </is>
      </c>
      <c r="C286" s="15" t="inlineStr">
        <is>
          <t>结束</t>
        </is>
      </c>
      <c r="D286" s="15" t="inlineStr">
        <is>
          <t>时长min</t>
        </is>
      </c>
      <c r="E286" s="15" t="inlineStr">
        <is>
          <t>sRPE</t>
        </is>
      </c>
      <c r="F286" s="15" t="inlineStr">
        <is>
          <t>load</t>
        </is>
      </c>
      <c r="G286" s="15" t="inlineStr">
        <is>
          <t>不适?</t>
        </is>
      </c>
      <c r="H286" s="15" t="inlineStr">
        <is>
          <t>备注</t>
        </is>
      </c>
      <c r="I286" s="15" t="inlineStr">
        <is>
          <t>签名</t>
        </is>
      </c>
    </row>
    <row r="287">
      <c r="A287" s="7" t="n"/>
      <c r="B287" s="9" t="n"/>
      <c r="C287" s="9" t="n"/>
      <c r="D287" s="11">
        <f>IFERROR((C287-B287)*1440,"")</f>
        <v/>
      </c>
      <c r="E287" s="9" t="n"/>
      <c r="F287" s="11">
        <f>IFERROR(E287*D287,"")</f>
        <v/>
      </c>
      <c r="G287" s="9" t="n"/>
      <c r="H287" s="9" t="n"/>
      <c r="I287" s="9" t="n"/>
    </row>
    <row r="288">
      <c r="A288" s="16" t="inlineStr">
        <is>
          <t>跳跃</t>
        </is>
      </c>
      <c r="B288" s="16" t="inlineStr">
        <is>
          <t>类型</t>
        </is>
      </c>
      <c r="C288" s="16" t="inlineStr">
        <is>
          <t>组×次</t>
        </is>
      </c>
      <c r="D288" s="16" t="inlineStr">
        <is>
          <t>负荷kg</t>
        </is>
      </c>
      <c r="E288" s="16" t="inlineStr">
        <is>
          <t>接触</t>
        </is>
      </c>
    </row>
    <row r="289">
      <c r="B289" t="inlineStr">
        <is>
          <t>SJ</t>
        </is>
      </c>
      <c r="C289" t="inlineStr">
        <is>
          <t>3×3</t>
        </is>
      </c>
      <c r="D289" t="n">
        <v>0</v>
      </c>
      <c r="E289" t="n">
        <v>9</v>
      </c>
    </row>
    <row r="290">
      <c r="B290" t="inlineStr">
        <is>
          <t>负重跳</t>
        </is>
      </c>
      <c r="C290" t="inlineStr">
        <is>
          <t>3×4</t>
        </is>
      </c>
      <c r="D290" s="14" t="n"/>
      <c r="E290" s="14" t="n"/>
    </row>
    <row r="291">
      <c r="A291" s="17" t="inlineStr">
        <is>
          <t>▶ 暴露量汇总</t>
        </is>
      </c>
      <c r="B291" s="17" t="inlineStr">
        <is>
          <t>说明</t>
        </is>
      </c>
      <c r="C291" s="17" t="inlineStr">
        <is>
          <t>公式/来源</t>
        </is>
      </c>
      <c r="D291" s="17" t="inlineStr">
        <is>
          <t>数值</t>
        </is>
      </c>
    </row>
    <row r="292">
      <c r="A292" s="18" t="inlineStr">
        <is>
          <t>① 无负荷跳跃接触</t>
        </is>
      </c>
      <c r="B292" s="18" t="inlineStr">
        <is>
          <t>CMJ+SJ+箱跳</t>
        </is>
      </c>
      <c r="C292" s="19">
        <f>IFERROR(E289+E290,2)</f>
        <v/>
      </c>
    </row>
    <row r="293">
      <c r="A293" s="18" t="inlineStr">
        <is>
          <t>② 负重跳跃接触</t>
        </is>
      </c>
      <c r="B293" s="18" t="inlineStr">
        <is>
          <t>负重深蹲跳</t>
        </is>
      </c>
      <c r="C293" s="19">
        <f>IFERROR(E290,"")</f>
        <v/>
      </c>
    </row>
    <row r="294">
      <c r="A294" s="18" t="inlineStr">
        <is>
          <t>③ 跳跃总计</t>
        </is>
      </c>
      <c r="B294" s="18" t="inlineStr">
        <is>
          <t>①+②</t>
        </is>
      </c>
      <c r="C294" s="19">
        <f>IFERROR(B292+B293,"")</f>
        <v/>
      </c>
    </row>
    <row r="295">
      <c r="A295" s="18" t="inlineStr">
        <is>
          <t>④ 热身VL</t>
        </is>
      </c>
      <c r="B295" s="18" t="inlineStr">
        <is>
          <t>20×5+50%×3(+70%×2)</t>
        </is>
      </c>
      <c r="C295" s="19">
        <f>IFERROR(20*5+ROUND(V275*0.5,0)*3,"-")</f>
        <v/>
      </c>
    </row>
    <row r="296">
      <c r="A296" s="20" t="inlineStr">
        <is>
          <t>⑤ 主项工作组VL ★</t>
        </is>
      </c>
      <c r="B296" s="20" t="inlineStr">
        <is>
          <t>Σ(负荷×次数)</t>
        </is>
      </c>
      <c r="C296" s="21">
        <f>SUMPRODUCT($B$279:$B$284,$R$279:$R$284)</f>
        <v/>
      </c>
    </row>
    <row r="297">
      <c r="A297" s="18" t="inlineStr">
        <is>
          <t>⑥ 主项总VL</t>
        </is>
      </c>
      <c r="B297" s="18" t="inlineStr">
        <is>
          <t>④+⑤</t>
        </is>
      </c>
      <c r="C297" s="19">
        <f>IFERROR(D292+D293,"")</f>
        <v/>
      </c>
    </row>
    <row r="298">
      <c r="A298" s="18" t="inlineStr">
        <is>
          <t>⑦ 辅助VL</t>
        </is>
      </c>
      <c r="B298" s="18" t="inlineStr">
        <is>
          <t>RDL/保加利亚</t>
        </is>
      </c>
      <c r="C298" s="19">
        <f>IFERROR(I285,"")</f>
        <v/>
      </c>
    </row>
    <row r="299">
      <c r="A299" s="18" t="inlineStr">
        <is>
          <t>⑧ 总外部负荷</t>
        </is>
      </c>
      <c r="B299" s="18" t="inlineStr">
        <is>
          <t>⑥+⑦(+负重跳)</t>
        </is>
      </c>
      <c r="C299" s="19">
        <f>IFERROR(F292+G292,"")</f>
        <v/>
      </c>
    </row>
    <row r="300">
      <c r="A300" s="18" t="inlineStr">
        <is>
          <t>⑨ sRPE load</t>
        </is>
      </c>
      <c r="B300" s="18" t="inlineStr">
        <is>
          <t>sRPE×时长</t>
        </is>
      </c>
      <c r="C300" s="19">
        <f>IFERROR(F287,"")</f>
        <v/>
      </c>
    </row>
    <row r="303">
      <c r="A303" s="5" t="inlineStr">
        <is>
          <t>P010 张锦荣  a=1.26 b=-0.006 1RM=120</t>
        </is>
      </c>
    </row>
    <row r="304">
      <c r="A304" s="6" t="inlineStr">
        <is>
          <t>编号</t>
        </is>
      </c>
      <c r="B304" s="6" t="inlineStr">
        <is>
          <t>姓名</t>
        </is>
      </c>
      <c r="C304" s="6" t="inlineStr">
        <is>
          <t>身高</t>
        </is>
      </c>
      <c r="D304" s="6" t="inlineStr">
        <is>
          <t>1RM</t>
        </is>
      </c>
      <c r="E304" s="6" t="inlineStr">
        <is>
          <t>Hooper睡</t>
        </is>
      </c>
      <c r="F304" s="6" t="inlineStr">
        <is>
          <t>Hooper压</t>
        </is>
      </c>
      <c r="G304" s="6" t="inlineStr">
        <is>
          <t>Hooper疲</t>
        </is>
      </c>
      <c r="H304" s="6" t="inlineStr">
        <is>
          <t>Hooper酸</t>
        </is>
      </c>
      <c r="I304" s="6" t="inlineStr">
        <is>
          <t>H总</t>
        </is>
      </c>
      <c r="J304" s="6" t="inlineStr">
        <is>
          <t>不适?</t>
        </is>
      </c>
      <c r="K304" s="6" t="inlineStr">
        <is>
          <t>说明</t>
        </is>
      </c>
      <c r="L304" s="6" t="inlineStr">
        <is>
          <t>CMJ1</t>
        </is>
      </c>
      <c r="M304" s="6" t="inlineStr">
        <is>
          <t>CMJ2</t>
        </is>
      </c>
      <c r="N304" s="6" t="inlineStr">
        <is>
          <t>CMJ3</t>
        </is>
      </c>
      <c r="O304" s="6" t="inlineStr">
        <is>
          <t>CMJμ</t>
        </is>
      </c>
      <c r="P304" s="6" t="inlineStr">
        <is>
          <t>&lt;95%</t>
        </is>
      </c>
      <c r="Q304" s="6" t="inlineStr">
        <is>
          <t>减组</t>
        </is>
      </c>
      <c r="R304" s="6" t="inlineStr">
        <is>
          <t>组数</t>
        </is>
      </c>
      <c r="S304" s="6" t="inlineStr">
        <is>
          <t>a(V0)</t>
        </is>
      </c>
      <c r="T304" s="6" t="inlineStr">
        <is>
          <t>b</t>
        </is>
      </c>
      <c r="U304" s="6" t="inlineStr">
        <is>
          <t>等级</t>
        </is>
      </c>
      <c r="V304" s="6" t="inlineStr">
        <is>
          <t>预测起始</t>
        </is>
      </c>
    </row>
    <row r="305">
      <c r="A305" s="7" t="inlineStr">
        <is>
          <t>P010</t>
        </is>
      </c>
      <c r="B305" s="7" t="inlineStr">
        <is>
          <t>张锦荣</t>
        </is>
      </c>
      <c r="C305" s="7" t="n">
        <v>174</v>
      </c>
      <c r="D305" s="8" t="n">
        <v>120</v>
      </c>
      <c r="E305" s="9" t="n"/>
      <c r="F305" s="9" t="n"/>
      <c r="G305" s="9" t="n"/>
      <c r="H305" s="9" t="n"/>
      <c r="I305" s="7">
        <f>IFERROR(SUM(E305:H305),"")</f>
        <v/>
      </c>
      <c r="J305" s="9" t="n"/>
      <c r="K305" s="9" t="n"/>
      <c r="L305" s="9" t="n"/>
      <c r="M305" s="9" t="n"/>
      <c r="N305" s="9" t="n"/>
      <c r="O305" s="7">
        <f>IFERROR(AVERAGE(L305:N305),"")</f>
        <v/>
      </c>
      <c r="P305" s="7">
        <f>IF(O305="","",IF(O305&lt;50.42,"是⚠","否"))</f>
        <v/>
      </c>
      <c r="Q305" s="7">
        <f>IF(O305="","",IF(O305&lt;50.42,4-1,4))</f>
        <v/>
      </c>
      <c r="R305" s="7" t="n"/>
      <c r="S305" s="8" t="n">
        <v>1.26</v>
      </c>
      <c r="T305" s="8" t="n">
        <v>-0.006</v>
      </c>
      <c r="U305" s="7" t="inlineStr">
        <is>
          <t>B</t>
        </is>
      </c>
      <c r="V305" s="8" t="n">
        <v>77.5</v>
      </c>
    </row>
    <row r="306">
      <c r="A306" s="10" t="inlineStr">
        <is>
          <t>热身校准</t>
        </is>
      </c>
      <c r="B306" s="10" t="inlineStr">
        <is>
          <t>a</t>
        </is>
      </c>
      <c r="C306" s="10" t="inlineStr">
        <is>
          <t>b</t>
        </is>
      </c>
      <c r="D306" s="10" t="inlineStr">
        <is>
          <t>50%热身</t>
        </is>
      </c>
      <c r="E306" s="10" t="inlineStr">
        <is>
          <t>70%热身</t>
        </is>
      </c>
      <c r="F306" s="10" t="inlineStr">
        <is>
          <t>热身负荷</t>
        </is>
      </c>
      <c r="G306" s="10" t="inlineStr">
        <is>
          <t>实测MCV</t>
        </is>
      </c>
      <c r="H306" s="10" t="inlineStr">
        <is>
          <t>预测MCV</t>
        </is>
      </c>
      <c r="I306" s="10" t="inlineStr">
        <is>
          <t>Δv</t>
        </is>
      </c>
      <c r="J306" s="10" t="inlineStr">
        <is>
          <t>调整量</t>
        </is>
      </c>
      <c r="K306" s="10" t="inlineStr">
        <is>
          <t>校准第1组</t>
        </is>
      </c>
    </row>
    <row r="307">
      <c r="A307" s="7" t="n"/>
      <c r="B307" s="11" t="n">
        <v>1.26</v>
      </c>
      <c r="C307" s="11" t="n">
        <v>-0.006</v>
      </c>
      <c r="D307" s="11">
        <f>IFERROR(ROUND(V305*0.5/2.5,0)*2.5,"")</f>
        <v/>
      </c>
      <c r="E307" s="11" t="inlineStr"/>
      <c r="F307" s="11">
        <f>IFERROR(ROUND(V305*0.5/2.5,0)*2.5,"")</f>
        <v/>
      </c>
      <c r="G307" s="9" t="n"/>
      <c r="H307" s="11">
        <f>IFERROR(B307+C307*F307,"")</f>
        <v/>
      </c>
      <c r="I307" s="11">
        <f>IFERROR(G307-H307,"")</f>
        <v/>
      </c>
      <c r="J307" s="11">
        <f>IFERROR(IF(I307&gt;0.08,5,IF(I307&gt;0.04,2.5,IF(I307&gt;=-0.04,0,IF(I307&gt;=-0.08,-2.5,-5)))),"")</f>
        <v/>
      </c>
      <c r="K307" s="11">
        <f>IFERROR(ROUND(V305+J307,0),"")</f>
        <v/>
      </c>
    </row>
    <row r="308">
      <c r="A308" s="12" t="inlineStr">
        <is>
          <t>组</t>
        </is>
      </c>
      <c r="B308" s="12" t="inlineStr">
        <is>
          <t>负荷</t>
        </is>
      </c>
      <c r="C308" s="12" t="inlineStr">
        <is>
          <t>rep1</t>
        </is>
      </c>
      <c r="D308" s="12" t="inlineStr">
        <is>
          <t>rep2</t>
        </is>
      </c>
      <c r="E308" s="12" t="inlineStr">
        <is>
          <t>rep3</t>
        </is>
      </c>
      <c r="F308" s="12" t="inlineStr">
        <is>
          <t>rep4</t>
        </is>
      </c>
      <c r="G308" s="12" t="inlineStr">
        <is>
          <t>rep5</t>
        </is>
      </c>
      <c r="H308" s="12" t="inlineStr">
        <is>
          <t>rep6</t>
        </is>
      </c>
      <c r="I308" s="12" t="inlineStr">
        <is>
          <t>best</t>
        </is>
      </c>
      <c r="J308" s="12" t="inlineStr">
        <is>
          <t>best#</t>
        </is>
      </c>
      <c r="K308" s="12" t="inlineStr">
        <is>
          <t>VL%</t>
        </is>
      </c>
      <c r="L308" s="12" t="inlineStr">
        <is>
          <t>stop_th</t>
        </is>
      </c>
      <c r="M308" s="12" t="inlineStr">
        <is>
          <t>latest</t>
        </is>
      </c>
      <c r="N308" s="12" t="inlineStr">
        <is>
          <t>VL_flag</t>
        </is>
      </c>
      <c r="O308" s="12" t="inlineStr">
        <is>
          <t>safety</t>
        </is>
      </c>
      <c r="P308" s="12" t="inlineStr">
        <is>
          <t>原因</t>
        </is>
      </c>
      <c r="Q308" s="12" t="inlineStr">
        <is>
          <t>建议</t>
        </is>
      </c>
      <c r="R308" s="12" t="inlineStr">
        <is>
          <t>次数</t>
        </is>
      </c>
    </row>
    <row r="309">
      <c r="A309" s="7" t="n">
        <v>1</v>
      </c>
      <c r="B309" s="9">
        <f>IFERROR(K307,"")</f>
        <v/>
      </c>
      <c r="C309" s="9" t="n"/>
      <c r="D309" s="9" t="n"/>
      <c r="E309" s="9" t="n"/>
      <c r="F309" s="9" t="n"/>
      <c r="G309" s="9" t="n"/>
      <c r="H309" s="9" t="n"/>
      <c r="I309" s="7">
        <f>IFERROR(MAX(C309:H309),"")</f>
        <v/>
      </c>
      <c r="J309" s="7">
        <f>IFERROR(MATCH(I309,C309:H309,0),"")</f>
        <v/>
      </c>
      <c r="K309" s="7" t="n">
        <v>10</v>
      </c>
      <c r="L309" s="7">
        <f>IFERROR(I309*(1-(K309/100)),"")</f>
        <v/>
      </c>
      <c r="M309" s="7">
        <f>IFERROR(LOOKUP(9.99E+307,C309:H309),"")</f>
        <v/>
      </c>
      <c r="N309" s="7">
        <f>IFERROR(IF(M309="","",IF(M309&lt;=N309,"停组🛑","继续✓")),"")</f>
        <v/>
      </c>
      <c r="O309" s="7">
        <f>IFERROR(IF(M309="","",IF(M309&lt;0.15,"SAFETY_STOP","")),"")</f>
        <v/>
      </c>
      <c r="P309" s="7">
        <f>IFERROR(IF(M309="","",IF(M309&lt;0.15,"SAFETY_STOP",IF(M309&lt;=N309,"VL_THRESHOLD",""))),"")</f>
        <v/>
      </c>
      <c r="Q309" s="7">
        <f>IFERROR(IF(I309="","",IF(I309&gt;(0.8+0.05),"+5kg",IF(I309&gt;(0.8+0.02),"+2.5kg",IF(I309&gt;=(0.8-0.05),"保持",IF(I309&gt;=(0.8-0.08),"-2.5kg","-5kg"))))),"")</f>
        <v/>
      </c>
      <c r="R309" s="9" t="n"/>
    </row>
    <row r="310">
      <c r="A310" s="7" t="n">
        <v>2</v>
      </c>
      <c r="B310" s="9" t="n"/>
      <c r="C310" s="9" t="n"/>
      <c r="D310" s="9" t="n"/>
      <c r="E310" s="9" t="n"/>
      <c r="F310" s="9" t="n"/>
      <c r="G310" s="9" t="n"/>
      <c r="H310" s="9" t="n"/>
      <c r="I310" s="7">
        <f>IFERROR(MAX(C310:H310),"")</f>
        <v/>
      </c>
      <c r="J310" s="7">
        <f>IFERROR(MATCH(I310,C310:H310,0),"")</f>
        <v/>
      </c>
      <c r="K310" s="7" t="n">
        <v>10</v>
      </c>
      <c r="L310" s="7">
        <f>IFERROR(I310*(1-(K310/100)),"")</f>
        <v/>
      </c>
      <c r="M310" s="7">
        <f>IFERROR(LOOKUP(9.99E+307,C310:H310),"")</f>
        <v/>
      </c>
      <c r="N310" s="7">
        <f>IFERROR(IF(M310="","",IF(M310&lt;=N310,"停组🛑","继续✓")),"")</f>
        <v/>
      </c>
      <c r="O310" s="7">
        <f>IFERROR(IF(M310="","",IF(M310&lt;0.15,"SAFETY_STOP","")),"")</f>
        <v/>
      </c>
      <c r="P310" s="7">
        <f>IFERROR(IF(M310="","",IF(M310&lt;0.15,"SAFETY_STOP",IF(M310&lt;=N310,"VL_THRESHOLD",""))),"")</f>
        <v/>
      </c>
      <c r="Q310" s="7">
        <f>IFERROR(IF(I310="","",IF(I310&gt;(0.8+0.05),"+5kg",IF(I310&gt;(0.8+0.02),"+2.5kg",IF(I310&gt;=(0.8-0.05),"保持",IF(I310&gt;=(0.8-0.08),"-2.5kg","-5kg"))))),"")</f>
        <v/>
      </c>
      <c r="R310" s="9" t="n"/>
    </row>
    <row r="311">
      <c r="A311" s="7" t="n">
        <v>3</v>
      </c>
      <c r="B311" s="9" t="n"/>
      <c r="C311" s="9" t="n"/>
      <c r="D311" s="9" t="n"/>
      <c r="E311" s="9" t="n"/>
      <c r="F311" s="9" t="n"/>
      <c r="G311" s="9" t="n"/>
      <c r="H311" s="9" t="n"/>
      <c r="I311" s="7">
        <f>IFERROR(MAX(C311:H311),"")</f>
        <v/>
      </c>
      <c r="J311" s="7">
        <f>IFERROR(MATCH(I311,C311:H311,0),"")</f>
        <v/>
      </c>
      <c r="K311" s="7" t="n">
        <v>10</v>
      </c>
      <c r="L311" s="7">
        <f>IFERROR(I311*(1-(K311/100)),"")</f>
        <v/>
      </c>
      <c r="M311" s="7">
        <f>IFERROR(LOOKUP(9.99E+307,C311:H311),"")</f>
        <v/>
      </c>
      <c r="N311" s="7">
        <f>IFERROR(IF(M311="","",IF(M311&lt;=N311,"停组🛑","继续✓")),"")</f>
        <v/>
      </c>
      <c r="O311" s="7">
        <f>IFERROR(IF(M311="","",IF(M311&lt;0.15,"SAFETY_STOP","")),"")</f>
        <v/>
      </c>
      <c r="P311" s="7">
        <f>IFERROR(IF(M311="","",IF(M311&lt;0.15,"SAFETY_STOP",IF(M311&lt;=N311,"VL_THRESHOLD",""))),"")</f>
        <v/>
      </c>
      <c r="Q311" s="7">
        <f>IFERROR(IF(I311="","",IF(I311&gt;(0.8+0.05),"+5kg",IF(I311&gt;(0.8+0.02),"+2.5kg",IF(I311&gt;=(0.8-0.05),"保持",IF(I311&gt;=(0.8-0.08),"-2.5kg","-5kg"))))),"")</f>
        <v/>
      </c>
      <c r="R311" s="9" t="n"/>
    </row>
    <row r="312">
      <c r="A312" s="7" t="n">
        <v>4</v>
      </c>
      <c r="B312" s="9" t="n"/>
      <c r="C312" s="9" t="n"/>
      <c r="D312" s="9" t="n"/>
      <c r="E312" s="9" t="n"/>
      <c r="F312" s="9" t="n"/>
      <c r="G312" s="9" t="n"/>
      <c r="H312" s="9" t="n"/>
      <c r="I312" s="7">
        <f>IFERROR(MAX(C312:H312),"")</f>
        <v/>
      </c>
      <c r="J312" s="7">
        <f>IFERROR(MATCH(I312,C312:H312,0),"")</f>
        <v/>
      </c>
      <c r="K312" s="7" t="n">
        <v>10</v>
      </c>
      <c r="L312" s="7">
        <f>IFERROR(I312*(1-(K312/100)),"")</f>
        <v/>
      </c>
      <c r="M312" s="7">
        <f>IFERROR(LOOKUP(9.99E+307,C312:H312),"")</f>
        <v/>
      </c>
      <c r="N312" s="7">
        <f>IFERROR(IF(M312="","",IF(M312&lt;=N312,"停组🛑","继续✓")),"")</f>
        <v/>
      </c>
      <c r="O312" s="7">
        <f>IFERROR(IF(M312="","",IF(M312&lt;0.15,"SAFETY_STOP","")),"")</f>
        <v/>
      </c>
      <c r="P312" s="7">
        <f>IFERROR(IF(M312="","",IF(M312&lt;0.15,"SAFETY_STOP",IF(M312&lt;=N312,"VL_THRESHOLD",""))),"")</f>
        <v/>
      </c>
      <c r="Q312" s="7">
        <f>IFERROR(IF(I312="","",IF(I312&gt;(0.8+0.05),"+5kg",IF(I312&gt;(0.8+0.02),"+2.5kg",IF(I312&gt;=(0.8-0.05),"保持",IF(I312&gt;=(0.8-0.08),"-2.5kg","-5kg"))))),"")</f>
        <v/>
      </c>
      <c r="R312" s="9" t="n"/>
    </row>
    <row r="313">
      <c r="A313" s="7" t="n">
        <v>5</v>
      </c>
      <c r="B313" s="9" t="n"/>
      <c r="C313" s="9" t="n"/>
      <c r="D313" s="9" t="n"/>
      <c r="E313" s="9" t="n"/>
      <c r="F313" s="9" t="n"/>
      <c r="G313" s="9" t="n"/>
      <c r="H313" s="9" t="n"/>
      <c r="I313" s="7">
        <f>IFERROR(MAX(C313:H313),"")</f>
        <v/>
      </c>
      <c r="J313" s="7">
        <f>IFERROR(MATCH(I313,C313:H313,0),"")</f>
        <v/>
      </c>
      <c r="K313" s="7" t="n">
        <v>10</v>
      </c>
      <c r="L313" s="7">
        <f>IFERROR(I313*(1-(K313/100)),"")</f>
        <v/>
      </c>
      <c r="M313" s="7">
        <f>IFERROR(LOOKUP(9.99E+307,C313:H313),"")</f>
        <v/>
      </c>
      <c r="N313" s="7">
        <f>IFERROR(IF(M313="","",IF(M313&lt;=N313,"停组🛑","继续✓")),"")</f>
        <v/>
      </c>
      <c r="O313" s="7">
        <f>IFERROR(IF(M313="","",IF(M313&lt;0.15,"SAFETY_STOP","")),"")</f>
        <v/>
      </c>
      <c r="P313" s="7">
        <f>IFERROR(IF(M313="","",IF(M313&lt;0.15,"SAFETY_STOP",IF(M313&lt;=N313,"VL_THRESHOLD",""))),"")</f>
        <v/>
      </c>
      <c r="Q313" s="7">
        <f>IFERROR(IF(I313="","",IF(I313&gt;(0.8+0.05),"+5kg",IF(I313&gt;(0.8+0.02),"+2.5kg",IF(I313&gt;=(0.8-0.05),"保持",IF(I313&gt;=(0.8-0.08),"-2.5kg","-5kg"))))),"")</f>
        <v/>
      </c>
      <c r="R313" s="9" t="n"/>
    </row>
    <row r="314">
      <c r="A314" s="7" t="n">
        <v>6</v>
      </c>
      <c r="B314" s="9" t="n"/>
      <c r="C314" s="9" t="n"/>
      <c r="D314" s="9" t="n"/>
      <c r="E314" s="9" t="n"/>
      <c r="F314" s="9" t="n"/>
      <c r="G314" s="9" t="n"/>
      <c r="H314" s="9" t="n"/>
      <c r="I314" s="7">
        <f>IFERROR(MAX(C314:H314),"")</f>
        <v/>
      </c>
      <c r="J314" s="7">
        <f>IFERROR(MATCH(I314,C314:H314,0),"")</f>
        <v/>
      </c>
      <c r="K314" s="7" t="n">
        <v>10</v>
      </c>
      <c r="L314" s="7">
        <f>IFERROR(I314*(1-(K314/100)),"")</f>
        <v/>
      </c>
      <c r="M314" s="7">
        <f>IFERROR(LOOKUP(9.99E+307,C314:H314),"")</f>
        <v/>
      </c>
      <c r="N314" s="7">
        <f>IFERROR(IF(M314="","",IF(M314&lt;=N314,"停组🛑","继续✓")),"")</f>
        <v/>
      </c>
      <c r="O314" s="7">
        <f>IFERROR(IF(M314="","",IF(M314&lt;0.15,"SAFETY_STOP","")),"")</f>
        <v/>
      </c>
      <c r="P314" s="7">
        <f>IFERROR(IF(M314="","",IF(M314&lt;0.15,"SAFETY_STOP",IF(M314&lt;=N314,"VL_THRESHOLD",""))),"")</f>
        <v/>
      </c>
      <c r="Q314" s="7">
        <f>IFERROR(IF(I314="","",IF(I314&gt;(0.8+0.05),"+5kg",IF(I314&gt;(0.8+0.02),"+2.5kg",IF(I314&gt;=(0.8-0.05),"保持",IF(I314&gt;=(0.8-0.08),"-2.5kg","-5kg"))))),"")</f>
        <v/>
      </c>
      <c r="R314" s="9" t="n"/>
    </row>
    <row r="315">
      <c r="A315" s="13" t="inlineStr">
        <is>
          <t>辅助</t>
        </is>
      </c>
      <c r="D315" s="14" t="inlineStr">
        <is>
          <t>保加利亚单腿蹲</t>
        </is>
      </c>
      <c r="E315" s="14" t="inlineStr">
        <is>
          <t>负荷</t>
        </is>
      </c>
      <c r="F315" s="14" t="inlineStr">
        <is>
          <t>完成</t>
        </is>
      </c>
      <c r="I315" t="inlineStr">
        <is>
          <t>VL</t>
        </is>
      </c>
    </row>
    <row r="316">
      <c r="A316" s="15" t="inlineStr">
        <is>
          <t>训练后</t>
        </is>
      </c>
      <c r="B316" s="15" t="inlineStr">
        <is>
          <t>开始</t>
        </is>
      </c>
      <c r="C316" s="15" t="inlineStr">
        <is>
          <t>结束</t>
        </is>
      </c>
      <c r="D316" s="15" t="inlineStr">
        <is>
          <t>时长min</t>
        </is>
      </c>
      <c r="E316" s="15" t="inlineStr">
        <is>
          <t>sRPE</t>
        </is>
      </c>
      <c r="F316" s="15" t="inlineStr">
        <is>
          <t>load</t>
        </is>
      </c>
      <c r="G316" s="15" t="inlineStr">
        <is>
          <t>不适?</t>
        </is>
      </c>
      <c r="H316" s="15" t="inlineStr">
        <is>
          <t>备注</t>
        </is>
      </c>
      <c r="I316" s="15" t="inlineStr">
        <is>
          <t>签名</t>
        </is>
      </c>
    </row>
    <row r="317">
      <c r="A317" s="7" t="n"/>
      <c r="B317" s="9" t="n"/>
      <c r="C317" s="9" t="n"/>
      <c r="D317" s="11">
        <f>IFERROR((C317-B317)*1440,"")</f>
        <v/>
      </c>
      <c r="E317" s="9" t="n"/>
      <c r="F317" s="11">
        <f>IFERROR(E317*D317,"")</f>
        <v/>
      </c>
      <c r="G317" s="9" t="n"/>
      <c r="H317" s="9" t="n"/>
      <c r="I317" s="9" t="n"/>
    </row>
    <row r="318">
      <c r="A318" s="16" t="inlineStr">
        <is>
          <t>跳跃</t>
        </is>
      </c>
      <c r="B318" s="16" t="inlineStr">
        <is>
          <t>类型</t>
        </is>
      </c>
      <c r="C318" s="16" t="inlineStr">
        <is>
          <t>组×次</t>
        </is>
      </c>
      <c r="D318" s="16" t="inlineStr">
        <is>
          <t>负荷kg</t>
        </is>
      </c>
      <c r="E318" s="16" t="inlineStr">
        <is>
          <t>接触</t>
        </is>
      </c>
    </row>
    <row r="319">
      <c r="B319" t="inlineStr">
        <is>
          <t>SJ</t>
        </is>
      </c>
      <c r="C319" t="inlineStr">
        <is>
          <t>3×3</t>
        </is>
      </c>
      <c r="D319" t="n">
        <v>0</v>
      </c>
      <c r="E319" t="n">
        <v>9</v>
      </c>
    </row>
    <row r="320">
      <c r="B320" t="inlineStr">
        <is>
          <t>负重跳</t>
        </is>
      </c>
      <c r="C320" t="inlineStr">
        <is>
          <t>3×4</t>
        </is>
      </c>
      <c r="D320" s="14" t="n"/>
      <c r="E320" s="14" t="n"/>
    </row>
    <row r="321">
      <c r="A321" s="17" t="inlineStr">
        <is>
          <t>▶ 暴露量汇总</t>
        </is>
      </c>
      <c r="B321" s="17" t="inlineStr">
        <is>
          <t>说明</t>
        </is>
      </c>
      <c r="C321" s="17" t="inlineStr">
        <is>
          <t>公式/来源</t>
        </is>
      </c>
      <c r="D321" s="17" t="inlineStr">
        <is>
          <t>数值</t>
        </is>
      </c>
    </row>
    <row r="322">
      <c r="A322" s="18" t="inlineStr">
        <is>
          <t>① 无负荷跳跃接触</t>
        </is>
      </c>
      <c r="B322" s="18" t="inlineStr">
        <is>
          <t>CMJ+SJ+箱跳</t>
        </is>
      </c>
      <c r="C322" s="19">
        <f>IFERROR(E319+E320,2)</f>
        <v/>
      </c>
    </row>
    <row r="323">
      <c r="A323" s="18" t="inlineStr">
        <is>
          <t>② 负重跳跃接触</t>
        </is>
      </c>
      <c r="B323" s="18" t="inlineStr">
        <is>
          <t>负重深蹲跳</t>
        </is>
      </c>
      <c r="C323" s="19">
        <f>IFERROR(E320,"")</f>
        <v/>
      </c>
    </row>
    <row r="324">
      <c r="A324" s="18" t="inlineStr">
        <is>
          <t>③ 跳跃总计</t>
        </is>
      </c>
      <c r="B324" s="18" t="inlineStr">
        <is>
          <t>①+②</t>
        </is>
      </c>
      <c r="C324" s="19">
        <f>IFERROR(B322+B323,"")</f>
        <v/>
      </c>
    </row>
    <row r="325">
      <c r="A325" s="18" t="inlineStr">
        <is>
          <t>④ 热身VL</t>
        </is>
      </c>
      <c r="B325" s="18" t="inlineStr">
        <is>
          <t>20×5+50%×3(+70%×2)</t>
        </is>
      </c>
      <c r="C325" s="19">
        <f>IFERROR(20*5+ROUND(V305*0.5,0)*3,"-")</f>
        <v/>
      </c>
    </row>
    <row r="326">
      <c r="A326" s="20" t="inlineStr">
        <is>
          <t>⑤ 主项工作组VL ★</t>
        </is>
      </c>
      <c r="B326" s="20" t="inlineStr">
        <is>
          <t>Σ(负荷×次数)</t>
        </is>
      </c>
      <c r="C326" s="21">
        <f>SUMPRODUCT($B$309:$B$314,$R$309:$R$314)</f>
        <v/>
      </c>
    </row>
    <row r="327">
      <c r="A327" s="18" t="inlineStr">
        <is>
          <t>⑥ 主项总VL</t>
        </is>
      </c>
      <c r="B327" s="18" t="inlineStr">
        <is>
          <t>④+⑤</t>
        </is>
      </c>
      <c r="C327" s="19">
        <f>IFERROR(D322+D323,"")</f>
        <v/>
      </c>
    </row>
    <row r="328">
      <c r="A328" s="18" t="inlineStr">
        <is>
          <t>⑦ 辅助VL</t>
        </is>
      </c>
      <c r="B328" s="18" t="inlineStr">
        <is>
          <t>RDL/保加利亚</t>
        </is>
      </c>
      <c r="C328" s="19">
        <f>IFERROR(I315,"")</f>
        <v/>
      </c>
    </row>
    <row r="329">
      <c r="A329" s="18" t="inlineStr">
        <is>
          <t>⑧ 总外部负荷</t>
        </is>
      </c>
      <c r="B329" s="18" t="inlineStr">
        <is>
          <t>⑥+⑦(+负重跳)</t>
        </is>
      </c>
      <c r="C329" s="19">
        <f>IFERROR(F322+G322,"")</f>
        <v/>
      </c>
    </row>
    <row r="330">
      <c r="A330" s="18" t="inlineStr">
        <is>
          <t>⑨ sRPE load</t>
        </is>
      </c>
      <c r="B330" s="18" t="inlineStr">
        <is>
          <t>sRPE×时长</t>
        </is>
      </c>
      <c r="C330" s="19">
        <f>IFERROR(F317,"")</f>
        <v/>
      </c>
    </row>
    <row r="333">
      <c r="A333" s="5" t="inlineStr">
        <is>
          <t>P009 王宏池  a=1.567 b=-0.0085 1RM=135</t>
        </is>
      </c>
    </row>
    <row r="334">
      <c r="A334" s="6" t="inlineStr">
        <is>
          <t>编号</t>
        </is>
      </c>
      <c r="B334" s="6" t="inlineStr">
        <is>
          <t>姓名</t>
        </is>
      </c>
      <c r="C334" s="6" t="inlineStr">
        <is>
          <t>身高</t>
        </is>
      </c>
      <c r="D334" s="6" t="inlineStr">
        <is>
          <t>1RM</t>
        </is>
      </c>
      <c r="E334" s="6" t="inlineStr">
        <is>
          <t>Hooper睡</t>
        </is>
      </c>
      <c r="F334" s="6" t="inlineStr">
        <is>
          <t>Hooper压</t>
        </is>
      </c>
      <c r="G334" s="6" t="inlineStr">
        <is>
          <t>Hooper疲</t>
        </is>
      </c>
      <c r="H334" s="6" t="inlineStr">
        <is>
          <t>Hooper酸</t>
        </is>
      </c>
      <c r="I334" s="6" t="inlineStr">
        <is>
          <t>H总</t>
        </is>
      </c>
      <c r="J334" s="6" t="inlineStr">
        <is>
          <t>不适?</t>
        </is>
      </c>
      <c r="K334" s="6" t="inlineStr">
        <is>
          <t>说明</t>
        </is>
      </c>
      <c r="L334" s="6" t="inlineStr">
        <is>
          <t>CMJ1</t>
        </is>
      </c>
      <c r="M334" s="6" t="inlineStr">
        <is>
          <t>CMJ2</t>
        </is>
      </c>
      <c r="N334" s="6" t="inlineStr">
        <is>
          <t>CMJ3</t>
        </is>
      </c>
      <c r="O334" s="6" t="inlineStr">
        <is>
          <t>CMJμ</t>
        </is>
      </c>
      <c r="P334" s="6" t="inlineStr">
        <is>
          <t>&lt;95%</t>
        </is>
      </c>
      <c r="Q334" s="6" t="inlineStr">
        <is>
          <t>减组</t>
        </is>
      </c>
      <c r="R334" s="6" t="inlineStr">
        <is>
          <t>组数</t>
        </is>
      </c>
      <c r="S334" s="6" t="inlineStr">
        <is>
          <t>a(V0)</t>
        </is>
      </c>
      <c r="T334" s="6" t="inlineStr">
        <is>
          <t>b</t>
        </is>
      </c>
      <c r="U334" s="6" t="inlineStr">
        <is>
          <t>等级</t>
        </is>
      </c>
      <c r="V334" s="6" t="inlineStr">
        <is>
          <t>预测起始</t>
        </is>
      </c>
    </row>
    <row r="335">
      <c r="A335" s="7" t="inlineStr">
        <is>
          <t>P009</t>
        </is>
      </c>
      <c r="B335" s="7" t="inlineStr">
        <is>
          <t>王宏池</t>
        </is>
      </c>
      <c r="C335" s="7" t="n">
        <v>185</v>
      </c>
      <c r="D335" s="8" t="n">
        <v>135</v>
      </c>
      <c r="E335" s="9" t="n"/>
      <c r="F335" s="9" t="n"/>
      <c r="G335" s="9" t="n"/>
      <c r="H335" s="9" t="n"/>
      <c r="I335" s="7">
        <f>IFERROR(SUM(E335:H335),"")</f>
        <v/>
      </c>
      <c r="J335" s="9" t="n"/>
      <c r="K335" s="9" t="n"/>
      <c r="L335" s="9" t="n"/>
      <c r="M335" s="9" t="n"/>
      <c r="N335" s="9" t="n"/>
      <c r="O335" s="7">
        <f>IFERROR(AVERAGE(L335:N335),"")</f>
        <v/>
      </c>
      <c r="P335" s="7">
        <f>IF(O335="","",IF(O335&lt;54.27,"是⚠","否"))</f>
        <v/>
      </c>
      <c r="Q335" s="7">
        <f>IF(O335="","",IF(O335&lt;54.27,4-1,4))</f>
        <v/>
      </c>
      <c r="R335" s="7" t="n"/>
      <c r="S335" s="8" t="n">
        <v>1.567</v>
      </c>
      <c r="T335" s="8" t="n">
        <v>-0.008500000000000001</v>
      </c>
      <c r="U335" s="7" t="inlineStr">
        <is>
          <t>B</t>
        </is>
      </c>
      <c r="V335" s="8" t="n">
        <v>90</v>
      </c>
    </row>
    <row r="336">
      <c r="A336" s="10" t="inlineStr">
        <is>
          <t>热身校准</t>
        </is>
      </c>
      <c r="B336" s="10" t="inlineStr">
        <is>
          <t>a</t>
        </is>
      </c>
      <c r="C336" s="10" t="inlineStr">
        <is>
          <t>b</t>
        </is>
      </c>
      <c r="D336" s="10" t="inlineStr">
        <is>
          <t>50%热身</t>
        </is>
      </c>
      <c r="E336" s="10" t="inlineStr">
        <is>
          <t>70%热身</t>
        </is>
      </c>
      <c r="F336" s="10" t="inlineStr">
        <is>
          <t>热身负荷</t>
        </is>
      </c>
      <c r="G336" s="10" t="inlineStr">
        <is>
          <t>实测MCV</t>
        </is>
      </c>
      <c r="H336" s="10" t="inlineStr">
        <is>
          <t>预测MCV</t>
        </is>
      </c>
      <c r="I336" s="10" t="inlineStr">
        <is>
          <t>Δv</t>
        </is>
      </c>
      <c r="J336" s="10" t="inlineStr">
        <is>
          <t>调整量</t>
        </is>
      </c>
      <c r="K336" s="10" t="inlineStr">
        <is>
          <t>校准第1组</t>
        </is>
      </c>
    </row>
    <row r="337">
      <c r="A337" s="7" t="n"/>
      <c r="B337" s="11" t="n">
        <v>1.567</v>
      </c>
      <c r="C337" s="11" t="n">
        <v>-0.008500000000000001</v>
      </c>
      <c r="D337" s="11">
        <f>IFERROR(ROUND(V335*0.5/2.5,0)*2.5,"")</f>
        <v/>
      </c>
      <c r="E337" s="11" t="inlineStr"/>
      <c r="F337" s="11">
        <f>IFERROR(ROUND(V335*0.5/2.5,0)*2.5,"")</f>
        <v/>
      </c>
      <c r="G337" s="9" t="n"/>
      <c r="H337" s="11">
        <f>IFERROR(B337+C337*F337,"")</f>
        <v/>
      </c>
      <c r="I337" s="11">
        <f>IFERROR(G337-H337,"")</f>
        <v/>
      </c>
      <c r="J337" s="11">
        <f>IFERROR(IF(I337&gt;0.08,5,IF(I337&gt;0.04,2.5,IF(I337&gt;=-0.04,0,IF(I337&gt;=-0.08,-2.5,-5)))),"")</f>
        <v/>
      </c>
      <c r="K337" s="11">
        <f>IFERROR(ROUND(V335+J337,0),"")</f>
        <v/>
      </c>
    </row>
    <row r="338">
      <c r="A338" s="12" t="inlineStr">
        <is>
          <t>组</t>
        </is>
      </c>
      <c r="B338" s="12" t="inlineStr">
        <is>
          <t>负荷</t>
        </is>
      </c>
      <c r="C338" s="12" t="inlineStr">
        <is>
          <t>rep1</t>
        </is>
      </c>
      <c r="D338" s="12" t="inlineStr">
        <is>
          <t>rep2</t>
        </is>
      </c>
      <c r="E338" s="12" t="inlineStr">
        <is>
          <t>rep3</t>
        </is>
      </c>
      <c r="F338" s="12" t="inlineStr">
        <is>
          <t>rep4</t>
        </is>
      </c>
      <c r="G338" s="12" t="inlineStr">
        <is>
          <t>rep5</t>
        </is>
      </c>
      <c r="H338" s="12" t="inlineStr">
        <is>
          <t>rep6</t>
        </is>
      </c>
      <c r="I338" s="12" t="inlineStr">
        <is>
          <t>best</t>
        </is>
      </c>
      <c r="J338" s="12" t="inlineStr">
        <is>
          <t>best#</t>
        </is>
      </c>
      <c r="K338" s="12" t="inlineStr">
        <is>
          <t>VL%</t>
        </is>
      </c>
      <c r="L338" s="12" t="inlineStr">
        <is>
          <t>stop_th</t>
        </is>
      </c>
      <c r="M338" s="12" t="inlineStr">
        <is>
          <t>latest</t>
        </is>
      </c>
      <c r="N338" s="12" t="inlineStr">
        <is>
          <t>VL_flag</t>
        </is>
      </c>
      <c r="O338" s="12" t="inlineStr">
        <is>
          <t>safety</t>
        </is>
      </c>
      <c r="P338" s="12" t="inlineStr">
        <is>
          <t>原因</t>
        </is>
      </c>
      <c r="Q338" s="12" t="inlineStr">
        <is>
          <t>建议</t>
        </is>
      </c>
      <c r="R338" s="12" t="inlineStr">
        <is>
          <t>次数</t>
        </is>
      </c>
    </row>
    <row r="339">
      <c r="A339" s="7" t="n">
        <v>1</v>
      </c>
      <c r="B339" s="9">
        <f>IFERROR(K337,"")</f>
        <v/>
      </c>
      <c r="C339" s="9" t="n"/>
      <c r="D339" s="9" t="n"/>
      <c r="E339" s="9" t="n"/>
      <c r="F339" s="9" t="n"/>
      <c r="G339" s="9" t="n"/>
      <c r="H339" s="9" t="n"/>
      <c r="I339" s="7">
        <f>IFERROR(MAX(C339:H339),"")</f>
        <v/>
      </c>
      <c r="J339" s="7">
        <f>IFERROR(MATCH(I339,C339:H339,0),"")</f>
        <v/>
      </c>
      <c r="K339" s="7" t="n">
        <v>10</v>
      </c>
      <c r="L339" s="7">
        <f>IFERROR(I339*(1-(K339/100)),"")</f>
        <v/>
      </c>
      <c r="M339" s="7">
        <f>IFERROR(LOOKUP(9.99E+307,C339:H339),"")</f>
        <v/>
      </c>
      <c r="N339" s="7">
        <f>IFERROR(IF(M339="","",IF(M339&lt;=N339,"停组🛑","继续✓")),"")</f>
        <v/>
      </c>
      <c r="O339" s="7">
        <f>IFERROR(IF(M339="","",IF(M339&lt;0.15,"SAFETY_STOP","")),"")</f>
        <v/>
      </c>
      <c r="P339" s="7">
        <f>IFERROR(IF(M339="","",IF(M339&lt;0.15,"SAFETY_STOP",IF(M339&lt;=N339,"VL_THRESHOLD",""))),"")</f>
        <v/>
      </c>
      <c r="Q339" s="7">
        <f>IFERROR(IF(I339="","",IF(I339&gt;(0.8+0.05),"+5kg",IF(I339&gt;(0.8+0.02),"+2.5kg",IF(I339&gt;=(0.8-0.05),"保持",IF(I339&gt;=(0.8-0.08),"-2.5kg","-5kg"))))),"")</f>
        <v/>
      </c>
      <c r="R339" s="9" t="n"/>
    </row>
    <row r="340">
      <c r="A340" s="7" t="n">
        <v>2</v>
      </c>
      <c r="B340" s="9" t="n"/>
      <c r="C340" s="9" t="n"/>
      <c r="D340" s="9" t="n"/>
      <c r="E340" s="9" t="n"/>
      <c r="F340" s="9" t="n"/>
      <c r="G340" s="9" t="n"/>
      <c r="H340" s="9" t="n"/>
      <c r="I340" s="7">
        <f>IFERROR(MAX(C340:H340),"")</f>
        <v/>
      </c>
      <c r="J340" s="7">
        <f>IFERROR(MATCH(I340,C340:H340,0),"")</f>
        <v/>
      </c>
      <c r="K340" s="7" t="n">
        <v>10</v>
      </c>
      <c r="L340" s="7">
        <f>IFERROR(I340*(1-(K340/100)),"")</f>
        <v/>
      </c>
      <c r="M340" s="7">
        <f>IFERROR(LOOKUP(9.99E+307,C340:H340),"")</f>
        <v/>
      </c>
      <c r="N340" s="7">
        <f>IFERROR(IF(M340="","",IF(M340&lt;=N340,"停组🛑","继续✓")),"")</f>
        <v/>
      </c>
      <c r="O340" s="7">
        <f>IFERROR(IF(M340="","",IF(M340&lt;0.15,"SAFETY_STOP","")),"")</f>
        <v/>
      </c>
      <c r="P340" s="7">
        <f>IFERROR(IF(M340="","",IF(M340&lt;0.15,"SAFETY_STOP",IF(M340&lt;=N340,"VL_THRESHOLD",""))),"")</f>
        <v/>
      </c>
      <c r="Q340" s="7">
        <f>IFERROR(IF(I340="","",IF(I340&gt;(0.8+0.05),"+5kg",IF(I340&gt;(0.8+0.02),"+2.5kg",IF(I340&gt;=(0.8-0.05),"保持",IF(I340&gt;=(0.8-0.08),"-2.5kg","-5kg"))))),"")</f>
        <v/>
      </c>
      <c r="R340" s="9" t="n"/>
    </row>
    <row r="341">
      <c r="A341" s="7" t="n">
        <v>3</v>
      </c>
      <c r="B341" s="9" t="n"/>
      <c r="C341" s="9" t="n"/>
      <c r="D341" s="9" t="n"/>
      <c r="E341" s="9" t="n"/>
      <c r="F341" s="9" t="n"/>
      <c r="G341" s="9" t="n"/>
      <c r="H341" s="9" t="n"/>
      <c r="I341" s="7">
        <f>IFERROR(MAX(C341:H341),"")</f>
        <v/>
      </c>
      <c r="J341" s="7">
        <f>IFERROR(MATCH(I341,C341:H341,0),"")</f>
        <v/>
      </c>
      <c r="K341" s="7" t="n">
        <v>10</v>
      </c>
      <c r="L341" s="7">
        <f>IFERROR(I341*(1-(K341/100)),"")</f>
        <v/>
      </c>
      <c r="M341" s="7">
        <f>IFERROR(LOOKUP(9.99E+307,C341:H341),"")</f>
        <v/>
      </c>
      <c r="N341" s="7">
        <f>IFERROR(IF(M341="","",IF(M341&lt;=N341,"停组🛑","继续✓")),"")</f>
        <v/>
      </c>
      <c r="O341" s="7">
        <f>IFERROR(IF(M341="","",IF(M341&lt;0.15,"SAFETY_STOP","")),"")</f>
        <v/>
      </c>
      <c r="P341" s="7">
        <f>IFERROR(IF(M341="","",IF(M341&lt;0.15,"SAFETY_STOP",IF(M341&lt;=N341,"VL_THRESHOLD",""))),"")</f>
        <v/>
      </c>
      <c r="Q341" s="7">
        <f>IFERROR(IF(I341="","",IF(I341&gt;(0.8+0.05),"+5kg",IF(I341&gt;(0.8+0.02),"+2.5kg",IF(I341&gt;=(0.8-0.05),"保持",IF(I341&gt;=(0.8-0.08),"-2.5kg","-5kg"))))),"")</f>
        <v/>
      </c>
      <c r="R341" s="9" t="n"/>
    </row>
    <row r="342">
      <c r="A342" s="7" t="n">
        <v>4</v>
      </c>
      <c r="B342" s="9" t="n"/>
      <c r="C342" s="9" t="n"/>
      <c r="D342" s="9" t="n"/>
      <c r="E342" s="9" t="n"/>
      <c r="F342" s="9" t="n"/>
      <c r="G342" s="9" t="n"/>
      <c r="H342" s="9" t="n"/>
      <c r="I342" s="7">
        <f>IFERROR(MAX(C342:H342),"")</f>
        <v/>
      </c>
      <c r="J342" s="7">
        <f>IFERROR(MATCH(I342,C342:H342,0),"")</f>
        <v/>
      </c>
      <c r="K342" s="7" t="n">
        <v>10</v>
      </c>
      <c r="L342" s="7">
        <f>IFERROR(I342*(1-(K342/100)),"")</f>
        <v/>
      </c>
      <c r="M342" s="7">
        <f>IFERROR(LOOKUP(9.99E+307,C342:H342),"")</f>
        <v/>
      </c>
      <c r="N342" s="7">
        <f>IFERROR(IF(M342="","",IF(M342&lt;=N342,"停组🛑","继续✓")),"")</f>
        <v/>
      </c>
      <c r="O342" s="7">
        <f>IFERROR(IF(M342="","",IF(M342&lt;0.15,"SAFETY_STOP","")),"")</f>
        <v/>
      </c>
      <c r="P342" s="7">
        <f>IFERROR(IF(M342="","",IF(M342&lt;0.15,"SAFETY_STOP",IF(M342&lt;=N342,"VL_THRESHOLD",""))),"")</f>
        <v/>
      </c>
      <c r="Q342" s="7">
        <f>IFERROR(IF(I342="","",IF(I342&gt;(0.8+0.05),"+5kg",IF(I342&gt;(0.8+0.02),"+2.5kg",IF(I342&gt;=(0.8-0.05),"保持",IF(I342&gt;=(0.8-0.08),"-2.5kg","-5kg"))))),"")</f>
        <v/>
      </c>
      <c r="R342" s="9" t="n"/>
    </row>
    <row r="343">
      <c r="A343" s="7" t="n">
        <v>5</v>
      </c>
      <c r="B343" s="9" t="n"/>
      <c r="C343" s="9" t="n"/>
      <c r="D343" s="9" t="n"/>
      <c r="E343" s="9" t="n"/>
      <c r="F343" s="9" t="n"/>
      <c r="G343" s="9" t="n"/>
      <c r="H343" s="9" t="n"/>
      <c r="I343" s="7">
        <f>IFERROR(MAX(C343:H343),"")</f>
        <v/>
      </c>
      <c r="J343" s="7">
        <f>IFERROR(MATCH(I343,C343:H343,0),"")</f>
        <v/>
      </c>
      <c r="K343" s="7" t="n">
        <v>10</v>
      </c>
      <c r="L343" s="7">
        <f>IFERROR(I343*(1-(K343/100)),"")</f>
        <v/>
      </c>
      <c r="M343" s="7">
        <f>IFERROR(LOOKUP(9.99E+307,C343:H343),"")</f>
        <v/>
      </c>
      <c r="N343" s="7">
        <f>IFERROR(IF(M343="","",IF(M343&lt;=N343,"停组🛑","继续✓")),"")</f>
        <v/>
      </c>
      <c r="O343" s="7">
        <f>IFERROR(IF(M343="","",IF(M343&lt;0.15,"SAFETY_STOP","")),"")</f>
        <v/>
      </c>
      <c r="P343" s="7">
        <f>IFERROR(IF(M343="","",IF(M343&lt;0.15,"SAFETY_STOP",IF(M343&lt;=N343,"VL_THRESHOLD",""))),"")</f>
        <v/>
      </c>
      <c r="Q343" s="7">
        <f>IFERROR(IF(I343="","",IF(I343&gt;(0.8+0.05),"+5kg",IF(I343&gt;(0.8+0.02),"+2.5kg",IF(I343&gt;=(0.8-0.05),"保持",IF(I343&gt;=(0.8-0.08),"-2.5kg","-5kg"))))),"")</f>
        <v/>
      </c>
      <c r="R343" s="9" t="n"/>
    </row>
    <row r="344">
      <c r="A344" s="7" t="n">
        <v>6</v>
      </c>
      <c r="B344" s="9" t="n"/>
      <c r="C344" s="9" t="n"/>
      <c r="D344" s="9" t="n"/>
      <c r="E344" s="9" t="n"/>
      <c r="F344" s="9" t="n"/>
      <c r="G344" s="9" t="n"/>
      <c r="H344" s="9" t="n"/>
      <c r="I344" s="7">
        <f>IFERROR(MAX(C344:H344),"")</f>
        <v/>
      </c>
      <c r="J344" s="7">
        <f>IFERROR(MATCH(I344,C344:H344,0),"")</f>
        <v/>
      </c>
      <c r="K344" s="7" t="n">
        <v>10</v>
      </c>
      <c r="L344" s="7">
        <f>IFERROR(I344*(1-(K344/100)),"")</f>
        <v/>
      </c>
      <c r="M344" s="7">
        <f>IFERROR(LOOKUP(9.99E+307,C344:H344),"")</f>
        <v/>
      </c>
      <c r="N344" s="7">
        <f>IFERROR(IF(M344="","",IF(M344&lt;=N344,"停组🛑","继续✓")),"")</f>
        <v/>
      </c>
      <c r="O344" s="7">
        <f>IFERROR(IF(M344="","",IF(M344&lt;0.15,"SAFETY_STOP","")),"")</f>
        <v/>
      </c>
      <c r="P344" s="7">
        <f>IFERROR(IF(M344="","",IF(M344&lt;0.15,"SAFETY_STOP",IF(M344&lt;=N344,"VL_THRESHOLD",""))),"")</f>
        <v/>
      </c>
      <c r="Q344" s="7">
        <f>IFERROR(IF(I344="","",IF(I344&gt;(0.8+0.05),"+5kg",IF(I344&gt;(0.8+0.02),"+2.5kg",IF(I344&gt;=(0.8-0.05),"保持",IF(I344&gt;=(0.8-0.08),"-2.5kg","-5kg"))))),"")</f>
        <v/>
      </c>
      <c r="R344" s="9" t="n"/>
    </row>
    <row r="345">
      <c r="A345" s="13" t="inlineStr">
        <is>
          <t>辅助</t>
        </is>
      </c>
      <c r="D345" s="14" t="inlineStr">
        <is>
          <t>保加利亚单腿蹲</t>
        </is>
      </c>
      <c r="E345" s="14" t="inlineStr">
        <is>
          <t>负荷</t>
        </is>
      </c>
      <c r="F345" s="14" t="inlineStr">
        <is>
          <t>完成</t>
        </is>
      </c>
      <c r="I345" t="inlineStr">
        <is>
          <t>VL</t>
        </is>
      </c>
    </row>
    <row r="346">
      <c r="A346" s="15" t="inlineStr">
        <is>
          <t>训练后</t>
        </is>
      </c>
      <c r="B346" s="15" t="inlineStr">
        <is>
          <t>开始</t>
        </is>
      </c>
      <c r="C346" s="15" t="inlineStr">
        <is>
          <t>结束</t>
        </is>
      </c>
      <c r="D346" s="15" t="inlineStr">
        <is>
          <t>时长min</t>
        </is>
      </c>
      <c r="E346" s="15" t="inlineStr">
        <is>
          <t>sRPE</t>
        </is>
      </c>
      <c r="F346" s="15" t="inlineStr">
        <is>
          <t>load</t>
        </is>
      </c>
      <c r="G346" s="15" t="inlineStr">
        <is>
          <t>不适?</t>
        </is>
      </c>
      <c r="H346" s="15" t="inlineStr">
        <is>
          <t>备注</t>
        </is>
      </c>
      <c r="I346" s="15" t="inlineStr">
        <is>
          <t>签名</t>
        </is>
      </c>
    </row>
    <row r="347">
      <c r="A347" s="7" t="n"/>
      <c r="B347" s="9" t="n"/>
      <c r="C347" s="9" t="n"/>
      <c r="D347" s="11">
        <f>IFERROR((C347-B347)*1440,"")</f>
        <v/>
      </c>
      <c r="E347" s="9" t="n"/>
      <c r="F347" s="11">
        <f>IFERROR(E347*D347,"")</f>
        <v/>
      </c>
      <c r="G347" s="9" t="n"/>
      <c r="H347" s="9" t="n"/>
      <c r="I347" s="9" t="n"/>
    </row>
    <row r="348">
      <c r="A348" s="16" t="inlineStr">
        <is>
          <t>跳跃</t>
        </is>
      </c>
      <c r="B348" s="16" t="inlineStr">
        <is>
          <t>类型</t>
        </is>
      </c>
      <c r="C348" s="16" t="inlineStr">
        <is>
          <t>组×次</t>
        </is>
      </c>
      <c r="D348" s="16" t="inlineStr">
        <is>
          <t>负荷kg</t>
        </is>
      </c>
      <c r="E348" s="16" t="inlineStr">
        <is>
          <t>接触</t>
        </is>
      </c>
    </row>
    <row r="349">
      <c r="B349" t="inlineStr">
        <is>
          <t>SJ</t>
        </is>
      </c>
      <c r="C349" t="inlineStr">
        <is>
          <t>3×3</t>
        </is>
      </c>
      <c r="D349" t="n">
        <v>0</v>
      </c>
      <c r="E349" t="n">
        <v>9</v>
      </c>
    </row>
    <row r="350">
      <c r="B350" t="inlineStr">
        <is>
          <t>负重跳</t>
        </is>
      </c>
      <c r="C350" t="inlineStr">
        <is>
          <t>3×4</t>
        </is>
      </c>
      <c r="D350" s="14" t="n"/>
      <c r="E350" s="14" t="n"/>
    </row>
    <row r="351">
      <c r="A351" s="17" t="inlineStr">
        <is>
          <t>▶ 暴露量汇总</t>
        </is>
      </c>
      <c r="B351" s="17" t="inlineStr">
        <is>
          <t>说明</t>
        </is>
      </c>
      <c r="C351" s="17" t="inlineStr">
        <is>
          <t>公式/来源</t>
        </is>
      </c>
      <c r="D351" s="17" t="inlineStr">
        <is>
          <t>数值</t>
        </is>
      </c>
    </row>
    <row r="352">
      <c r="A352" s="18" t="inlineStr">
        <is>
          <t>① 无负荷跳跃接触</t>
        </is>
      </c>
      <c r="B352" s="18" t="inlineStr">
        <is>
          <t>CMJ+SJ+箱跳</t>
        </is>
      </c>
      <c r="C352" s="19">
        <f>IFERROR(E349+E350,2)</f>
        <v/>
      </c>
    </row>
    <row r="353">
      <c r="A353" s="18" t="inlineStr">
        <is>
          <t>② 负重跳跃接触</t>
        </is>
      </c>
      <c r="B353" s="18" t="inlineStr">
        <is>
          <t>负重深蹲跳</t>
        </is>
      </c>
      <c r="C353" s="19">
        <f>IFERROR(E350,"")</f>
        <v/>
      </c>
    </row>
    <row r="354">
      <c r="A354" s="18" t="inlineStr">
        <is>
          <t>③ 跳跃总计</t>
        </is>
      </c>
      <c r="B354" s="18" t="inlineStr">
        <is>
          <t>①+②</t>
        </is>
      </c>
      <c r="C354" s="19">
        <f>IFERROR(B352+B353,"")</f>
        <v/>
      </c>
    </row>
    <row r="355">
      <c r="A355" s="18" t="inlineStr">
        <is>
          <t>④ 热身VL</t>
        </is>
      </c>
      <c r="B355" s="18" t="inlineStr">
        <is>
          <t>20×5+50%×3(+70%×2)</t>
        </is>
      </c>
      <c r="C355" s="19">
        <f>IFERROR(20*5+ROUND(V335*0.5,0)*3,"-")</f>
        <v/>
      </c>
    </row>
    <row r="356">
      <c r="A356" s="20" t="inlineStr">
        <is>
          <t>⑤ 主项工作组VL ★</t>
        </is>
      </c>
      <c r="B356" s="20" t="inlineStr">
        <is>
          <t>Σ(负荷×次数)</t>
        </is>
      </c>
      <c r="C356" s="21">
        <f>SUMPRODUCT($B$339:$B$344,$R$339:$R$344)</f>
        <v/>
      </c>
    </row>
    <row r="357">
      <c r="A357" s="18" t="inlineStr">
        <is>
          <t>⑥ 主项总VL</t>
        </is>
      </c>
      <c r="B357" s="18" t="inlineStr">
        <is>
          <t>④+⑤</t>
        </is>
      </c>
      <c r="C357" s="19">
        <f>IFERROR(D352+D353,"")</f>
        <v/>
      </c>
    </row>
    <row r="358">
      <c r="A358" s="18" t="inlineStr">
        <is>
          <t>⑦ 辅助VL</t>
        </is>
      </c>
      <c r="B358" s="18" t="inlineStr">
        <is>
          <t>RDL/保加利亚</t>
        </is>
      </c>
      <c r="C358" s="19">
        <f>IFERROR(I345,"")</f>
        <v/>
      </c>
    </row>
    <row r="359">
      <c r="A359" s="18" t="inlineStr">
        <is>
          <t>⑧ 总外部负荷</t>
        </is>
      </c>
      <c r="B359" s="18" t="inlineStr">
        <is>
          <t>⑥+⑦(+负重跳)</t>
        </is>
      </c>
      <c r="C359" s="19">
        <f>IFERROR(F352+G352,"")</f>
        <v/>
      </c>
    </row>
    <row r="360">
      <c r="A360" s="18" t="inlineStr">
        <is>
          <t>⑨ sRPE load</t>
        </is>
      </c>
      <c r="B360" s="18" t="inlineStr">
        <is>
          <t>sRPE×时长</t>
        </is>
      </c>
      <c r="C360" s="19">
        <f>IFERROR(F347,"")</f>
        <v/>
      </c>
    </row>
  </sheetData>
  <mergeCells count="25">
    <mergeCell ref="A213:V213"/>
    <mergeCell ref="A255:C255"/>
    <mergeCell ref="A33:V33"/>
    <mergeCell ref="A75:C75"/>
    <mergeCell ref="A303:V303"/>
    <mergeCell ref="A105:C105"/>
    <mergeCell ref="A285:C285"/>
    <mergeCell ref="A333:V333"/>
    <mergeCell ref="A195:C195"/>
    <mergeCell ref="A63:V63"/>
    <mergeCell ref="A93:V93"/>
    <mergeCell ref="A135:C135"/>
    <mergeCell ref="A165:C165"/>
    <mergeCell ref="A1:V1"/>
    <mergeCell ref="A123:V123"/>
    <mergeCell ref="A153:V153"/>
    <mergeCell ref="A15:C15"/>
    <mergeCell ref="A243:V243"/>
    <mergeCell ref="A183:V183"/>
    <mergeCell ref="A225:C225"/>
    <mergeCell ref="A45:C45"/>
    <mergeCell ref="A273:V273"/>
    <mergeCell ref="A315:C315"/>
    <mergeCell ref="A3:V3"/>
    <mergeCell ref="A345:C3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12" customWidth="1" min="12" max="12"/>
    <col width="10" customWidth="1" min="13" max="13"/>
    <col width="10" customWidth="1" min="14" max="14"/>
    <col width="12" customWidth="1" min="15" max="15"/>
    <col width="18" customWidth="1" min="16" max="16"/>
    <col width="12" customWidth="1" min="17" max="17"/>
    <col width="10" customWidth="1" min="18" max="18"/>
    <col width="12" customWidth="1" min="19" max="19"/>
    <col width="16" customWidth="1" min="20" max="20"/>
    <col width="14" customWidth="1" min="21" max="21"/>
    <col width="14" customWidth="1" min="22" max="22"/>
  </cols>
  <sheetData>
    <row r="1">
      <c r="A1" s="1" t="inlineStr">
        <is>
          <t>研究二AI组 W2_A (A日) MC=0.50-0.60 VL%=22</t>
        </is>
      </c>
    </row>
    <row r="2">
      <c r="A2" s="2" t="inlineStr">
        <is>
          <t>MC区间</t>
        </is>
      </c>
      <c r="B2" s="3" t="inlineStr">
        <is>
          <t>MC中点</t>
        </is>
      </c>
      <c r="C2" s="3" t="inlineStr">
        <is>
          <t>VL%</t>
        </is>
      </c>
      <c r="D2" s="3" t="inlineStr">
        <is>
          <t>安全停止</t>
        </is>
      </c>
      <c r="E2" s="3" t="inlineStr">
        <is>
          <t>组数</t>
        </is>
      </c>
      <c r="F2" s="3" t="inlineStr">
        <is>
          <t>热身</t>
        </is>
      </c>
      <c r="G2" s="4" t="inlineStr">
        <is>
          <t>A</t>
        </is>
      </c>
    </row>
    <row r="3">
      <c r="A3" s="5" t="inlineStr">
        <is>
          <t>P007 陈鑫  a=1.65 b=-0.0125 1RM=110</t>
        </is>
      </c>
    </row>
    <row r="4">
      <c r="A4" s="6" t="inlineStr">
        <is>
          <t>编号</t>
        </is>
      </c>
      <c r="B4" s="6" t="inlineStr">
        <is>
          <t>姓名</t>
        </is>
      </c>
      <c r="C4" s="6" t="inlineStr">
        <is>
          <t>身高</t>
        </is>
      </c>
      <c r="D4" s="6" t="inlineStr">
        <is>
          <t>1RM</t>
        </is>
      </c>
      <c r="E4" s="6" t="inlineStr">
        <is>
          <t>Hooper睡</t>
        </is>
      </c>
      <c r="F4" s="6" t="inlineStr">
        <is>
          <t>Hooper压</t>
        </is>
      </c>
      <c r="G4" s="6" t="inlineStr">
        <is>
          <t>Hooper疲</t>
        </is>
      </c>
      <c r="H4" s="6" t="inlineStr">
        <is>
          <t>Hooper酸</t>
        </is>
      </c>
      <c r="I4" s="6" t="inlineStr">
        <is>
          <t>H总</t>
        </is>
      </c>
      <c r="J4" s="6" t="inlineStr">
        <is>
          <t>不适?</t>
        </is>
      </c>
      <c r="K4" s="6" t="inlineStr">
        <is>
          <t>说明</t>
        </is>
      </c>
      <c r="L4" s="6" t="inlineStr">
        <is>
          <t>CMJ1</t>
        </is>
      </c>
      <c r="M4" s="6" t="inlineStr">
        <is>
          <t>CMJ2</t>
        </is>
      </c>
      <c r="N4" s="6" t="inlineStr">
        <is>
          <t>CMJ3</t>
        </is>
      </c>
      <c r="O4" s="6" t="inlineStr">
        <is>
          <t>CMJμ</t>
        </is>
      </c>
      <c r="P4" s="6" t="inlineStr">
        <is>
          <t>&lt;95%</t>
        </is>
      </c>
      <c r="Q4" s="6" t="inlineStr">
        <is>
          <t>减组</t>
        </is>
      </c>
      <c r="R4" s="6" t="inlineStr">
        <is>
          <t>组数</t>
        </is>
      </c>
      <c r="S4" s="6" t="inlineStr">
        <is>
          <t>a(V0)</t>
        </is>
      </c>
      <c r="T4" s="6" t="inlineStr">
        <is>
          <t>b</t>
        </is>
      </c>
      <c r="U4" s="6" t="inlineStr">
        <is>
          <t>等级</t>
        </is>
      </c>
      <c r="V4" s="6" t="inlineStr">
        <is>
          <t>预测起始</t>
        </is>
      </c>
    </row>
    <row r="5">
      <c r="A5" s="7" t="inlineStr">
        <is>
          <t>P007</t>
        </is>
      </c>
      <c r="B5" s="7" t="inlineStr">
        <is>
          <t>陈鑫</t>
        </is>
      </c>
      <c r="C5" s="7" t="n">
        <v>173</v>
      </c>
      <c r="D5" s="8" t="n">
        <v>110</v>
      </c>
      <c r="E5" s="9" t="n"/>
      <c r="F5" s="9" t="n"/>
      <c r="G5" s="9" t="n"/>
      <c r="H5" s="9" t="n"/>
      <c r="I5" s="7">
        <f>IFERROR(SUM(E5:H5),"")</f>
        <v/>
      </c>
      <c r="J5" s="9" t="n"/>
      <c r="K5" s="9" t="n"/>
      <c r="L5" s="9" t="n"/>
      <c r="M5" s="9" t="n"/>
      <c r="N5" s="9" t="n"/>
      <c r="O5" s="7">
        <f>IFERROR(AVERAGE(L5:N5),"")</f>
        <v/>
      </c>
      <c r="P5" s="7">
        <f>IF(O5="","",IF(O5&lt;63.01,"是⚠","否"))</f>
        <v/>
      </c>
      <c r="Q5" s="7">
        <f>IF(O5="","",IF(O5&lt;63.01,5-1,5))</f>
        <v/>
      </c>
      <c r="R5" s="7" t="n"/>
      <c r="S5" s="8" t="n">
        <v>1.65</v>
      </c>
      <c r="T5" s="8" t="n">
        <v>-0.0125</v>
      </c>
      <c r="U5" s="7" t="inlineStr">
        <is>
          <t>A</t>
        </is>
      </c>
      <c r="V5" s="8" t="n">
        <v>87.5</v>
      </c>
    </row>
    <row r="6">
      <c r="A6" s="10" t="inlineStr">
        <is>
          <t>热身校准</t>
        </is>
      </c>
      <c r="B6" s="10" t="inlineStr">
        <is>
          <t>a</t>
        </is>
      </c>
      <c r="C6" s="10" t="inlineStr">
        <is>
          <t>b</t>
        </is>
      </c>
      <c r="D6" s="10" t="inlineStr">
        <is>
          <t>50%热身</t>
        </is>
      </c>
      <c r="E6" s="10" t="inlineStr">
        <is>
          <t>70%热身</t>
        </is>
      </c>
      <c r="F6" s="10" t="inlineStr">
        <is>
          <t>热身负荷</t>
        </is>
      </c>
      <c r="G6" s="10" t="inlineStr">
        <is>
          <t>实测MCV</t>
        </is>
      </c>
      <c r="H6" s="10" t="inlineStr">
        <is>
          <t>预测MCV</t>
        </is>
      </c>
      <c r="I6" s="10" t="inlineStr">
        <is>
          <t>Δv</t>
        </is>
      </c>
      <c r="J6" s="10" t="inlineStr">
        <is>
          <t>调整量</t>
        </is>
      </c>
      <c r="K6" s="10" t="inlineStr">
        <is>
          <t>校准第1组</t>
        </is>
      </c>
    </row>
    <row r="7">
      <c r="A7" s="7" t="n"/>
      <c r="B7" s="11" t="n">
        <v>1.65</v>
      </c>
      <c r="C7" s="11" t="n">
        <v>-0.0125</v>
      </c>
      <c r="D7" s="11">
        <f>IFERROR(ROUND(V5*0.5/2.5,0)*2.5,"")</f>
        <v/>
      </c>
      <c r="E7" s="11">
        <f>IFERROR(ROUND(V5*0.7/2.5,0)*2.5,"")</f>
        <v/>
      </c>
      <c r="F7" s="11">
        <f>IFERROR(ROUND(V5*0.6/2.5,0)*2.5,"")</f>
        <v/>
      </c>
      <c r="G7" s="9" t="n"/>
      <c r="H7" s="11">
        <f>IFERROR(B7+C7*F7,"")</f>
        <v/>
      </c>
      <c r="I7" s="11">
        <f>IFERROR(G7-H7,"")</f>
        <v/>
      </c>
      <c r="J7" s="11">
        <f>IFERROR(IF(I7&gt;0.08,5,IF(I7&gt;0.04,2.5,IF(I7&gt;=-0.04,0,IF(I7&gt;=-0.08,-2.5,-5)))),"")</f>
        <v/>
      </c>
      <c r="K7" s="11">
        <f>IFERROR(ROUND(V5+J7,0),"")</f>
        <v/>
      </c>
    </row>
    <row r="8">
      <c r="A8" s="12" t="inlineStr">
        <is>
          <t>组</t>
        </is>
      </c>
      <c r="B8" s="12" t="inlineStr">
        <is>
          <t>负荷</t>
        </is>
      </c>
      <c r="C8" s="12" t="inlineStr">
        <is>
          <t>rep1</t>
        </is>
      </c>
      <c r="D8" s="12" t="inlineStr">
        <is>
          <t>rep2</t>
        </is>
      </c>
      <c r="E8" s="12" t="inlineStr">
        <is>
          <t>rep3</t>
        </is>
      </c>
      <c r="F8" s="12" t="inlineStr">
        <is>
          <t>rep4</t>
        </is>
      </c>
      <c r="G8" s="12" t="inlineStr">
        <is>
          <t>rep5</t>
        </is>
      </c>
      <c r="H8" s="12" t="inlineStr">
        <is>
          <t>rep6</t>
        </is>
      </c>
      <c r="I8" s="12" t="inlineStr">
        <is>
          <t>best</t>
        </is>
      </c>
      <c r="J8" s="12" t="inlineStr">
        <is>
          <t>best#</t>
        </is>
      </c>
      <c r="K8" s="12" t="inlineStr">
        <is>
          <t>VL%</t>
        </is>
      </c>
      <c r="L8" s="12" t="inlineStr">
        <is>
          <t>stop_th</t>
        </is>
      </c>
      <c r="M8" s="12" t="inlineStr">
        <is>
          <t>latest</t>
        </is>
      </c>
      <c r="N8" s="12" t="inlineStr">
        <is>
          <t>VL_flag</t>
        </is>
      </c>
      <c r="O8" s="12" t="inlineStr">
        <is>
          <t>safety</t>
        </is>
      </c>
      <c r="P8" s="12" t="inlineStr">
        <is>
          <t>原因</t>
        </is>
      </c>
      <c r="Q8" s="12" t="inlineStr">
        <is>
          <t>建议</t>
        </is>
      </c>
      <c r="R8" s="12" t="inlineStr">
        <is>
          <t>次数</t>
        </is>
      </c>
    </row>
    <row r="9">
      <c r="A9" s="7" t="n">
        <v>1</v>
      </c>
      <c r="B9" s="9">
        <f>IFERROR(K7,"")</f>
        <v/>
      </c>
      <c r="C9" s="9" t="n"/>
      <c r="D9" s="9" t="n"/>
      <c r="E9" s="9" t="n"/>
      <c r="F9" s="9" t="n"/>
      <c r="G9" s="9" t="n"/>
      <c r="H9" s="9" t="n"/>
      <c r="I9" s="7">
        <f>IFERROR(MAX(C9:H9),"")</f>
        <v/>
      </c>
      <c r="J9" s="7">
        <f>IFERROR(MATCH(I9,C9:H9,0),"")</f>
        <v/>
      </c>
      <c r="K9" s="7" t="n">
        <v>22</v>
      </c>
      <c r="L9" s="7">
        <f>IFERROR(I9*(1-(K9/100)),"")</f>
        <v/>
      </c>
      <c r="M9" s="7">
        <f>IFERROR(LOOKUP(9.99E+307,C9:H9),"")</f>
        <v/>
      </c>
      <c r="N9" s="7">
        <f>IFERROR(IF(M9="","",IF(M9&lt;=N9,"停组🛑","继续✓")),"")</f>
        <v/>
      </c>
      <c r="O9" s="7">
        <f>IFERROR(IF(M9="","",IF(M9&lt;0.15,"SAFETY_STOP","")),"")</f>
        <v/>
      </c>
      <c r="P9" s="7">
        <f>IFERROR(IF(M9="","",IF(M9&lt;0.15,"SAFETY_STOP",IF(M9&lt;=N9,"VL_THRESHOLD",""))),"")</f>
        <v/>
      </c>
      <c r="Q9" s="7">
        <f>IFERROR(IF(I9="","",IF(I9&gt;(0.55+0.05),"+5kg",IF(I9&gt;(0.55+0.02),"+2.5kg",IF(I9&gt;=(0.55-0.05),"保持",IF(I9&gt;=(0.55-0.08),"-2.5kg","-5kg"))))),"")</f>
        <v/>
      </c>
      <c r="R9" s="9" t="n"/>
    </row>
    <row r="10">
      <c r="A10" s="7" t="n">
        <v>2</v>
      </c>
      <c r="B10" s="9" t="n"/>
      <c r="C10" s="9" t="n"/>
      <c r="D10" s="9" t="n"/>
      <c r="E10" s="9" t="n"/>
      <c r="F10" s="9" t="n"/>
      <c r="G10" s="9" t="n"/>
      <c r="H10" s="9" t="n"/>
      <c r="I10" s="7">
        <f>IFERROR(MAX(C10:H10),"")</f>
        <v/>
      </c>
      <c r="J10" s="7">
        <f>IFERROR(MATCH(I10,C10:H10,0),"")</f>
        <v/>
      </c>
      <c r="K10" s="7" t="n">
        <v>22</v>
      </c>
      <c r="L10" s="7">
        <f>IFERROR(I10*(1-(K10/100)),"")</f>
        <v/>
      </c>
      <c r="M10" s="7">
        <f>IFERROR(LOOKUP(9.99E+307,C10:H10),"")</f>
        <v/>
      </c>
      <c r="N10" s="7">
        <f>IFERROR(IF(M10="","",IF(M10&lt;=N10,"停组🛑","继续✓")),"")</f>
        <v/>
      </c>
      <c r="O10" s="7">
        <f>IFERROR(IF(M10="","",IF(M10&lt;0.15,"SAFETY_STOP","")),"")</f>
        <v/>
      </c>
      <c r="P10" s="7">
        <f>IFERROR(IF(M10="","",IF(M10&lt;0.15,"SAFETY_STOP",IF(M10&lt;=N10,"VL_THRESHOLD",""))),"")</f>
        <v/>
      </c>
      <c r="Q10" s="7">
        <f>IFERROR(IF(I10="","",IF(I10&gt;(0.55+0.05),"+5kg",IF(I10&gt;(0.55+0.02),"+2.5kg",IF(I10&gt;=(0.55-0.05),"保持",IF(I10&gt;=(0.55-0.08),"-2.5kg","-5kg"))))),"")</f>
        <v/>
      </c>
      <c r="R10" s="9" t="n"/>
    </row>
    <row r="11">
      <c r="A11" s="7" t="n">
        <v>3</v>
      </c>
      <c r="B11" s="9" t="n"/>
      <c r="C11" s="9" t="n"/>
      <c r="D11" s="9" t="n"/>
      <c r="E11" s="9" t="n"/>
      <c r="F11" s="9" t="n"/>
      <c r="G11" s="9" t="n"/>
      <c r="H11" s="9" t="n"/>
      <c r="I11" s="7">
        <f>IFERROR(MAX(C11:H11),"")</f>
        <v/>
      </c>
      <c r="J11" s="7">
        <f>IFERROR(MATCH(I11,C11:H11,0),"")</f>
        <v/>
      </c>
      <c r="K11" s="7" t="n">
        <v>22</v>
      </c>
      <c r="L11" s="7">
        <f>IFERROR(I11*(1-(K11/100)),"")</f>
        <v/>
      </c>
      <c r="M11" s="7">
        <f>IFERROR(LOOKUP(9.99E+307,C11:H11),"")</f>
        <v/>
      </c>
      <c r="N11" s="7">
        <f>IFERROR(IF(M11="","",IF(M11&lt;=N11,"停组🛑","继续✓")),"")</f>
        <v/>
      </c>
      <c r="O11" s="7">
        <f>IFERROR(IF(M11="","",IF(M11&lt;0.15,"SAFETY_STOP","")),"")</f>
        <v/>
      </c>
      <c r="P11" s="7">
        <f>IFERROR(IF(M11="","",IF(M11&lt;0.15,"SAFETY_STOP",IF(M11&lt;=N11,"VL_THRESHOLD",""))),"")</f>
        <v/>
      </c>
      <c r="Q11" s="7">
        <f>IFERROR(IF(I11="","",IF(I11&gt;(0.55+0.05),"+5kg",IF(I11&gt;(0.55+0.02),"+2.5kg",IF(I11&gt;=(0.55-0.05),"保持",IF(I11&gt;=(0.55-0.08),"-2.5kg","-5kg"))))),"")</f>
        <v/>
      </c>
      <c r="R11" s="9" t="n"/>
    </row>
    <row r="12">
      <c r="A12" s="7" t="n">
        <v>4</v>
      </c>
      <c r="B12" s="9" t="n"/>
      <c r="C12" s="9" t="n"/>
      <c r="D12" s="9" t="n"/>
      <c r="E12" s="9" t="n"/>
      <c r="F12" s="9" t="n"/>
      <c r="G12" s="9" t="n"/>
      <c r="H12" s="9" t="n"/>
      <c r="I12" s="7">
        <f>IFERROR(MAX(C12:H12),"")</f>
        <v/>
      </c>
      <c r="J12" s="7">
        <f>IFERROR(MATCH(I12,C12:H12,0),"")</f>
        <v/>
      </c>
      <c r="K12" s="7" t="n">
        <v>22</v>
      </c>
      <c r="L12" s="7">
        <f>IFERROR(I12*(1-(K12/100)),"")</f>
        <v/>
      </c>
      <c r="M12" s="7">
        <f>IFERROR(LOOKUP(9.99E+307,C12:H12),"")</f>
        <v/>
      </c>
      <c r="N12" s="7">
        <f>IFERROR(IF(M12="","",IF(M12&lt;=N12,"停组🛑","继续✓")),"")</f>
        <v/>
      </c>
      <c r="O12" s="7">
        <f>IFERROR(IF(M12="","",IF(M12&lt;0.15,"SAFETY_STOP","")),"")</f>
        <v/>
      </c>
      <c r="P12" s="7">
        <f>IFERROR(IF(M12="","",IF(M12&lt;0.15,"SAFETY_STOP",IF(M12&lt;=N12,"VL_THRESHOLD",""))),"")</f>
        <v/>
      </c>
      <c r="Q12" s="7">
        <f>IFERROR(IF(I12="","",IF(I12&gt;(0.55+0.05),"+5kg",IF(I12&gt;(0.55+0.02),"+2.5kg",IF(I12&gt;=(0.55-0.05),"保持",IF(I12&gt;=(0.55-0.08),"-2.5kg","-5kg"))))),"")</f>
        <v/>
      </c>
      <c r="R12" s="9" t="n"/>
    </row>
    <row r="13">
      <c r="A13" s="7" t="n">
        <v>5</v>
      </c>
      <c r="B13" s="9" t="n"/>
      <c r="C13" s="9" t="n"/>
      <c r="D13" s="9" t="n"/>
      <c r="E13" s="9" t="n"/>
      <c r="F13" s="9" t="n"/>
      <c r="G13" s="9" t="n"/>
      <c r="H13" s="9" t="n"/>
      <c r="I13" s="7">
        <f>IFERROR(MAX(C13:H13),"")</f>
        <v/>
      </c>
      <c r="J13" s="7">
        <f>IFERROR(MATCH(I13,C13:H13,0),"")</f>
        <v/>
      </c>
      <c r="K13" s="7" t="n">
        <v>22</v>
      </c>
      <c r="L13" s="7">
        <f>IFERROR(I13*(1-(K13/100)),"")</f>
        <v/>
      </c>
      <c r="M13" s="7">
        <f>IFERROR(LOOKUP(9.99E+307,C13:H13),"")</f>
        <v/>
      </c>
      <c r="N13" s="7">
        <f>IFERROR(IF(M13="","",IF(M13&lt;=N13,"停组🛑","继续✓")),"")</f>
        <v/>
      </c>
      <c r="O13" s="7">
        <f>IFERROR(IF(M13="","",IF(M13&lt;0.15,"SAFETY_STOP","")),"")</f>
        <v/>
      </c>
      <c r="P13" s="7">
        <f>IFERROR(IF(M13="","",IF(M13&lt;0.15,"SAFETY_STOP",IF(M13&lt;=N13,"VL_THRESHOLD",""))),"")</f>
        <v/>
      </c>
      <c r="Q13" s="7">
        <f>IFERROR(IF(I13="","",IF(I13&gt;(0.55+0.05),"+5kg",IF(I13&gt;(0.55+0.02),"+2.5kg",IF(I13&gt;=(0.55-0.05),"保持",IF(I13&gt;=(0.55-0.08),"-2.5kg","-5kg"))))),"")</f>
        <v/>
      </c>
      <c r="R13" s="9" t="n"/>
    </row>
    <row r="14">
      <c r="A14" s="7" t="n">
        <v>6</v>
      </c>
      <c r="B14" s="9" t="n"/>
      <c r="C14" s="9" t="n"/>
      <c r="D14" s="9" t="n"/>
      <c r="E14" s="9" t="n"/>
      <c r="F14" s="9" t="n"/>
      <c r="G14" s="9" t="n"/>
      <c r="H14" s="9" t="n"/>
      <c r="I14" s="7">
        <f>IFERROR(MAX(C14:H14),"")</f>
        <v/>
      </c>
      <c r="J14" s="7">
        <f>IFERROR(MATCH(I14,C14:H14,0),"")</f>
        <v/>
      </c>
      <c r="K14" s="7" t="n">
        <v>22</v>
      </c>
      <c r="L14" s="7">
        <f>IFERROR(I14*(1-(K14/100)),"")</f>
        <v/>
      </c>
      <c r="M14" s="7">
        <f>IFERROR(LOOKUP(9.99E+307,C14:H14),"")</f>
        <v/>
      </c>
      <c r="N14" s="7">
        <f>IFERROR(IF(M14="","",IF(M14&lt;=N14,"停组🛑","继续✓")),"")</f>
        <v/>
      </c>
      <c r="O14" s="7">
        <f>IFERROR(IF(M14="","",IF(M14&lt;0.15,"SAFETY_STOP","")),"")</f>
        <v/>
      </c>
      <c r="P14" s="7">
        <f>IFERROR(IF(M14="","",IF(M14&lt;0.15,"SAFETY_STOP",IF(M14&lt;=N14,"VL_THRESHOLD",""))),"")</f>
        <v/>
      </c>
      <c r="Q14" s="7">
        <f>IFERROR(IF(I14="","",IF(I14&gt;(0.55+0.05),"+5kg",IF(I14&gt;(0.55+0.02),"+2.5kg",IF(I14&gt;=(0.55-0.05),"保持",IF(I14&gt;=(0.55-0.08),"-2.5kg","-5kg"))))),"")</f>
        <v/>
      </c>
      <c r="R14" s="9" t="n"/>
    </row>
    <row r="15">
      <c r="A15" s="13" t="inlineStr">
        <is>
          <t>辅助</t>
        </is>
      </c>
      <c r="D15" s="14" t="inlineStr">
        <is>
          <t>RDL</t>
        </is>
      </c>
      <c r="E15" s="14" t="inlineStr">
        <is>
          <t>负荷</t>
        </is>
      </c>
      <c r="F15" s="14" t="inlineStr">
        <is>
          <t>完成</t>
        </is>
      </c>
      <c r="I15" t="inlineStr">
        <is>
          <t>VL</t>
        </is>
      </c>
    </row>
    <row r="16">
      <c r="A16" s="15" t="inlineStr">
        <is>
          <t>训练后</t>
        </is>
      </c>
      <c r="B16" s="15" t="inlineStr">
        <is>
          <t>开始</t>
        </is>
      </c>
      <c r="C16" s="15" t="inlineStr">
        <is>
          <t>结束</t>
        </is>
      </c>
      <c r="D16" s="15" t="inlineStr">
        <is>
          <t>时长min</t>
        </is>
      </c>
      <c r="E16" s="15" t="inlineStr">
        <is>
          <t>sRPE</t>
        </is>
      </c>
      <c r="F16" s="15" t="inlineStr">
        <is>
          <t>load</t>
        </is>
      </c>
      <c r="G16" s="15" t="inlineStr">
        <is>
          <t>不适?</t>
        </is>
      </c>
      <c r="H16" s="15" t="inlineStr">
        <is>
          <t>备注</t>
        </is>
      </c>
      <c r="I16" s="15" t="inlineStr">
        <is>
          <t>签名</t>
        </is>
      </c>
    </row>
    <row r="17">
      <c r="A17" s="7" t="n"/>
      <c r="B17" s="9" t="n"/>
      <c r="C17" s="9" t="n"/>
      <c r="D17" s="11">
        <f>IFERROR((C17-B17)*1440,"")</f>
        <v/>
      </c>
      <c r="E17" s="9" t="n"/>
      <c r="F17" s="11">
        <f>IFERROR(E17*D17,"")</f>
        <v/>
      </c>
      <c r="G17" s="9" t="n"/>
      <c r="H17" s="9" t="n"/>
      <c r="I17" s="9" t="n"/>
    </row>
    <row r="18">
      <c r="A18" s="16" t="inlineStr">
        <is>
          <t>跳跃</t>
        </is>
      </c>
      <c r="B18" s="16" t="inlineStr">
        <is>
          <t>类型</t>
        </is>
      </c>
      <c r="C18" s="16" t="inlineStr">
        <is>
          <t>组×次</t>
        </is>
      </c>
      <c r="D18" s="16" t="inlineStr">
        <is>
          <t>负荷kg</t>
        </is>
      </c>
      <c r="E18" s="16" t="inlineStr">
        <is>
          <t>接触</t>
        </is>
      </c>
    </row>
    <row r="19">
      <c r="B19" t="inlineStr">
        <is>
          <t>CMJ</t>
        </is>
      </c>
      <c r="C19" t="inlineStr">
        <is>
          <t>3×3</t>
        </is>
      </c>
      <c r="D19" t="n">
        <v>0</v>
      </c>
      <c r="E19" t="n">
        <v>9</v>
      </c>
    </row>
    <row r="20">
      <c r="B20" t="inlineStr">
        <is>
          <t>箱跳</t>
        </is>
      </c>
      <c r="C20" t="inlineStr">
        <is>
          <t>2×3</t>
        </is>
      </c>
      <c r="D20" t="n">
        <v>0</v>
      </c>
      <c r="E20" t="n">
        <v>6</v>
      </c>
    </row>
    <row r="21">
      <c r="A21" s="17" t="inlineStr">
        <is>
          <t>▶ 暴露量汇总</t>
        </is>
      </c>
      <c r="B21" s="17" t="inlineStr">
        <is>
          <t>说明</t>
        </is>
      </c>
      <c r="C21" s="17" t="inlineStr">
        <is>
          <t>公式/来源</t>
        </is>
      </c>
      <c r="D21" s="17" t="inlineStr">
        <is>
          <t>数值</t>
        </is>
      </c>
    </row>
    <row r="22">
      <c r="A22" s="18" t="inlineStr">
        <is>
          <t>① 无负荷跳跃接触</t>
        </is>
      </c>
      <c r="B22" s="18" t="inlineStr">
        <is>
          <t>CMJ+SJ+箱跳</t>
        </is>
      </c>
      <c r="C22" s="19">
        <f>IFERROR(E19+E20,2)</f>
        <v/>
      </c>
    </row>
    <row r="23">
      <c r="A23" s="18" t="inlineStr">
        <is>
          <t>② 负重跳跃接触</t>
        </is>
      </c>
      <c r="B23" s="18" t="inlineStr">
        <is>
          <t>负重深蹲跳</t>
        </is>
      </c>
      <c r="C23" s="19">
        <f>IFERROR(E19,"")</f>
        <v/>
      </c>
    </row>
    <row r="24">
      <c r="A24" s="18" t="inlineStr">
        <is>
          <t>③ 跳跃总计</t>
        </is>
      </c>
      <c r="B24" s="18" t="inlineStr">
        <is>
          <t>①+②</t>
        </is>
      </c>
      <c r="C24" s="19">
        <f>IFERROR(B22+B23,"")</f>
        <v/>
      </c>
    </row>
    <row r="25">
      <c r="A25" s="18" t="inlineStr">
        <is>
          <t>④ 热身VL</t>
        </is>
      </c>
      <c r="B25" s="18" t="inlineStr">
        <is>
          <t>20×5+50%×3(+70%×2)</t>
        </is>
      </c>
      <c r="C25" s="19">
        <f>IFERROR(20*5+ROUND(V5*0.5,0)*3+ROUND(V{dr}*0.7,0)*2,"-")</f>
        <v/>
      </c>
    </row>
    <row r="26">
      <c r="A26" s="20" t="inlineStr">
        <is>
          <t>⑤ 主项工作组VL ★</t>
        </is>
      </c>
      <c r="B26" s="20" t="inlineStr">
        <is>
          <t>Σ(负荷×次数)</t>
        </is>
      </c>
      <c r="C26" s="21">
        <f>SUMPRODUCT($B$9:$B$14,$R$9:$R$14)</f>
        <v/>
      </c>
    </row>
    <row r="27">
      <c r="A27" s="18" t="inlineStr">
        <is>
          <t>⑥ 主项总VL</t>
        </is>
      </c>
      <c r="B27" s="18" t="inlineStr">
        <is>
          <t>④+⑤</t>
        </is>
      </c>
      <c r="C27" s="19">
        <f>IFERROR(D22+D23,"")</f>
        <v/>
      </c>
    </row>
    <row r="28">
      <c r="A28" s="18" t="inlineStr">
        <is>
          <t>⑦ 辅助VL</t>
        </is>
      </c>
      <c r="B28" s="18" t="inlineStr">
        <is>
          <t>RDL/保加利亚</t>
        </is>
      </c>
      <c r="C28" s="19">
        <f>IFERROR(I15,"")</f>
        <v/>
      </c>
    </row>
    <row r="29">
      <c r="A29" s="18" t="inlineStr">
        <is>
          <t>⑧ 总外部负荷</t>
        </is>
      </c>
      <c r="B29" s="18" t="inlineStr">
        <is>
          <t>⑥+⑦(+负重跳)</t>
        </is>
      </c>
      <c r="C29" s="19">
        <f>IFERROR(F22+G22,"")</f>
        <v/>
      </c>
    </row>
    <row r="30">
      <c r="A30" s="18" t="inlineStr">
        <is>
          <t>⑨ sRPE load</t>
        </is>
      </c>
      <c r="B30" s="18" t="inlineStr">
        <is>
          <t>sRPE×时长</t>
        </is>
      </c>
      <c r="C30" s="19">
        <f>IFERROR(F17,"")</f>
        <v/>
      </c>
    </row>
    <row r="33">
      <c r="A33" s="5" t="inlineStr">
        <is>
          <t>P005 曾庆华  a=1.775 b=-0.00875 1RM=155</t>
        </is>
      </c>
    </row>
    <row r="34">
      <c r="A34" s="6" t="inlineStr">
        <is>
          <t>编号</t>
        </is>
      </c>
      <c r="B34" s="6" t="inlineStr">
        <is>
          <t>姓名</t>
        </is>
      </c>
      <c r="C34" s="6" t="inlineStr">
        <is>
          <t>身高</t>
        </is>
      </c>
      <c r="D34" s="6" t="inlineStr">
        <is>
          <t>1RM</t>
        </is>
      </c>
      <c r="E34" s="6" t="inlineStr">
        <is>
          <t>Hooper睡</t>
        </is>
      </c>
      <c r="F34" s="6" t="inlineStr">
        <is>
          <t>Hooper压</t>
        </is>
      </c>
      <c r="G34" s="6" t="inlineStr">
        <is>
          <t>Hooper疲</t>
        </is>
      </c>
      <c r="H34" s="6" t="inlineStr">
        <is>
          <t>Hooper酸</t>
        </is>
      </c>
      <c r="I34" s="6" t="inlineStr">
        <is>
          <t>H总</t>
        </is>
      </c>
      <c r="J34" s="6" t="inlineStr">
        <is>
          <t>不适?</t>
        </is>
      </c>
      <c r="K34" s="6" t="inlineStr">
        <is>
          <t>说明</t>
        </is>
      </c>
      <c r="L34" s="6" t="inlineStr">
        <is>
          <t>CMJ1</t>
        </is>
      </c>
      <c r="M34" s="6" t="inlineStr">
        <is>
          <t>CMJ2</t>
        </is>
      </c>
      <c r="N34" s="6" t="inlineStr">
        <is>
          <t>CMJ3</t>
        </is>
      </c>
      <c r="O34" s="6" t="inlineStr">
        <is>
          <t>CMJμ</t>
        </is>
      </c>
      <c r="P34" s="6" t="inlineStr">
        <is>
          <t>&lt;95%</t>
        </is>
      </c>
      <c r="Q34" s="6" t="inlineStr">
        <is>
          <t>减组</t>
        </is>
      </c>
      <c r="R34" s="6" t="inlineStr">
        <is>
          <t>组数</t>
        </is>
      </c>
      <c r="S34" s="6" t="inlineStr">
        <is>
          <t>a(V0)</t>
        </is>
      </c>
      <c r="T34" s="6" t="inlineStr">
        <is>
          <t>b</t>
        </is>
      </c>
      <c r="U34" s="6" t="inlineStr">
        <is>
          <t>等级</t>
        </is>
      </c>
      <c r="V34" s="6" t="inlineStr">
        <is>
          <t>预测起始</t>
        </is>
      </c>
    </row>
    <row r="35">
      <c r="A35" s="7" t="inlineStr">
        <is>
          <t>P005</t>
        </is>
      </c>
      <c r="B35" s="7" t="inlineStr">
        <is>
          <t>曾庆华</t>
        </is>
      </c>
      <c r="C35" s="7" t="n">
        <v>177</v>
      </c>
      <c r="D35" s="8" t="n">
        <v>155</v>
      </c>
      <c r="E35" s="9" t="n"/>
      <c r="F35" s="9" t="n"/>
      <c r="G35" s="9" t="n"/>
      <c r="H35" s="9" t="n"/>
      <c r="I35" s="7">
        <f>IFERROR(SUM(E35:H35),"")</f>
        <v/>
      </c>
      <c r="J35" s="9" t="n"/>
      <c r="K35" s="9" t="n"/>
      <c r="L35" s="9" t="n"/>
      <c r="M35" s="9" t="n"/>
      <c r="N35" s="9" t="n"/>
      <c r="O35" s="7">
        <f>IFERROR(AVERAGE(L35:N35),"")</f>
        <v/>
      </c>
      <c r="P35" s="7">
        <f>IF(O35="","",IF(O35&lt;57.57,"是⚠","否"))</f>
        <v/>
      </c>
      <c r="Q35" s="7">
        <f>IF(O35="","",IF(O35&lt;57.57,5-1,5))</f>
        <v/>
      </c>
      <c r="R35" s="7" t="n"/>
      <c r="S35" s="8" t="n">
        <v>1.775</v>
      </c>
      <c r="T35" s="8" t="n">
        <v>-0.008750000000000001</v>
      </c>
      <c r="U35" s="7" t="inlineStr">
        <is>
          <t>B</t>
        </is>
      </c>
      <c r="V35" s="8" t="n">
        <v>140</v>
      </c>
    </row>
    <row r="36">
      <c r="A36" s="10" t="inlineStr">
        <is>
          <t>热身校准</t>
        </is>
      </c>
      <c r="B36" s="10" t="inlineStr">
        <is>
          <t>a</t>
        </is>
      </c>
      <c r="C36" s="10" t="inlineStr">
        <is>
          <t>b</t>
        </is>
      </c>
      <c r="D36" s="10" t="inlineStr">
        <is>
          <t>50%热身</t>
        </is>
      </c>
      <c r="E36" s="10" t="inlineStr">
        <is>
          <t>70%热身</t>
        </is>
      </c>
      <c r="F36" s="10" t="inlineStr">
        <is>
          <t>热身负荷</t>
        </is>
      </c>
      <c r="G36" s="10" t="inlineStr">
        <is>
          <t>实测MCV</t>
        </is>
      </c>
      <c r="H36" s="10" t="inlineStr">
        <is>
          <t>预测MCV</t>
        </is>
      </c>
      <c r="I36" s="10" t="inlineStr">
        <is>
          <t>Δv</t>
        </is>
      </c>
      <c r="J36" s="10" t="inlineStr">
        <is>
          <t>调整量</t>
        </is>
      </c>
      <c r="K36" s="10" t="inlineStr">
        <is>
          <t>校准第1组</t>
        </is>
      </c>
    </row>
    <row r="37">
      <c r="A37" s="7" t="n"/>
      <c r="B37" s="11" t="n">
        <v>1.775</v>
      </c>
      <c r="C37" s="11" t="n">
        <v>-0.008750000000000001</v>
      </c>
      <c r="D37" s="11">
        <f>IFERROR(ROUND(V35*0.5/2.5,0)*2.5,"")</f>
        <v/>
      </c>
      <c r="E37" s="11">
        <f>IFERROR(ROUND(V35*0.7/2.5,0)*2.5,"")</f>
        <v/>
      </c>
      <c r="F37" s="11">
        <f>IFERROR(ROUND(V35*0.6/2.5,0)*2.5,"")</f>
        <v/>
      </c>
      <c r="G37" s="9" t="n"/>
      <c r="H37" s="11">
        <f>IFERROR(B37+C37*F37,"")</f>
        <v/>
      </c>
      <c r="I37" s="11">
        <f>IFERROR(G37-H37,"")</f>
        <v/>
      </c>
      <c r="J37" s="11">
        <f>IFERROR(IF(I37&gt;0.08,5,IF(I37&gt;0.04,2.5,IF(I37&gt;=-0.04,0,IF(I37&gt;=-0.08,-2.5,-5)))),"")</f>
        <v/>
      </c>
      <c r="K37" s="11">
        <f>IFERROR(ROUND(V35+J37,0),"")</f>
        <v/>
      </c>
    </row>
    <row r="38">
      <c r="A38" s="12" t="inlineStr">
        <is>
          <t>组</t>
        </is>
      </c>
      <c r="B38" s="12" t="inlineStr">
        <is>
          <t>负荷</t>
        </is>
      </c>
      <c r="C38" s="12" t="inlineStr">
        <is>
          <t>rep1</t>
        </is>
      </c>
      <c r="D38" s="12" t="inlineStr">
        <is>
          <t>rep2</t>
        </is>
      </c>
      <c r="E38" s="12" t="inlineStr">
        <is>
          <t>rep3</t>
        </is>
      </c>
      <c r="F38" s="12" t="inlineStr">
        <is>
          <t>rep4</t>
        </is>
      </c>
      <c r="G38" s="12" t="inlineStr">
        <is>
          <t>rep5</t>
        </is>
      </c>
      <c r="H38" s="12" t="inlineStr">
        <is>
          <t>rep6</t>
        </is>
      </c>
      <c r="I38" s="12" t="inlineStr">
        <is>
          <t>best</t>
        </is>
      </c>
      <c r="J38" s="12" t="inlineStr">
        <is>
          <t>best#</t>
        </is>
      </c>
      <c r="K38" s="12" t="inlineStr">
        <is>
          <t>VL%</t>
        </is>
      </c>
      <c r="L38" s="12" t="inlineStr">
        <is>
          <t>stop_th</t>
        </is>
      </c>
      <c r="M38" s="12" t="inlineStr">
        <is>
          <t>latest</t>
        </is>
      </c>
      <c r="N38" s="12" t="inlineStr">
        <is>
          <t>VL_flag</t>
        </is>
      </c>
      <c r="O38" s="12" t="inlineStr">
        <is>
          <t>safety</t>
        </is>
      </c>
      <c r="P38" s="12" t="inlineStr">
        <is>
          <t>原因</t>
        </is>
      </c>
      <c r="Q38" s="12" t="inlineStr">
        <is>
          <t>建议</t>
        </is>
      </c>
      <c r="R38" s="12" t="inlineStr">
        <is>
          <t>次数</t>
        </is>
      </c>
    </row>
    <row r="39">
      <c r="A39" s="7" t="n">
        <v>1</v>
      </c>
      <c r="B39" s="9">
        <f>IFERROR(K37,"")</f>
        <v/>
      </c>
      <c r="C39" s="9" t="n"/>
      <c r="D39" s="9" t="n"/>
      <c r="E39" s="9" t="n"/>
      <c r="F39" s="9" t="n"/>
      <c r="G39" s="9" t="n"/>
      <c r="H39" s="9" t="n"/>
      <c r="I39" s="7">
        <f>IFERROR(MAX(C39:H39),"")</f>
        <v/>
      </c>
      <c r="J39" s="7">
        <f>IFERROR(MATCH(I39,C39:H39,0),"")</f>
        <v/>
      </c>
      <c r="K39" s="7" t="n">
        <v>22</v>
      </c>
      <c r="L39" s="7">
        <f>IFERROR(I39*(1-(K39/100)),"")</f>
        <v/>
      </c>
      <c r="M39" s="7">
        <f>IFERROR(LOOKUP(9.99E+307,C39:H39),"")</f>
        <v/>
      </c>
      <c r="N39" s="7">
        <f>IFERROR(IF(M39="","",IF(M39&lt;=N39,"停组🛑","继续✓")),"")</f>
        <v/>
      </c>
      <c r="O39" s="7">
        <f>IFERROR(IF(M39="","",IF(M39&lt;0.15,"SAFETY_STOP","")),"")</f>
        <v/>
      </c>
      <c r="P39" s="7">
        <f>IFERROR(IF(M39="","",IF(M39&lt;0.15,"SAFETY_STOP",IF(M39&lt;=N39,"VL_THRESHOLD",""))),"")</f>
        <v/>
      </c>
      <c r="Q39" s="7">
        <f>IFERROR(IF(I39="","",IF(I39&gt;(0.55+0.05),"+5kg",IF(I39&gt;(0.55+0.02),"+2.5kg",IF(I39&gt;=(0.55-0.05),"保持",IF(I39&gt;=(0.55-0.08),"-2.5kg","-5kg"))))),"")</f>
        <v/>
      </c>
      <c r="R39" s="9" t="n"/>
    </row>
    <row r="40">
      <c r="A40" s="7" t="n">
        <v>2</v>
      </c>
      <c r="B40" s="9" t="n"/>
      <c r="C40" s="9" t="n"/>
      <c r="D40" s="9" t="n"/>
      <c r="E40" s="9" t="n"/>
      <c r="F40" s="9" t="n"/>
      <c r="G40" s="9" t="n"/>
      <c r="H40" s="9" t="n"/>
      <c r="I40" s="7">
        <f>IFERROR(MAX(C40:H40),"")</f>
        <v/>
      </c>
      <c r="J40" s="7">
        <f>IFERROR(MATCH(I40,C40:H40,0),"")</f>
        <v/>
      </c>
      <c r="K40" s="7" t="n">
        <v>22</v>
      </c>
      <c r="L40" s="7">
        <f>IFERROR(I40*(1-(K40/100)),"")</f>
        <v/>
      </c>
      <c r="M40" s="7">
        <f>IFERROR(LOOKUP(9.99E+307,C40:H40),"")</f>
        <v/>
      </c>
      <c r="N40" s="7">
        <f>IFERROR(IF(M40="","",IF(M40&lt;=N40,"停组🛑","继续✓")),"")</f>
        <v/>
      </c>
      <c r="O40" s="7">
        <f>IFERROR(IF(M40="","",IF(M40&lt;0.15,"SAFETY_STOP","")),"")</f>
        <v/>
      </c>
      <c r="P40" s="7">
        <f>IFERROR(IF(M40="","",IF(M40&lt;0.15,"SAFETY_STOP",IF(M40&lt;=N40,"VL_THRESHOLD",""))),"")</f>
        <v/>
      </c>
      <c r="Q40" s="7">
        <f>IFERROR(IF(I40="","",IF(I40&gt;(0.55+0.05),"+5kg",IF(I40&gt;(0.55+0.02),"+2.5kg",IF(I40&gt;=(0.55-0.05),"保持",IF(I40&gt;=(0.55-0.08),"-2.5kg","-5kg"))))),"")</f>
        <v/>
      </c>
      <c r="R40" s="9" t="n"/>
    </row>
    <row r="41">
      <c r="A41" s="7" t="n">
        <v>3</v>
      </c>
      <c r="B41" s="9" t="n"/>
      <c r="C41" s="9" t="n"/>
      <c r="D41" s="9" t="n"/>
      <c r="E41" s="9" t="n"/>
      <c r="F41" s="9" t="n"/>
      <c r="G41" s="9" t="n"/>
      <c r="H41" s="9" t="n"/>
      <c r="I41" s="7">
        <f>IFERROR(MAX(C41:H41),"")</f>
        <v/>
      </c>
      <c r="J41" s="7">
        <f>IFERROR(MATCH(I41,C41:H41,0),"")</f>
        <v/>
      </c>
      <c r="K41" s="7" t="n">
        <v>22</v>
      </c>
      <c r="L41" s="7">
        <f>IFERROR(I41*(1-(K41/100)),"")</f>
        <v/>
      </c>
      <c r="M41" s="7">
        <f>IFERROR(LOOKUP(9.99E+307,C41:H41),"")</f>
        <v/>
      </c>
      <c r="N41" s="7">
        <f>IFERROR(IF(M41="","",IF(M41&lt;=N41,"停组🛑","继续✓")),"")</f>
        <v/>
      </c>
      <c r="O41" s="7">
        <f>IFERROR(IF(M41="","",IF(M41&lt;0.15,"SAFETY_STOP","")),"")</f>
        <v/>
      </c>
      <c r="P41" s="7">
        <f>IFERROR(IF(M41="","",IF(M41&lt;0.15,"SAFETY_STOP",IF(M41&lt;=N41,"VL_THRESHOLD",""))),"")</f>
        <v/>
      </c>
      <c r="Q41" s="7">
        <f>IFERROR(IF(I41="","",IF(I41&gt;(0.55+0.05),"+5kg",IF(I41&gt;(0.55+0.02),"+2.5kg",IF(I41&gt;=(0.55-0.05),"保持",IF(I41&gt;=(0.55-0.08),"-2.5kg","-5kg"))))),"")</f>
        <v/>
      </c>
      <c r="R41" s="9" t="n"/>
    </row>
    <row r="42">
      <c r="A42" s="7" t="n">
        <v>4</v>
      </c>
      <c r="B42" s="9" t="n"/>
      <c r="C42" s="9" t="n"/>
      <c r="D42" s="9" t="n"/>
      <c r="E42" s="9" t="n"/>
      <c r="F42" s="9" t="n"/>
      <c r="G42" s="9" t="n"/>
      <c r="H42" s="9" t="n"/>
      <c r="I42" s="7">
        <f>IFERROR(MAX(C42:H42),"")</f>
        <v/>
      </c>
      <c r="J42" s="7">
        <f>IFERROR(MATCH(I42,C42:H42,0),"")</f>
        <v/>
      </c>
      <c r="K42" s="7" t="n">
        <v>22</v>
      </c>
      <c r="L42" s="7">
        <f>IFERROR(I42*(1-(K42/100)),"")</f>
        <v/>
      </c>
      <c r="M42" s="7">
        <f>IFERROR(LOOKUP(9.99E+307,C42:H42),"")</f>
        <v/>
      </c>
      <c r="N42" s="7">
        <f>IFERROR(IF(M42="","",IF(M42&lt;=N42,"停组🛑","继续✓")),"")</f>
        <v/>
      </c>
      <c r="O42" s="7">
        <f>IFERROR(IF(M42="","",IF(M42&lt;0.15,"SAFETY_STOP","")),"")</f>
        <v/>
      </c>
      <c r="P42" s="7">
        <f>IFERROR(IF(M42="","",IF(M42&lt;0.15,"SAFETY_STOP",IF(M42&lt;=N42,"VL_THRESHOLD",""))),"")</f>
        <v/>
      </c>
      <c r="Q42" s="7">
        <f>IFERROR(IF(I42="","",IF(I42&gt;(0.55+0.05),"+5kg",IF(I42&gt;(0.55+0.02),"+2.5kg",IF(I42&gt;=(0.55-0.05),"保持",IF(I42&gt;=(0.55-0.08),"-2.5kg","-5kg"))))),"")</f>
        <v/>
      </c>
      <c r="R42" s="9" t="n"/>
    </row>
    <row r="43">
      <c r="A43" s="7" t="n">
        <v>5</v>
      </c>
      <c r="B43" s="9" t="n"/>
      <c r="C43" s="9" t="n"/>
      <c r="D43" s="9" t="n"/>
      <c r="E43" s="9" t="n"/>
      <c r="F43" s="9" t="n"/>
      <c r="G43" s="9" t="n"/>
      <c r="H43" s="9" t="n"/>
      <c r="I43" s="7">
        <f>IFERROR(MAX(C43:H43),"")</f>
        <v/>
      </c>
      <c r="J43" s="7">
        <f>IFERROR(MATCH(I43,C43:H43,0),"")</f>
        <v/>
      </c>
      <c r="K43" s="7" t="n">
        <v>22</v>
      </c>
      <c r="L43" s="7">
        <f>IFERROR(I43*(1-(K43/100)),"")</f>
        <v/>
      </c>
      <c r="M43" s="7">
        <f>IFERROR(LOOKUP(9.99E+307,C43:H43),"")</f>
        <v/>
      </c>
      <c r="N43" s="7">
        <f>IFERROR(IF(M43="","",IF(M43&lt;=N43,"停组🛑","继续✓")),"")</f>
        <v/>
      </c>
      <c r="O43" s="7">
        <f>IFERROR(IF(M43="","",IF(M43&lt;0.15,"SAFETY_STOP","")),"")</f>
        <v/>
      </c>
      <c r="P43" s="7">
        <f>IFERROR(IF(M43="","",IF(M43&lt;0.15,"SAFETY_STOP",IF(M43&lt;=N43,"VL_THRESHOLD",""))),"")</f>
        <v/>
      </c>
      <c r="Q43" s="7">
        <f>IFERROR(IF(I43="","",IF(I43&gt;(0.55+0.05),"+5kg",IF(I43&gt;(0.55+0.02),"+2.5kg",IF(I43&gt;=(0.55-0.05),"保持",IF(I43&gt;=(0.55-0.08),"-2.5kg","-5kg"))))),"")</f>
        <v/>
      </c>
      <c r="R43" s="9" t="n"/>
    </row>
    <row r="44">
      <c r="A44" s="7" t="n">
        <v>6</v>
      </c>
      <c r="B44" s="9" t="n"/>
      <c r="C44" s="9" t="n"/>
      <c r="D44" s="9" t="n"/>
      <c r="E44" s="9" t="n"/>
      <c r="F44" s="9" t="n"/>
      <c r="G44" s="9" t="n"/>
      <c r="H44" s="9" t="n"/>
      <c r="I44" s="7">
        <f>IFERROR(MAX(C44:H44),"")</f>
        <v/>
      </c>
      <c r="J44" s="7">
        <f>IFERROR(MATCH(I44,C44:H44,0),"")</f>
        <v/>
      </c>
      <c r="K44" s="7" t="n">
        <v>22</v>
      </c>
      <c r="L44" s="7">
        <f>IFERROR(I44*(1-(K44/100)),"")</f>
        <v/>
      </c>
      <c r="M44" s="7">
        <f>IFERROR(LOOKUP(9.99E+307,C44:H44),"")</f>
        <v/>
      </c>
      <c r="N44" s="7">
        <f>IFERROR(IF(M44="","",IF(M44&lt;=N44,"停组🛑","继续✓")),"")</f>
        <v/>
      </c>
      <c r="O44" s="7">
        <f>IFERROR(IF(M44="","",IF(M44&lt;0.15,"SAFETY_STOP","")),"")</f>
        <v/>
      </c>
      <c r="P44" s="7">
        <f>IFERROR(IF(M44="","",IF(M44&lt;0.15,"SAFETY_STOP",IF(M44&lt;=N44,"VL_THRESHOLD",""))),"")</f>
        <v/>
      </c>
      <c r="Q44" s="7">
        <f>IFERROR(IF(I44="","",IF(I44&gt;(0.55+0.05),"+5kg",IF(I44&gt;(0.55+0.02),"+2.5kg",IF(I44&gt;=(0.55-0.05),"保持",IF(I44&gt;=(0.55-0.08),"-2.5kg","-5kg"))))),"")</f>
        <v/>
      </c>
      <c r="R44" s="9" t="n"/>
    </row>
    <row r="45">
      <c r="A45" s="13" t="inlineStr">
        <is>
          <t>辅助</t>
        </is>
      </c>
      <c r="D45" s="14" t="inlineStr">
        <is>
          <t>RDL</t>
        </is>
      </c>
      <c r="E45" s="14" t="inlineStr">
        <is>
          <t>负荷</t>
        </is>
      </c>
      <c r="F45" s="14" t="inlineStr">
        <is>
          <t>完成</t>
        </is>
      </c>
      <c r="I45" t="inlineStr">
        <is>
          <t>VL</t>
        </is>
      </c>
    </row>
    <row r="46">
      <c r="A46" s="15" t="inlineStr">
        <is>
          <t>训练后</t>
        </is>
      </c>
      <c r="B46" s="15" t="inlineStr">
        <is>
          <t>开始</t>
        </is>
      </c>
      <c r="C46" s="15" t="inlineStr">
        <is>
          <t>结束</t>
        </is>
      </c>
      <c r="D46" s="15" t="inlineStr">
        <is>
          <t>时长min</t>
        </is>
      </c>
      <c r="E46" s="15" t="inlineStr">
        <is>
          <t>sRPE</t>
        </is>
      </c>
      <c r="F46" s="15" t="inlineStr">
        <is>
          <t>load</t>
        </is>
      </c>
      <c r="G46" s="15" t="inlineStr">
        <is>
          <t>不适?</t>
        </is>
      </c>
      <c r="H46" s="15" t="inlineStr">
        <is>
          <t>备注</t>
        </is>
      </c>
      <c r="I46" s="15" t="inlineStr">
        <is>
          <t>签名</t>
        </is>
      </c>
    </row>
    <row r="47">
      <c r="A47" s="7" t="n"/>
      <c r="B47" s="9" t="n"/>
      <c r="C47" s="9" t="n"/>
      <c r="D47" s="11">
        <f>IFERROR((C47-B47)*1440,"")</f>
        <v/>
      </c>
      <c r="E47" s="9" t="n"/>
      <c r="F47" s="11">
        <f>IFERROR(E47*D47,"")</f>
        <v/>
      </c>
      <c r="G47" s="9" t="n"/>
      <c r="H47" s="9" t="n"/>
      <c r="I47" s="9" t="n"/>
    </row>
    <row r="48">
      <c r="A48" s="16" t="inlineStr">
        <is>
          <t>跳跃</t>
        </is>
      </c>
      <c r="B48" s="16" t="inlineStr">
        <is>
          <t>类型</t>
        </is>
      </c>
      <c r="C48" s="16" t="inlineStr">
        <is>
          <t>组×次</t>
        </is>
      </c>
      <c r="D48" s="16" t="inlineStr">
        <is>
          <t>负荷kg</t>
        </is>
      </c>
      <c r="E48" s="16" t="inlineStr">
        <is>
          <t>接触</t>
        </is>
      </c>
    </row>
    <row r="49">
      <c r="B49" t="inlineStr">
        <is>
          <t>CMJ</t>
        </is>
      </c>
      <c r="C49" t="inlineStr">
        <is>
          <t>3×3</t>
        </is>
      </c>
      <c r="D49" t="n">
        <v>0</v>
      </c>
      <c r="E49" t="n">
        <v>9</v>
      </c>
    </row>
    <row r="50">
      <c r="B50" t="inlineStr">
        <is>
          <t>箱跳</t>
        </is>
      </c>
      <c r="C50" t="inlineStr">
        <is>
          <t>2×3</t>
        </is>
      </c>
      <c r="D50" t="n">
        <v>0</v>
      </c>
      <c r="E50" t="n">
        <v>6</v>
      </c>
    </row>
    <row r="51">
      <c r="A51" s="17" t="inlineStr">
        <is>
          <t>▶ 暴露量汇总</t>
        </is>
      </c>
      <c r="B51" s="17" t="inlineStr">
        <is>
          <t>说明</t>
        </is>
      </c>
      <c r="C51" s="17" t="inlineStr">
        <is>
          <t>公式/来源</t>
        </is>
      </c>
      <c r="D51" s="17" t="inlineStr">
        <is>
          <t>数值</t>
        </is>
      </c>
    </row>
    <row r="52">
      <c r="A52" s="18" t="inlineStr">
        <is>
          <t>① 无负荷跳跃接触</t>
        </is>
      </c>
      <c r="B52" s="18" t="inlineStr">
        <is>
          <t>CMJ+SJ+箱跳</t>
        </is>
      </c>
      <c r="C52" s="19">
        <f>IFERROR(E49+E50,2)</f>
        <v/>
      </c>
    </row>
    <row r="53">
      <c r="A53" s="18" t="inlineStr">
        <is>
          <t>② 负重跳跃接触</t>
        </is>
      </c>
      <c r="B53" s="18" t="inlineStr">
        <is>
          <t>负重深蹲跳</t>
        </is>
      </c>
      <c r="C53" s="19">
        <f>IFERROR(E49,"")</f>
        <v/>
      </c>
    </row>
    <row r="54">
      <c r="A54" s="18" t="inlineStr">
        <is>
          <t>③ 跳跃总计</t>
        </is>
      </c>
      <c r="B54" s="18" t="inlineStr">
        <is>
          <t>①+②</t>
        </is>
      </c>
      <c r="C54" s="19">
        <f>IFERROR(B52+B53,"")</f>
        <v/>
      </c>
    </row>
    <row r="55">
      <c r="A55" s="18" t="inlineStr">
        <is>
          <t>④ 热身VL</t>
        </is>
      </c>
      <c r="B55" s="18" t="inlineStr">
        <is>
          <t>20×5+50%×3(+70%×2)</t>
        </is>
      </c>
      <c r="C55" s="19">
        <f>IFERROR(20*5+ROUND(V35*0.5,0)*3+ROUND(V{dr}*0.7,0)*2,"-")</f>
        <v/>
      </c>
    </row>
    <row r="56">
      <c r="A56" s="20" t="inlineStr">
        <is>
          <t>⑤ 主项工作组VL ★</t>
        </is>
      </c>
      <c r="B56" s="20" t="inlineStr">
        <is>
          <t>Σ(负荷×次数)</t>
        </is>
      </c>
      <c r="C56" s="21">
        <f>SUMPRODUCT($B$39:$B$44,$R$39:$R$44)</f>
        <v/>
      </c>
    </row>
    <row r="57">
      <c r="A57" s="18" t="inlineStr">
        <is>
          <t>⑥ 主项总VL</t>
        </is>
      </c>
      <c r="B57" s="18" t="inlineStr">
        <is>
          <t>④+⑤</t>
        </is>
      </c>
      <c r="C57" s="19">
        <f>IFERROR(D52+D53,"")</f>
        <v/>
      </c>
    </row>
    <row r="58">
      <c r="A58" s="18" t="inlineStr">
        <is>
          <t>⑦ 辅助VL</t>
        </is>
      </c>
      <c r="B58" s="18" t="inlineStr">
        <is>
          <t>RDL/保加利亚</t>
        </is>
      </c>
      <c r="C58" s="19">
        <f>IFERROR(I45,"")</f>
        <v/>
      </c>
    </row>
    <row r="59">
      <c r="A59" s="18" t="inlineStr">
        <is>
          <t>⑧ 总外部负荷</t>
        </is>
      </c>
      <c r="B59" s="18" t="inlineStr">
        <is>
          <t>⑥+⑦(+负重跳)</t>
        </is>
      </c>
      <c r="C59" s="19">
        <f>IFERROR(F52+G52,"")</f>
        <v/>
      </c>
    </row>
    <row r="60">
      <c r="A60" s="18" t="inlineStr">
        <is>
          <t>⑨ sRPE load</t>
        </is>
      </c>
      <c r="B60" s="18" t="inlineStr">
        <is>
          <t>sRPE×时长</t>
        </is>
      </c>
      <c r="C60" s="19">
        <f>IFERROR(F47,"")</f>
        <v/>
      </c>
    </row>
    <row r="63">
      <c r="A63" s="5" t="inlineStr">
        <is>
          <t>P002 何天元  a=1.487 b=-0.0054 1RM=150</t>
        </is>
      </c>
    </row>
    <row r="64">
      <c r="A64" s="6" t="inlineStr">
        <is>
          <t>编号</t>
        </is>
      </c>
      <c r="B64" s="6" t="inlineStr">
        <is>
          <t>姓名</t>
        </is>
      </c>
      <c r="C64" s="6" t="inlineStr">
        <is>
          <t>身高</t>
        </is>
      </c>
      <c r="D64" s="6" t="inlineStr">
        <is>
          <t>1RM</t>
        </is>
      </c>
      <c r="E64" s="6" t="inlineStr">
        <is>
          <t>Hooper睡</t>
        </is>
      </c>
      <c r="F64" s="6" t="inlineStr">
        <is>
          <t>Hooper压</t>
        </is>
      </c>
      <c r="G64" s="6" t="inlineStr">
        <is>
          <t>Hooper疲</t>
        </is>
      </c>
      <c r="H64" s="6" t="inlineStr">
        <is>
          <t>Hooper酸</t>
        </is>
      </c>
      <c r="I64" s="6" t="inlineStr">
        <is>
          <t>H总</t>
        </is>
      </c>
      <c r="J64" s="6" t="inlineStr">
        <is>
          <t>不适?</t>
        </is>
      </c>
      <c r="K64" s="6" t="inlineStr">
        <is>
          <t>说明</t>
        </is>
      </c>
      <c r="L64" s="6" t="inlineStr">
        <is>
          <t>CMJ1</t>
        </is>
      </c>
      <c r="M64" s="6" t="inlineStr">
        <is>
          <t>CMJ2</t>
        </is>
      </c>
      <c r="N64" s="6" t="inlineStr">
        <is>
          <t>CMJ3</t>
        </is>
      </c>
      <c r="O64" s="6" t="inlineStr">
        <is>
          <t>CMJμ</t>
        </is>
      </c>
      <c r="P64" s="6" t="inlineStr">
        <is>
          <t>&lt;95%</t>
        </is>
      </c>
      <c r="Q64" s="6" t="inlineStr">
        <is>
          <t>减组</t>
        </is>
      </c>
      <c r="R64" s="6" t="inlineStr">
        <is>
          <t>组数</t>
        </is>
      </c>
      <c r="S64" s="6" t="inlineStr">
        <is>
          <t>a(V0)</t>
        </is>
      </c>
      <c r="T64" s="6" t="inlineStr">
        <is>
          <t>b</t>
        </is>
      </c>
      <c r="U64" s="6" t="inlineStr">
        <is>
          <t>等级</t>
        </is>
      </c>
      <c r="V64" s="6" t="inlineStr">
        <is>
          <t>预测起始</t>
        </is>
      </c>
    </row>
    <row r="65">
      <c r="A65" s="7" t="inlineStr">
        <is>
          <t>P002</t>
        </is>
      </c>
      <c r="B65" s="7" t="inlineStr">
        <is>
          <t>何天元</t>
        </is>
      </c>
      <c r="C65" s="7" t="n">
        <v>178</v>
      </c>
      <c r="D65" s="8" t="n">
        <v>150</v>
      </c>
      <c r="E65" s="9" t="n"/>
      <c r="F65" s="9" t="n"/>
      <c r="G65" s="9" t="n"/>
      <c r="H65" s="9" t="n"/>
      <c r="I65" s="7">
        <f>IFERROR(SUM(E65:H65),"")</f>
        <v/>
      </c>
      <c r="J65" s="9" t="n"/>
      <c r="K65" s="9" t="n"/>
      <c r="L65" s="9" t="n"/>
      <c r="M65" s="9" t="n"/>
      <c r="N65" s="9" t="n"/>
      <c r="O65" s="7">
        <f>IFERROR(AVERAGE(L65:N65),"")</f>
        <v/>
      </c>
      <c r="P65" s="7">
        <f>IF(O65="","",IF(O65&lt;60.54,"是⚠","否"))</f>
        <v/>
      </c>
      <c r="Q65" s="7">
        <f>IF(O65="","",IF(O65&lt;60.54,5-1,5))</f>
        <v/>
      </c>
      <c r="R65" s="7" t="n"/>
      <c r="S65" s="8" t="n">
        <v>1.487</v>
      </c>
      <c r="T65" s="8" t="n">
        <v>-0.0054</v>
      </c>
      <c r="U65" s="7" t="inlineStr">
        <is>
          <t>B</t>
        </is>
      </c>
      <c r="V65" s="8" t="n">
        <v>172.5</v>
      </c>
    </row>
    <row r="66">
      <c r="A66" s="10" t="inlineStr">
        <is>
          <t>热身校准</t>
        </is>
      </c>
      <c r="B66" s="10" t="inlineStr">
        <is>
          <t>a</t>
        </is>
      </c>
      <c r="C66" s="10" t="inlineStr">
        <is>
          <t>b</t>
        </is>
      </c>
      <c r="D66" s="10" t="inlineStr">
        <is>
          <t>50%热身</t>
        </is>
      </c>
      <c r="E66" s="10" t="inlineStr">
        <is>
          <t>70%热身</t>
        </is>
      </c>
      <c r="F66" s="10" t="inlineStr">
        <is>
          <t>热身负荷</t>
        </is>
      </c>
      <c r="G66" s="10" t="inlineStr">
        <is>
          <t>实测MCV</t>
        </is>
      </c>
      <c r="H66" s="10" t="inlineStr">
        <is>
          <t>预测MCV</t>
        </is>
      </c>
      <c r="I66" s="10" t="inlineStr">
        <is>
          <t>Δv</t>
        </is>
      </c>
      <c r="J66" s="10" t="inlineStr">
        <is>
          <t>调整量</t>
        </is>
      </c>
      <c r="K66" s="10" t="inlineStr">
        <is>
          <t>校准第1组</t>
        </is>
      </c>
    </row>
    <row r="67">
      <c r="A67" s="7" t="n"/>
      <c r="B67" s="11" t="n">
        <v>1.487</v>
      </c>
      <c r="C67" s="11" t="n">
        <v>-0.0054</v>
      </c>
      <c r="D67" s="11">
        <f>IFERROR(ROUND(V65*0.5/2.5,0)*2.5,"")</f>
        <v/>
      </c>
      <c r="E67" s="11">
        <f>IFERROR(ROUND(V65*0.7/2.5,0)*2.5,"")</f>
        <v/>
      </c>
      <c r="F67" s="11">
        <f>IFERROR(ROUND(V65*0.6/2.5,0)*2.5,"")</f>
        <v/>
      </c>
      <c r="G67" s="9" t="n"/>
      <c r="H67" s="11">
        <f>IFERROR(B67+C67*F67,"")</f>
        <v/>
      </c>
      <c r="I67" s="11">
        <f>IFERROR(G67-H67,"")</f>
        <v/>
      </c>
      <c r="J67" s="11">
        <f>IFERROR(IF(I67&gt;0.08,5,IF(I67&gt;0.04,2.5,IF(I67&gt;=-0.04,0,IF(I67&gt;=-0.08,-2.5,-5)))),"")</f>
        <v/>
      </c>
      <c r="K67" s="11">
        <f>IFERROR(ROUND(V65+J67,0),"")</f>
        <v/>
      </c>
    </row>
    <row r="68">
      <c r="A68" s="12" t="inlineStr">
        <is>
          <t>组</t>
        </is>
      </c>
      <c r="B68" s="12" t="inlineStr">
        <is>
          <t>负荷</t>
        </is>
      </c>
      <c r="C68" s="12" t="inlineStr">
        <is>
          <t>rep1</t>
        </is>
      </c>
      <c r="D68" s="12" t="inlineStr">
        <is>
          <t>rep2</t>
        </is>
      </c>
      <c r="E68" s="12" t="inlineStr">
        <is>
          <t>rep3</t>
        </is>
      </c>
      <c r="F68" s="12" t="inlineStr">
        <is>
          <t>rep4</t>
        </is>
      </c>
      <c r="G68" s="12" t="inlineStr">
        <is>
          <t>rep5</t>
        </is>
      </c>
      <c r="H68" s="12" t="inlineStr">
        <is>
          <t>rep6</t>
        </is>
      </c>
      <c r="I68" s="12" t="inlineStr">
        <is>
          <t>best</t>
        </is>
      </c>
      <c r="J68" s="12" t="inlineStr">
        <is>
          <t>best#</t>
        </is>
      </c>
      <c r="K68" s="12" t="inlineStr">
        <is>
          <t>VL%</t>
        </is>
      </c>
      <c r="L68" s="12" t="inlineStr">
        <is>
          <t>stop_th</t>
        </is>
      </c>
      <c r="M68" s="12" t="inlineStr">
        <is>
          <t>latest</t>
        </is>
      </c>
      <c r="N68" s="12" t="inlineStr">
        <is>
          <t>VL_flag</t>
        </is>
      </c>
      <c r="O68" s="12" t="inlineStr">
        <is>
          <t>safety</t>
        </is>
      </c>
      <c r="P68" s="12" t="inlineStr">
        <is>
          <t>原因</t>
        </is>
      </c>
      <c r="Q68" s="12" t="inlineStr">
        <is>
          <t>建议</t>
        </is>
      </c>
      <c r="R68" s="12" t="inlineStr">
        <is>
          <t>次数</t>
        </is>
      </c>
    </row>
    <row r="69">
      <c r="A69" s="7" t="n">
        <v>1</v>
      </c>
      <c r="B69" s="9">
        <f>IFERROR(K67,"")</f>
        <v/>
      </c>
      <c r="C69" s="9" t="n"/>
      <c r="D69" s="9" t="n"/>
      <c r="E69" s="9" t="n"/>
      <c r="F69" s="9" t="n"/>
      <c r="G69" s="9" t="n"/>
      <c r="H69" s="9" t="n"/>
      <c r="I69" s="7">
        <f>IFERROR(MAX(C69:H69),"")</f>
        <v/>
      </c>
      <c r="J69" s="7">
        <f>IFERROR(MATCH(I69,C69:H69,0),"")</f>
        <v/>
      </c>
      <c r="K69" s="7" t="n">
        <v>22</v>
      </c>
      <c r="L69" s="7">
        <f>IFERROR(I69*(1-(K69/100)),"")</f>
        <v/>
      </c>
      <c r="M69" s="7">
        <f>IFERROR(LOOKUP(9.99E+307,C69:H69),"")</f>
        <v/>
      </c>
      <c r="N69" s="7">
        <f>IFERROR(IF(M69="","",IF(M69&lt;=N69,"停组🛑","继续✓")),"")</f>
        <v/>
      </c>
      <c r="O69" s="7">
        <f>IFERROR(IF(M69="","",IF(M69&lt;0.15,"SAFETY_STOP","")),"")</f>
        <v/>
      </c>
      <c r="P69" s="7">
        <f>IFERROR(IF(M69="","",IF(M69&lt;0.15,"SAFETY_STOP",IF(M69&lt;=N69,"VL_THRESHOLD",""))),"")</f>
        <v/>
      </c>
      <c r="Q69" s="7">
        <f>IFERROR(IF(I69="","",IF(I69&gt;(0.55+0.05),"+5kg",IF(I69&gt;(0.55+0.02),"+2.5kg",IF(I69&gt;=(0.55-0.05),"保持",IF(I69&gt;=(0.55-0.08),"-2.5kg","-5kg"))))),"")</f>
        <v/>
      </c>
      <c r="R69" s="9" t="n"/>
    </row>
    <row r="70">
      <c r="A70" s="7" t="n">
        <v>2</v>
      </c>
      <c r="B70" s="9" t="n"/>
      <c r="C70" s="9" t="n"/>
      <c r="D70" s="9" t="n"/>
      <c r="E70" s="9" t="n"/>
      <c r="F70" s="9" t="n"/>
      <c r="G70" s="9" t="n"/>
      <c r="H70" s="9" t="n"/>
      <c r="I70" s="7">
        <f>IFERROR(MAX(C70:H70),"")</f>
        <v/>
      </c>
      <c r="J70" s="7">
        <f>IFERROR(MATCH(I70,C70:H70,0),"")</f>
        <v/>
      </c>
      <c r="K70" s="7" t="n">
        <v>22</v>
      </c>
      <c r="L70" s="7">
        <f>IFERROR(I70*(1-(K70/100)),"")</f>
        <v/>
      </c>
      <c r="M70" s="7">
        <f>IFERROR(LOOKUP(9.99E+307,C70:H70),"")</f>
        <v/>
      </c>
      <c r="N70" s="7">
        <f>IFERROR(IF(M70="","",IF(M70&lt;=N70,"停组🛑","继续✓")),"")</f>
        <v/>
      </c>
      <c r="O70" s="7">
        <f>IFERROR(IF(M70="","",IF(M70&lt;0.15,"SAFETY_STOP","")),"")</f>
        <v/>
      </c>
      <c r="P70" s="7">
        <f>IFERROR(IF(M70="","",IF(M70&lt;0.15,"SAFETY_STOP",IF(M70&lt;=N70,"VL_THRESHOLD",""))),"")</f>
        <v/>
      </c>
      <c r="Q70" s="7">
        <f>IFERROR(IF(I70="","",IF(I70&gt;(0.55+0.05),"+5kg",IF(I70&gt;(0.55+0.02),"+2.5kg",IF(I70&gt;=(0.55-0.05),"保持",IF(I70&gt;=(0.55-0.08),"-2.5kg","-5kg"))))),"")</f>
        <v/>
      </c>
      <c r="R70" s="9" t="n"/>
    </row>
    <row r="71">
      <c r="A71" s="7" t="n">
        <v>3</v>
      </c>
      <c r="B71" s="9" t="n"/>
      <c r="C71" s="9" t="n"/>
      <c r="D71" s="9" t="n"/>
      <c r="E71" s="9" t="n"/>
      <c r="F71" s="9" t="n"/>
      <c r="G71" s="9" t="n"/>
      <c r="H71" s="9" t="n"/>
      <c r="I71" s="7">
        <f>IFERROR(MAX(C71:H71),"")</f>
        <v/>
      </c>
      <c r="J71" s="7">
        <f>IFERROR(MATCH(I71,C71:H71,0),"")</f>
        <v/>
      </c>
      <c r="K71" s="7" t="n">
        <v>22</v>
      </c>
      <c r="L71" s="7">
        <f>IFERROR(I71*(1-(K71/100)),"")</f>
        <v/>
      </c>
      <c r="M71" s="7">
        <f>IFERROR(LOOKUP(9.99E+307,C71:H71),"")</f>
        <v/>
      </c>
      <c r="N71" s="7">
        <f>IFERROR(IF(M71="","",IF(M71&lt;=N71,"停组🛑","继续✓")),"")</f>
        <v/>
      </c>
      <c r="O71" s="7">
        <f>IFERROR(IF(M71="","",IF(M71&lt;0.15,"SAFETY_STOP","")),"")</f>
        <v/>
      </c>
      <c r="P71" s="7">
        <f>IFERROR(IF(M71="","",IF(M71&lt;0.15,"SAFETY_STOP",IF(M71&lt;=N71,"VL_THRESHOLD",""))),"")</f>
        <v/>
      </c>
      <c r="Q71" s="7">
        <f>IFERROR(IF(I71="","",IF(I71&gt;(0.55+0.05),"+5kg",IF(I71&gt;(0.55+0.02),"+2.5kg",IF(I71&gt;=(0.55-0.05),"保持",IF(I71&gt;=(0.55-0.08),"-2.5kg","-5kg"))))),"")</f>
        <v/>
      </c>
      <c r="R71" s="9" t="n"/>
    </row>
    <row r="72">
      <c r="A72" s="7" t="n">
        <v>4</v>
      </c>
      <c r="B72" s="9" t="n"/>
      <c r="C72" s="9" t="n"/>
      <c r="D72" s="9" t="n"/>
      <c r="E72" s="9" t="n"/>
      <c r="F72" s="9" t="n"/>
      <c r="G72" s="9" t="n"/>
      <c r="H72" s="9" t="n"/>
      <c r="I72" s="7">
        <f>IFERROR(MAX(C72:H72),"")</f>
        <v/>
      </c>
      <c r="J72" s="7">
        <f>IFERROR(MATCH(I72,C72:H72,0),"")</f>
        <v/>
      </c>
      <c r="K72" s="7" t="n">
        <v>22</v>
      </c>
      <c r="L72" s="7">
        <f>IFERROR(I72*(1-(K72/100)),"")</f>
        <v/>
      </c>
      <c r="M72" s="7">
        <f>IFERROR(LOOKUP(9.99E+307,C72:H72),"")</f>
        <v/>
      </c>
      <c r="N72" s="7">
        <f>IFERROR(IF(M72="","",IF(M72&lt;=N72,"停组🛑","继续✓")),"")</f>
        <v/>
      </c>
      <c r="O72" s="7">
        <f>IFERROR(IF(M72="","",IF(M72&lt;0.15,"SAFETY_STOP","")),"")</f>
        <v/>
      </c>
      <c r="P72" s="7">
        <f>IFERROR(IF(M72="","",IF(M72&lt;0.15,"SAFETY_STOP",IF(M72&lt;=N72,"VL_THRESHOLD",""))),"")</f>
        <v/>
      </c>
      <c r="Q72" s="7">
        <f>IFERROR(IF(I72="","",IF(I72&gt;(0.55+0.05),"+5kg",IF(I72&gt;(0.55+0.02),"+2.5kg",IF(I72&gt;=(0.55-0.05),"保持",IF(I72&gt;=(0.55-0.08),"-2.5kg","-5kg"))))),"")</f>
        <v/>
      </c>
      <c r="R72" s="9" t="n"/>
    </row>
    <row r="73">
      <c r="A73" s="7" t="n">
        <v>5</v>
      </c>
      <c r="B73" s="9" t="n"/>
      <c r="C73" s="9" t="n"/>
      <c r="D73" s="9" t="n"/>
      <c r="E73" s="9" t="n"/>
      <c r="F73" s="9" t="n"/>
      <c r="G73" s="9" t="n"/>
      <c r="H73" s="9" t="n"/>
      <c r="I73" s="7">
        <f>IFERROR(MAX(C73:H73),"")</f>
        <v/>
      </c>
      <c r="J73" s="7">
        <f>IFERROR(MATCH(I73,C73:H73,0),"")</f>
        <v/>
      </c>
      <c r="K73" s="7" t="n">
        <v>22</v>
      </c>
      <c r="L73" s="7">
        <f>IFERROR(I73*(1-(K73/100)),"")</f>
        <v/>
      </c>
      <c r="M73" s="7">
        <f>IFERROR(LOOKUP(9.99E+307,C73:H73),"")</f>
        <v/>
      </c>
      <c r="N73" s="7">
        <f>IFERROR(IF(M73="","",IF(M73&lt;=N73,"停组🛑","继续✓")),"")</f>
        <v/>
      </c>
      <c r="O73" s="7">
        <f>IFERROR(IF(M73="","",IF(M73&lt;0.15,"SAFETY_STOP","")),"")</f>
        <v/>
      </c>
      <c r="P73" s="7">
        <f>IFERROR(IF(M73="","",IF(M73&lt;0.15,"SAFETY_STOP",IF(M73&lt;=N73,"VL_THRESHOLD",""))),"")</f>
        <v/>
      </c>
      <c r="Q73" s="7">
        <f>IFERROR(IF(I73="","",IF(I73&gt;(0.55+0.05),"+5kg",IF(I73&gt;(0.55+0.02),"+2.5kg",IF(I73&gt;=(0.55-0.05),"保持",IF(I73&gt;=(0.55-0.08),"-2.5kg","-5kg"))))),"")</f>
        <v/>
      </c>
      <c r="R73" s="9" t="n"/>
    </row>
    <row r="74">
      <c r="A74" s="7" t="n">
        <v>6</v>
      </c>
      <c r="B74" s="9" t="n"/>
      <c r="C74" s="9" t="n"/>
      <c r="D74" s="9" t="n"/>
      <c r="E74" s="9" t="n"/>
      <c r="F74" s="9" t="n"/>
      <c r="G74" s="9" t="n"/>
      <c r="H74" s="9" t="n"/>
      <c r="I74" s="7">
        <f>IFERROR(MAX(C74:H74),"")</f>
        <v/>
      </c>
      <c r="J74" s="7">
        <f>IFERROR(MATCH(I74,C74:H74,0),"")</f>
        <v/>
      </c>
      <c r="K74" s="7" t="n">
        <v>22</v>
      </c>
      <c r="L74" s="7">
        <f>IFERROR(I74*(1-(K74/100)),"")</f>
        <v/>
      </c>
      <c r="M74" s="7">
        <f>IFERROR(LOOKUP(9.99E+307,C74:H74),"")</f>
        <v/>
      </c>
      <c r="N74" s="7">
        <f>IFERROR(IF(M74="","",IF(M74&lt;=N74,"停组🛑","继续✓")),"")</f>
        <v/>
      </c>
      <c r="O74" s="7">
        <f>IFERROR(IF(M74="","",IF(M74&lt;0.15,"SAFETY_STOP","")),"")</f>
        <v/>
      </c>
      <c r="P74" s="7">
        <f>IFERROR(IF(M74="","",IF(M74&lt;0.15,"SAFETY_STOP",IF(M74&lt;=N74,"VL_THRESHOLD",""))),"")</f>
        <v/>
      </c>
      <c r="Q74" s="7">
        <f>IFERROR(IF(I74="","",IF(I74&gt;(0.55+0.05),"+5kg",IF(I74&gt;(0.55+0.02),"+2.5kg",IF(I74&gt;=(0.55-0.05),"保持",IF(I74&gt;=(0.55-0.08),"-2.5kg","-5kg"))))),"")</f>
        <v/>
      </c>
      <c r="R74" s="9" t="n"/>
    </row>
    <row r="75">
      <c r="A75" s="13" t="inlineStr">
        <is>
          <t>辅助</t>
        </is>
      </c>
      <c r="D75" s="14" t="inlineStr">
        <is>
          <t>RDL</t>
        </is>
      </c>
      <c r="E75" s="14" t="inlineStr">
        <is>
          <t>负荷</t>
        </is>
      </c>
      <c r="F75" s="14" t="inlineStr">
        <is>
          <t>完成</t>
        </is>
      </c>
      <c r="I75" t="inlineStr">
        <is>
          <t>VL</t>
        </is>
      </c>
    </row>
    <row r="76">
      <c r="A76" s="15" t="inlineStr">
        <is>
          <t>训练后</t>
        </is>
      </c>
      <c r="B76" s="15" t="inlineStr">
        <is>
          <t>开始</t>
        </is>
      </c>
      <c r="C76" s="15" t="inlineStr">
        <is>
          <t>结束</t>
        </is>
      </c>
      <c r="D76" s="15" t="inlineStr">
        <is>
          <t>时长min</t>
        </is>
      </c>
      <c r="E76" s="15" t="inlineStr">
        <is>
          <t>sRPE</t>
        </is>
      </c>
      <c r="F76" s="15" t="inlineStr">
        <is>
          <t>load</t>
        </is>
      </c>
      <c r="G76" s="15" t="inlineStr">
        <is>
          <t>不适?</t>
        </is>
      </c>
      <c r="H76" s="15" t="inlineStr">
        <is>
          <t>备注</t>
        </is>
      </c>
      <c r="I76" s="15" t="inlineStr">
        <is>
          <t>签名</t>
        </is>
      </c>
    </row>
    <row r="77">
      <c r="A77" s="7" t="n"/>
      <c r="B77" s="9" t="n"/>
      <c r="C77" s="9" t="n"/>
      <c r="D77" s="11">
        <f>IFERROR((C77-B77)*1440,"")</f>
        <v/>
      </c>
      <c r="E77" s="9" t="n"/>
      <c r="F77" s="11">
        <f>IFERROR(E77*D77,"")</f>
        <v/>
      </c>
      <c r="G77" s="9" t="n"/>
      <c r="H77" s="9" t="n"/>
      <c r="I77" s="9" t="n"/>
    </row>
    <row r="78">
      <c r="A78" s="16" t="inlineStr">
        <is>
          <t>跳跃</t>
        </is>
      </c>
      <c r="B78" s="16" t="inlineStr">
        <is>
          <t>类型</t>
        </is>
      </c>
      <c r="C78" s="16" t="inlineStr">
        <is>
          <t>组×次</t>
        </is>
      </c>
      <c r="D78" s="16" t="inlineStr">
        <is>
          <t>负荷kg</t>
        </is>
      </c>
      <c r="E78" s="16" t="inlineStr">
        <is>
          <t>接触</t>
        </is>
      </c>
    </row>
    <row r="79">
      <c r="B79" t="inlineStr">
        <is>
          <t>CMJ</t>
        </is>
      </c>
      <c r="C79" t="inlineStr">
        <is>
          <t>3×3</t>
        </is>
      </c>
      <c r="D79" t="n">
        <v>0</v>
      </c>
      <c r="E79" t="n">
        <v>9</v>
      </c>
    </row>
    <row r="80">
      <c r="B80" t="inlineStr">
        <is>
          <t>箱跳</t>
        </is>
      </c>
      <c r="C80" t="inlineStr">
        <is>
          <t>2×3</t>
        </is>
      </c>
      <c r="D80" t="n">
        <v>0</v>
      </c>
      <c r="E80" t="n">
        <v>6</v>
      </c>
    </row>
    <row r="81">
      <c r="A81" s="17" t="inlineStr">
        <is>
          <t>▶ 暴露量汇总</t>
        </is>
      </c>
      <c r="B81" s="17" t="inlineStr">
        <is>
          <t>说明</t>
        </is>
      </c>
      <c r="C81" s="17" t="inlineStr">
        <is>
          <t>公式/来源</t>
        </is>
      </c>
      <c r="D81" s="17" t="inlineStr">
        <is>
          <t>数值</t>
        </is>
      </c>
    </row>
    <row r="82">
      <c r="A82" s="18" t="inlineStr">
        <is>
          <t>① 无负荷跳跃接触</t>
        </is>
      </c>
      <c r="B82" s="18" t="inlineStr">
        <is>
          <t>CMJ+SJ+箱跳</t>
        </is>
      </c>
      <c r="C82" s="19">
        <f>IFERROR(E79+E80,2)</f>
        <v/>
      </c>
    </row>
    <row r="83">
      <c r="A83" s="18" t="inlineStr">
        <is>
          <t>② 负重跳跃接触</t>
        </is>
      </c>
      <c r="B83" s="18" t="inlineStr">
        <is>
          <t>负重深蹲跳</t>
        </is>
      </c>
      <c r="C83" s="19">
        <f>IFERROR(E79,"")</f>
        <v/>
      </c>
    </row>
    <row r="84">
      <c r="A84" s="18" t="inlineStr">
        <is>
          <t>③ 跳跃总计</t>
        </is>
      </c>
      <c r="B84" s="18" t="inlineStr">
        <is>
          <t>①+②</t>
        </is>
      </c>
      <c r="C84" s="19">
        <f>IFERROR(B82+B83,"")</f>
        <v/>
      </c>
    </row>
    <row r="85">
      <c r="A85" s="18" t="inlineStr">
        <is>
          <t>④ 热身VL</t>
        </is>
      </c>
      <c r="B85" s="18" t="inlineStr">
        <is>
          <t>20×5+50%×3(+70%×2)</t>
        </is>
      </c>
      <c r="C85" s="19">
        <f>IFERROR(20*5+ROUND(V65*0.5,0)*3+ROUND(V{dr}*0.7,0)*2,"-")</f>
        <v/>
      </c>
    </row>
    <row r="86">
      <c r="A86" s="20" t="inlineStr">
        <is>
          <t>⑤ 主项工作组VL ★</t>
        </is>
      </c>
      <c r="B86" s="20" t="inlineStr">
        <is>
          <t>Σ(负荷×次数)</t>
        </is>
      </c>
      <c r="C86" s="21">
        <f>SUMPRODUCT($B$69:$B$74,$R$69:$R$74)</f>
        <v/>
      </c>
    </row>
    <row r="87">
      <c r="A87" s="18" t="inlineStr">
        <is>
          <t>⑥ 主项总VL</t>
        </is>
      </c>
      <c r="B87" s="18" t="inlineStr">
        <is>
          <t>④+⑤</t>
        </is>
      </c>
      <c r="C87" s="19">
        <f>IFERROR(D82+D83,"")</f>
        <v/>
      </c>
    </row>
    <row r="88">
      <c r="A88" s="18" t="inlineStr">
        <is>
          <t>⑦ 辅助VL</t>
        </is>
      </c>
      <c r="B88" s="18" t="inlineStr">
        <is>
          <t>RDL/保加利亚</t>
        </is>
      </c>
      <c r="C88" s="19">
        <f>IFERROR(I75,"")</f>
        <v/>
      </c>
    </row>
    <row r="89">
      <c r="A89" s="18" t="inlineStr">
        <is>
          <t>⑧ 总外部负荷</t>
        </is>
      </c>
      <c r="B89" s="18" t="inlineStr">
        <is>
          <t>⑥+⑦(+负重跳)</t>
        </is>
      </c>
      <c r="C89" s="19">
        <f>IFERROR(F82+G82,"")</f>
        <v/>
      </c>
    </row>
    <row r="90">
      <c r="A90" s="18" t="inlineStr">
        <is>
          <t>⑨ sRPE load</t>
        </is>
      </c>
      <c r="B90" s="18" t="inlineStr">
        <is>
          <t>sRPE×时长</t>
        </is>
      </c>
      <c r="C90" s="19">
        <f>IFERROR(F77,"")</f>
        <v/>
      </c>
    </row>
    <row r="93">
      <c r="A93" s="5" t="inlineStr">
        <is>
          <t>P006 陈镕垚  a=1.694 b=-0.01015 1RM=145</t>
        </is>
      </c>
    </row>
    <row r="94">
      <c r="A94" s="6" t="inlineStr">
        <is>
          <t>编号</t>
        </is>
      </c>
      <c r="B94" s="6" t="inlineStr">
        <is>
          <t>姓名</t>
        </is>
      </c>
      <c r="C94" s="6" t="inlineStr">
        <is>
          <t>身高</t>
        </is>
      </c>
      <c r="D94" s="6" t="inlineStr">
        <is>
          <t>1RM</t>
        </is>
      </c>
      <c r="E94" s="6" t="inlineStr">
        <is>
          <t>Hooper睡</t>
        </is>
      </c>
      <c r="F94" s="6" t="inlineStr">
        <is>
          <t>Hooper压</t>
        </is>
      </c>
      <c r="G94" s="6" t="inlineStr">
        <is>
          <t>Hooper疲</t>
        </is>
      </c>
      <c r="H94" s="6" t="inlineStr">
        <is>
          <t>Hooper酸</t>
        </is>
      </c>
      <c r="I94" s="6" t="inlineStr">
        <is>
          <t>H总</t>
        </is>
      </c>
      <c r="J94" s="6" t="inlineStr">
        <is>
          <t>不适?</t>
        </is>
      </c>
      <c r="K94" s="6" t="inlineStr">
        <is>
          <t>说明</t>
        </is>
      </c>
      <c r="L94" s="6" t="inlineStr">
        <is>
          <t>CMJ1</t>
        </is>
      </c>
      <c r="M94" s="6" t="inlineStr">
        <is>
          <t>CMJ2</t>
        </is>
      </c>
      <c r="N94" s="6" t="inlineStr">
        <is>
          <t>CMJ3</t>
        </is>
      </c>
      <c r="O94" s="6" t="inlineStr">
        <is>
          <t>CMJμ</t>
        </is>
      </c>
      <c r="P94" s="6" t="inlineStr">
        <is>
          <t>&lt;95%</t>
        </is>
      </c>
      <c r="Q94" s="6" t="inlineStr">
        <is>
          <t>减组</t>
        </is>
      </c>
      <c r="R94" s="6" t="inlineStr">
        <is>
          <t>组数</t>
        </is>
      </c>
      <c r="S94" s="6" t="inlineStr">
        <is>
          <t>a(V0)</t>
        </is>
      </c>
      <c r="T94" s="6" t="inlineStr">
        <is>
          <t>b</t>
        </is>
      </c>
      <c r="U94" s="6" t="inlineStr">
        <is>
          <t>等级</t>
        </is>
      </c>
      <c r="V94" s="6" t="inlineStr">
        <is>
          <t>预测起始</t>
        </is>
      </c>
    </row>
    <row r="95">
      <c r="A95" s="7" t="inlineStr">
        <is>
          <t>P006</t>
        </is>
      </c>
      <c r="B95" s="7" t="inlineStr">
        <is>
          <t>陈镕垚</t>
        </is>
      </c>
      <c r="C95" s="7" t="n">
        <v>181</v>
      </c>
      <c r="D95" s="8" t="n">
        <v>145</v>
      </c>
      <c r="E95" s="9" t="n"/>
      <c r="F95" s="9" t="n"/>
      <c r="G95" s="9" t="n"/>
      <c r="H95" s="9" t="n"/>
      <c r="I95" s="7">
        <f>IFERROR(SUM(E95:H95),"")</f>
        <v/>
      </c>
      <c r="J95" s="9" t="n"/>
      <c r="K95" s="9" t="n"/>
      <c r="L95" s="9" t="n"/>
      <c r="M95" s="9" t="n"/>
      <c r="N95" s="9" t="n"/>
      <c r="O95" s="7">
        <f>IFERROR(AVERAGE(L95:N95),"")</f>
        <v/>
      </c>
      <c r="P95" s="7">
        <f>IF(O95="","",IF(O95&lt;59.06,"是⚠","否"))</f>
        <v/>
      </c>
      <c r="Q95" s="7">
        <f>IF(O95="","",IF(O95&lt;59.06,5-1,5))</f>
        <v/>
      </c>
      <c r="R95" s="7" t="n"/>
      <c r="S95" s="8" t="n">
        <v>1.694</v>
      </c>
      <c r="T95" s="8" t="n">
        <v>-0.01015</v>
      </c>
      <c r="U95" s="7" t="inlineStr">
        <is>
          <t>A</t>
        </is>
      </c>
      <c r="V95" s="8" t="n">
        <v>112.5</v>
      </c>
    </row>
    <row r="96">
      <c r="A96" s="10" t="inlineStr">
        <is>
          <t>热身校准</t>
        </is>
      </c>
      <c r="B96" s="10" t="inlineStr">
        <is>
          <t>a</t>
        </is>
      </c>
      <c r="C96" s="10" t="inlineStr">
        <is>
          <t>b</t>
        </is>
      </c>
      <c r="D96" s="10" t="inlineStr">
        <is>
          <t>50%热身</t>
        </is>
      </c>
      <c r="E96" s="10" t="inlineStr">
        <is>
          <t>70%热身</t>
        </is>
      </c>
      <c r="F96" s="10" t="inlineStr">
        <is>
          <t>热身负荷</t>
        </is>
      </c>
      <c r="G96" s="10" t="inlineStr">
        <is>
          <t>实测MCV</t>
        </is>
      </c>
      <c r="H96" s="10" t="inlineStr">
        <is>
          <t>预测MCV</t>
        </is>
      </c>
      <c r="I96" s="10" t="inlineStr">
        <is>
          <t>Δv</t>
        </is>
      </c>
      <c r="J96" s="10" t="inlineStr">
        <is>
          <t>调整量</t>
        </is>
      </c>
      <c r="K96" s="10" t="inlineStr">
        <is>
          <t>校准第1组</t>
        </is>
      </c>
    </row>
    <row r="97">
      <c r="A97" s="7" t="n"/>
      <c r="B97" s="11" t="n">
        <v>1.694</v>
      </c>
      <c r="C97" s="11" t="n">
        <v>-0.01015</v>
      </c>
      <c r="D97" s="11">
        <f>IFERROR(ROUND(V95*0.5/2.5,0)*2.5,"")</f>
        <v/>
      </c>
      <c r="E97" s="11">
        <f>IFERROR(ROUND(V95*0.7/2.5,0)*2.5,"")</f>
        <v/>
      </c>
      <c r="F97" s="11">
        <f>IFERROR(ROUND(V95*0.6/2.5,0)*2.5,"")</f>
        <v/>
      </c>
      <c r="G97" s="9" t="n"/>
      <c r="H97" s="11">
        <f>IFERROR(B97+C97*F97,"")</f>
        <v/>
      </c>
      <c r="I97" s="11">
        <f>IFERROR(G97-H97,"")</f>
        <v/>
      </c>
      <c r="J97" s="11">
        <f>IFERROR(IF(I97&gt;0.08,5,IF(I97&gt;0.04,2.5,IF(I97&gt;=-0.04,0,IF(I97&gt;=-0.08,-2.5,-5)))),"")</f>
        <v/>
      </c>
      <c r="K97" s="11">
        <f>IFERROR(ROUND(V95+J97,0),"")</f>
        <v/>
      </c>
    </row>
    <row r="98">
      <c r="A98" s="12" t="inlineStr">
        <is>
          <t>组</t>
        </is>
      </c>
      <c r="B98" s="12" t="inlineStr">
        <is>
          <t>负荷</t>
        </is>
      </c>
      <c r="C98" s="12" t="inlineStr">
        <is>
          <t>rep1</t>
        </is>
      </c>
      <c r="D98" s="12" t="inlineStr">
        <is>
          <t>rep2</t>
        </is>
      </c>
      <c r="E98" s="12" t="inlineStr">
        <is>
          <t>rep3</t>
        </is>
      </c>
      <c r="F98" s="12" t="inlineStr">
        <is>
          <t>rep4</t>
        </is>
      </c>
      <c r="G98" s="12" t="inlineStr">
        <is>
          <t>rep5</t>
        </is>
      </c>
      <c r="H98" s="12" t="inlineStr">
        <is>
          <t>rep6</t>
        </is>
      </c>
      <c r="I98" s="12" t="inlineStr">
        <is>
          <t>best</t>
        </is>
      </c>
      <c r="J98" s="12" t="inlineStr">
        <is>
          <t>best#</t>
        </is>
      </c>
      <c r="K98" s="12" t="inlineStr">
        <is>
          <t>VL%</t>
        </is>
      </c>
      <c r="L98" s="12" t="inlineStr">
        <is>
          <t>stop_th</t>
        </is>
      </c>
      <c r="M98" s="12" t="inlineStr">
        <is>
          <t>latest</t>
        </is>
      </c>
      <c r="N98" s="12" t="inlineStr">
        <is>
          <t>VL_flag</t>
        </is>
      </c>
      <c r="O98" s="12" t="inlineStr">
        <is>
          <t>safety</t>
        </is>
      </c>
      <c r="P98" s="12" t="inlineStr">
        <is>
          <t>原因</t>
        </is>
      </c>
      <c r="Q98" s="12" t="inlineStr">
        <is>
          <t>建议</t>
        </is>
      </c>
      <c r="R98" s="12" t="inlineStr">
        <is>
          <t>次数</t>
        </is>
      </c>
    </row>
    <row r="99">
      <c r="A99" s="7" t="n">
        <v>1</v>
      </c>
      <c r="B99" s="9">
        <f>IFERROR(K97,"")</f>
        <v/>
      </c>
      <c r="C99" s="9" t="n"/>
      <c r="D99" s="9" t="n"/>
      <c r="E99" s="9" t="n"/>
      <c r="F99" s="9" t="n"/>
      <c r="G99" s="9" t="n"/>
      <c r="H99" s="9" t="n"/>
      <c r="I99" s="7">
        <f>IFERROR(MAX(C99:H99),"")</f>
        <v/>
      </c>
      <c r="J99" s="7">
        <f>IFERROR(MATCH(I99,C99:H99,0),"")</f>
        <v/>
      </c>
      <c r="K99" s="7" t="n">
        <v>22</v>
      </c>
      <c r="L99" s="7">
        <f>IFERROR(I99*(1-(K99/100)),"")</f>
        <v/>
      </c>
      <c r="M99" s="7">
        <f>IFERROR(LOOKUP(9.99E+307,C99:H99),"")</f>
        <v/>
      </c>
      <c r="N99" s="7">
        <f>IFERROR(IF(M99="","",IF(M99&lt;=N99,"停组🛑","继续✓")),"")</f>
        <v/>
      </c>
      <c r="O99" s="7">
        <f>IFERROR(IF(M99="","",IF(M99&lt;0.15,"SAFETY_STOP","")),"")</f>
        <v/>
      </c>
      <c r="P99" s="7">
        <f>IFERROR(IF(M99="","",IF(M99&lt;0.15,"SAFETY_STOP",IF(M99&lt;=N99,"VL_THRESHOLD",""))),"")</f>
        <v/>
      </c>
      <c r="Q99" s="7">
        <f>IFERROR(IF(I99="","",IF(I99&gt;(0.55+0.05),"+5kg",IF(I99&gt;(0.55+0.02),"+2.5kg",IF(I99&gt;=(0.55-0.05),"保持",IF(I99&gt;=(0.55-0.08),"-2.5kg","-5kg"))))),"")</f>
        <v/>
      </c>
      <c r="R99" s="9" t="n"/>
    </row>
    <row r="100">
      <c r="A100" s="7" t="n">
        <v>2</v>
      </c>
      <c r="B100" s="9" t="n"/>
      <c r="C100" s="9" t="n"/>
      <c r="D100" s="9" t="n"/>
      <c r="E100" s="9" t="n"/>
      <c r="F100" s="9" t="n"/>
      <c r="G100" s="9" t="n"/>
      <c r="H100" s="9" t="n"/>
      <c r="I100" s="7">
        <f>IFERROR(MAX(C100:H100),"")</f>
        <v/>
      </c>
      <c r="J100" s="7">
        <f>IFERROR(MATCH(I100,C100:H100,0),"")</f>
        <v/>
      </c>
      <c r="K100" s="7" t="n">
        <v>22</v>
      </c>
      <c r="L100" s="7">
        <f>IFERROR(I100*(1-(K100/100)),"")</f>
        <v/>
      </c>
      <c r="M100" s="7">
        <f>IFERROR(LOOKUP(9.99E+307,C100:H100),"")</f>
        <v/>
      </c>
      <c r="N100" s="7">
        <f>IFERROR(IF(M100="","",IF(M100&lt;=N100,"停组🛑","继续✓")),"")</f>
        <v/>
      </c>
      <c r="O100" s="7">
        <f>IFERROR(IF(M100="","",IF(M100&lt;0.15,"SAFETY_STOP","")),"")</f>
        <v/>
      </c>
      <c r="P100" s="7">
        <f>IFERROR(IF(M100="","",IF(M100&lt;0.15,"SAFETY_STOP",IF(M100&lt;=N100,"VL_THRESHOLD",""))),"")</f>
        <v/>
      </c>
      <c r="Q100" s="7">
        <f>IFERROR(IF(I100="","",IF(I100&gt;(0.55+0.05),"+5kg",IF(I100&gt;(0.55+0.02),"+2.5kg",IF(I100&gt;=(0.55-0.05),"保持",IF(I100&gt;=(0.55-0.08),"-2.5kg","-5kg"))))),"")</f>
        <v/>
      </c>
      <c r="R100" s="9" t="n"/>
    </row>
    <row r="101">
      <c r="A101" s="7" t="n">
        <v>3</v>
      </c>
      <c r="B101" s="9" t="n"/>
      <c r="C101" s="9" t="n"/>
      <c r="D101" s="9" t="n"/>
      <c r="E101" s="9" t="n"/>
      <c r="F101" s="9" t="n"/>
      <c r="G101" s="9" t="n"/>
      <c r="H101" s="9" t="n"/>
      <c r="I101" s="7">
        <f>IFERROR(MAX(C101:H101),"")</f>
        <v/>
      </c>
      <c r="J101" s="7">
        <f>IFERROR(MATCH(I101,C101:H101,0),"")</f>
        <v/>
      </c>
      <c r="K101" s="7" t="n">
        <v>22</v>
      </c>
      <c r="L101" s="7">
        <f>IFERROR(I101*(1-(K101/100)),"")</f>
        <v/>
      </c>
      <c r="M101" s="7">
        <f>IFERROR(LOOKUP(9.99E+307,C101:H101),"")</f>
        <v/>
      </c>
      <c r="N101" s="7">
        <f>IFERROR(IF(M101="","",IF(M101&lt;=N101,"停组🛑","继续✓")),"")</f>
        <v/>
      </c>
      <c r="O101" s="7">
        <f>IFERROR(IF(M101="","",IF(M101&lt;0.15,"SAFETY_STOP","")),"")</f>
        <v/>
      </c>
      <c r="P101" s="7">
        <f>IFERROR(IF(M101="","",IF(M101&lt;0.15,"SAFETY_STOP",IF(M101&lt;=N101,"VL_THRESHOLD",""))),"")</f>
        <v/>
      </c>
      <c r="Q101" s="7">
        <f>IFERROR(IF(I101="","",IF(I101&gt;(0.55+0.05),"+5kg",IF(I101&gt;(0.55+0.02),"+2.5kg",IF(I101&gt;=(0.55-0.05),"保持",IF(I101&gt;=(0.55-0.08),"-2.5kg","-5kg"))))),"")</f>
        <v/>
      </c>
      <c r="R101" s="9" t="n"/>
    </row>
    <row r="102">
      <c r="A102" s="7" t="n">
        <v>4</v>
      </c>
      <c r="B102" s="9" t="n"/>
      <c r="C102" s="9" t="n"/>
      <c r="D102" s="9" t="n"/>
      <c r="E102" s="9" t="n"/>
      <c r="F102" s="9" t="n"/>
      <c r="G102" s="9" t="n"/>
      <c r="H102" s="9" t="n"/>
      <c r="I102" s="7">
        <f>IFERROR(MAX(C102:H102),"")</f>
        <v/>
      </c>
      <c r="J102" s="7">
        <f>IFERROR(MATCH(I102,C102:H102,0),"")</f>
        <v/>
      </c>
      <c r="K102" s="7" t="n">
        <v>22</v>
      </c>
      <c r="L102" s="7">
        <f>IFERROR(I102*(1-(K102/100)),"")</f>
        <v/>
      </c>
      <c r="M102" s="7">
        <f>IFERROR(LOOKUP(9.99E+307,C102:H102),"")</f>
        <v/>
      </c>
      <c r="N102" s="7">
        <f>IFERROR(IF(M102="","",IF(M102&lt;=N102,"停组🛑","继续✓")),"")</f>
        <v/>
      </c>
      <c r="O102" s="7">
        <f>IFERROR(IF(M102="","",IF(M102&lt;0.15,"SAFETY_STOP","")),"")</f>
        <v/>
      </c>
      <c r="P102" s="7">
        <f>IFERROR(IF(M102="","",IF(M102&lt;0.15,"SAFETY_STOP",IF(M102&lt;=N102,"VL_THRESHOLD",""))),"")</f>
        <v/>
      </c>
      <c r="Q102" s="7">
        <f>IFERROR(IF(I102="","",IF(I102&gt;(0.55+0.05),"+5kg",IF(I102&gt;(0.55+0.02),"+2.5kg",IF(I102&gt;=(0.55-0.05),"保持",IF(I102&gt;=(0.55-0.08),"-2.5kg","-5kg"))))),"")</f>
        <v/>
      </c>
      <c r="R102" s="9" t="n"/>
    </row>
    <row r="103">
      <c r="A103" s="7" t="n">
        <v>5</v>
      </c>
      <c r="B103" s="9" t="n"/>
      <c r="C103" s="9" t="n"/>
      <c r="D103" s="9" t="n"/>
      <c r="E103" s="9" t="n"/>
      <c r="F103" s="9" t="n"/>
      <c r="G103" s="9" t="n"/>
      <c r="H103" s="9" t="n"/>
      <c r="I103" s="7">
        <f>IFERROR(MAX(C103:H103),"")</f>
        <v/>
      </c>
      <c r="J103" s="7">
        <f>IFERROR(MATCH(I103,C103:H103,0),"")</f>
        <v/>
      </c>
      <c r="K103" s="7" t="n">
        <v>22</v>
      </c>
      <c r="L103" s="7">
        <f>IFERROR(I103*(1-(K103/100)),"")</f>
        <v/>
      </c>
      <c r="M103" s="7">
        <f>IFERROR(LOOKUP(9.99E+307,C103:H103),"")</f>
        <v/>
      </c>
      <c r="N103" s="7">
        <f>IFERROR(IF(M103="","",IF(M103&lt;=N103,"停组🛑","继续✓")),"")</f>
        <v/>
      </c>
      <c r="O103" s="7">
        <f>IFERROR(IF(M103="","",IF(M103&lt;0.15,"SAFETY_STOP","")),"")</f>
        <v/>
      </c>
      <c r="P103" s="7">
        <f>IFERROR(IF(M103="","",IF(M103&lt;0.15,"SAFETY_STOP",IF(M103&lt;=N103,"VL_THRESHOLD",""))),"")</f>
        <v/>
      </c>
      <c r="Q103" s="7">
        <f>IFERROR(IF(I103="","",IF(I103&gt;(0.55+0.05),"+5kg",IF(I103&gt;(0.55+0.02),"+2.5kg",IF(I103&gt;=(0.55-0.05),"保持",IF(I103&gt;=(0.55-0.08),"-2.5kg","-5kg"))))),"")</f>
        <v/>
      </c>
      <c r="R103" s="9" t="n"/>
    </row>
    <row r="104">
      <c r="A104" s="7" t="n">
        <v>6</v>
      </c>
      <c r="B104" s="9" t="n"/>
      <c r="C104" s="9" t="n"/>
      <c r="D104" s="9" t="n"/>
      <c r="E104" s="9" t="n"/>
      <c r="F104" s="9" t="n"/>
      <c r="G104" s="9" t="n"/>
      <c r="H104" s="9" t="n"/>
      <c r="I104" s="7">
        <f>IFERROR(MAX(C104:H104),"")</f>
        <v/>
      </c>
      <c r="J104" s="7">
        <f>IFERROR(MATCH(I104,C104:H104,0),"")</f>
        <v/>
      </c>
      <c r="K104" s="7" t="n">
        <v>22</v>
      </c>
      <c r="L104" s="7">
        <f>IFERROR(I104*(1-(K104/100)),"")</f>
        <v/>
      </c>
      <c r="M104" s="7">
        <f>IFERROR(LOOKUP(9.99E+307,C104:H104),"")</f>
        <v/>
      </c>
      <c r="N104" s="7">
        <f>IFERROR(IF(M104="","",IF(M104&lt;=N104,"停组🛑","继续✓")),"")</f>
        <v/>
      </c>
      <c r="O104" s="7">
        <f>IFERROR(IF(M104="","",IF(M104&lt;0.15,"SAFETY_STOP","")),"")</f>
        <v/>
      </c>
      <c r="P104" s="7">
        <f>IFERROR(IF(M104="","",IF(M104&lt;0.15,"SAFETY_STOP",IF(M104&lt;=N104,"VL_THRESHOLD",""))),"")</f>
        <v/>
      </c>
      <c r="Q104" s="7">
        <f>IFERROR(IF(I104="","",IF(I104&gt;(0.55+0.05),"+5kg",IF(I104&gt;(0.55+0.02),"+2.5kg",IF(I104&gt;=(0.55-0.05),"保持",IF(I104&gt;=(0.55-0.08),"-2.5kg","-5kg"))))),"")</f>
        <v/>
      </c>
      <c r="R104" s="9" t="n"/>
    </row>
    <row r="105">
      <c r="A105" s="13" t="inlineStr">
        <is>
          <t>辅助</t>
        </is>
      </c>
      <c r="D105" s="14" t="inlineStr">
        <is>
          <t>RDL</t>
        </is>
      </c>
      <c r="E105" s="14" t="inlineStr">
        <is>
          <t>负荷</t>
        </is>
      </c>
      <c r="F105" s="14" t="inlineStr">
        <is>
          <t>完成</t>
        </is>
      </c>
      <c r="I105" t="inlineStr">
        <is>
          <t>VL</t>
        </is>
      </c>
    </row>
    <row r="106">
      <c r="A106" s="15" t="inlineStr">
        <is>
          <t>训练后</t>
        </is>
      </c>
      <c r="B106" s="15" t="inlineStr">
        <is>
          <t>开始</t>
        </is>
      </c>
      <c r="C106" s="15" t="inlineStr">
        <is>
          <t>结束</t>
        </is>
      </c>
      <c r="D106" s="15" t="inlineStr">
        <is>
          <t>时长min</t>
        </is>
      </c>
      <c r="E106" s="15" t="inlineStr">
        <is>
          <t>sRPE</t>
        </is>
      </c>
      <c r="F106" s="15" t="inlineStr">
        <is>
          <t>load</t>
        </is>
      </c>
      <c r="G106" s="15" t="inlineStr">
        <is>
          <t>不适?</t>
        </is>
      </c>
      <c r="H106" s="15" t="inlineStr">
        <is>
          <t>备注</t>
        </is>
      </c>
      <c r="I106" s="15" t="inlineStr">
        <is>
          <t>签名</t>
        </is>
      </c>
    </row>
    <row r="107">
      <c r="A107" s="7" t="n"/>
      <c r="B107" s="9" t="n"/>
      <c r="C107" s="9" t="n"/>
      <c r="D107" s="11">
        <f>IFERROR((C107-B107)*1440,"")</f>
        <v/>
      </c>
      <c r="E107" s="9" t="n"/>
      <c r="F107" s="11">
        <f>IFERROR(E107*D107,"")</f>
        <v/>
      </c>
      <c r="G107" s="9" t="n"/>
      <c r="H107" s="9" t="n"/>
      <c r="I107" s="9" t="n"/>
    </row>
    <row r="108">
      <c r="A108" s="16" t="inlineStr">
        <is>
          <t>跳跃</t>
        </is>
      </c>
      <c r="B108" s="16" t="inlineStr">
        <is>
          <t>类型</t>
        </is>
      </c>
      <c r="C108" s="16" t="inlineStr">
        <is>
          <t>组×次</t>
        </is>
      </c>
      <c r="D108" s="16" t="inlineStr">
        <is>
          <t>负荷kg</t>
        </is>
      </c>
      <c r="E108" s="16" t="inlineStr">
        <is>
          <t>接触</t>
        </is>
      </c>
    </row>
    <row r="109">
      <c r="B109" t="inlineStr">
        <is>
          <t>CMJ</t>
        </is>
      </c>
      <c r="C109" t="inlineStr">
        <is>
          <t>3×3</t>
        </is>
      </c>
      <c r="D109" t="n">
        <v>0</v>
      </c>
      <c r="E109" t="n">
        <v>9</v>
      </c>
    </row>
    <row r="110">
      <c r="B110" t="inlineStr">
        <is>
          <t>箱跳</t>
        </is>
      </c>
      <c r="C110" t="inlineStr">
        <is>
          <t>2×3</t>
        </is>
      </c>
      <c r="D110" t="n">
        <v>0</v>
      </c>
      <c r="E110" t="n">
        <v>6</v>
      </c>
    </row>
    <row r="111">
      <c r="A111" s="17" t="inlineStr">
        <is>
          <t>▶ 暴露量汇总</t>
        </is>
      </c>
      <c r="B111" s="17" t="inlineStr">
        <is>
          <t>说明</t>
        </is>
      </c>
      <c r="C111" s="17" t="inlineStr">
        <is>
          <t>公式/来源</t>
        </is>
      </c>
      <c r="D111" s="17" t="inlineStr">
        <is>
          <t>数值</t>
        </is>
      </c>
    </row>
    <row r="112">
      <c r="A112" s="18" t="inlineStr">
        <is>
          <t>① 无负荷跳跃接触</t>
        </is>
      </c>
      <c r="B112" s="18" t="inlineStr">
        <is>
          <t>CMJ+SJ+箱跳</t>
        </is>
      </c>
      <c r="C112" s="19">
        <f>IFERROR(E109+E110,2)</f>
        <v/>
      </c>
    </row>
    <row r="113">
      <c r="A113" s="18" t="inlineStr">
        <is>
          <t>② 负重跳跃接触</t>
        </is>
      </c>
      <c r="B113" s="18" t="inlineStr">
        <is>
          <t>负重深蹲跳</t>
        </is>
      </c>
      <c r="C113" s="19">
        <f>IFERROR(E109,"")</f>
        <v/>
      </c>
    </row>
    <row r="114">
      <c r="A114" s="18" t="inlineStr">
        <is>
          <t>③ 跳跃总计</t>
        </is>
      </c>
      <c r="B114" s="18" t="inlineStr">
        <is>
          <t>①+②</t>
        </is>
      </c>
      <c r="C114" s="19">
        <f>IFERROR(B112+B113,"")</f>
        <v/>
      </c>
    </row>
    <row r="115">
      <c r="A115" s="18" t="inlineStr">
        <is>
          <t>④ 热身VL</t>
        </is>
      </c>
      <c r="B115" s="18" t="inlineStr">
        <is>
          <t>20×5+50%×3(+70%×2)</t>
        </is>
      </c>
      <c r="C115" s="19">
        <f>IFERROR(20*5+ROUND(V95*0.5,0)*3+ROUND(V{dr}*0.7,0)*2,"-")</f>
        <v/>
      </c>
    </row>
    <row r="116">
      <c r="A116" s="20" t="inlineStr">
        <is>
          <t>⑤ 主项工作组VL ★</t>
        </is>
      </c>
      <c r="B116" s="20" t="inlineStr">
        <is>
          <t>Σ(负荷×次数)</t>
        </is>
      </c>
      <c r="C116" s="21">
        <f>SUMPRODUCT($B$99:$B$104,$R$99:$R$104)</f>
        <v/>
      </c>
    </row>
    <row r="117">
      <c r="A117" s="18" t="inlineStr">
        <is>
          <t>⑥ 主项总VL</t>
        </is>
      </c>
      <c r="B117" s="18" t="inlineStr">
        <is>
          <t>④+⑤</t>
        </is>
      </c>
      <c r="C117" s="19">
        <f>IFERROR(D112+D113,"")</f>
        <v/>
      </c>
    </row>
    <row r="118">
      <c r="A118" s="18" t="inlineStr">
        <is>
          <t>⑦ 辅助VL</t>
        </is>
      </c>
      <c r="B118" s="18" t="inlineStr">
        <is>
          <t>RDL/保加利亚</t>
        </is>
      </c>
      <c r="C118" s="19">
        <f>IFERROR(I105,"")</f>
        <v/>
      </c>
    </row>
    <row r="119">
      <c r="A119" s="18" t="inlineStr">
        <is>
          <t>⑧ 总外部负荷</t>
        </is>
      </c>
      <c r="B119" s="18" t="inlineStr">
        <is>
          <t>⑥+⑦(+负重跳)</t>
        </is>
      </c>
      <c r="C119" s="19">
        <f>IFERROR(F112+G112,"")</f>
        <v/>
      </c>
    </row>
    <row r="120">
      <c r="A120" s="18" t="inlineStr">
        <is>
          <t>⑨ sRPE load</t>
        </is>
      </c>
      <c r="B120" s="18" t="inlineStr">
        <is>
          <t>sRPE×时长</t>
        </is>
      </c>
      <c r="C120" s="19">
        <f>IFERROR(F107,"")</f>
        <v/>
      </c>
    </row>
    <row r="123">
      <c r="A123" s="5" t="inlineStr">
        <is>
          <t>P015 陈先栋  a=1.77 b=-0.01025 1RM=135</t>
        </is>
      </c>
    </row>
    <row r="124">
      <c r="A124" s="6" t="inlineStr">
        <is>
          <t>编号</t>
        </is>
      </c>
      <c r="B124" s="6" t="inlineStr">
        <is>
          <t>姓名</t>
        </is>
      </c>
      <c r="C124" s="6" t="inlineStr">
        <is>
          <t>身高</t>
        </is>
      </c>
      <c r="D124" s="6" t="inlineStr">
        <is>
          <t>1RM</t>
        </is>
      </c>
      <c r="E124" s="6" t="inlineStr">
        <is>
          <t>Hooper睡</t>
        </is>
      </c>
      <c r="F124" s="6" t="inlineStr">
        <is>
          <t>Hooper压</t>
        </is>
      </c>
      <c r="G124" s="6" t="inlineStr">
        <is>
          <t>Hooper疲</t>
        </is>
      </c>
      <c r="H124" s="6" t="inlineStr">
        <is>
          <t>Hooper酸</t>
        </is>
      </c>
      <c r="I124" s="6" t="inlineStr">
        <is>
          <t>H总</t>
        </is>
      </c>
      <c r="J124" s="6" t="inlineStr">
        <is>
          <t>不适?</t>
        </is>
      </c>
      <c r="K124" s="6" t="inlineStr">
        <is>
          <t>说明</t>
        </is>
      </c>
      <c r="L124" s="6" t="inlineStr">
        <is>
          <t>CMJ1</t>
        </is>
      </c>
      <c r="M124" s="6" t="inlineStr">
        <is>
          <t>CMJ2</t>
        </is>
      </c>
      <c r="N124" s="6" t="inlineStr">
        <is>
          <t>CMJ3</t>
        </is>
      </c>
      <c r="O124" s="6" t="inlineStr">
        <is>
          <t>CMJμ</t>
        </is>
      </c>
      <c r="P124" s="6" t="inlineStr">
        <is>
          <t>&lt;95%</t>
        </is>
      </c>
      <c r="Q124" s="6" t="inlineStr">
        <is>
          <t>减组</t>
        </is>
      </c>
      <c r="R124" s="6" t="inlineStr">
        <is>
          <t>组数</t>
        </is>
      </c>
      <c r="S124" s="6" t="inlineStr">
        <is>
          <t>a(V0)</t>
        </is>
      </c>
      <c r="T124" s="6" t="inlineStr">
        <is>
          <t>b</t>
        </is>
      </c>
      <c r="U124" s="6" t="inlineStr">
        <is>
          <t>等级</t>
        </is>
      </c>
      <c r="V124" s="6" t="inlineStr">
        <is>
          <t>预测起始</t>
        </is>
      </c>
    </row>
    <row r="125">
      <c r="A125" s="7" t="inlineStr">
        <is>
          <t>P015</t>
        </is>
      </c>
      <c r="B125" s="7" t="inlineStr">
        <is>
          <t>陈先栋</t>
        </is>
      </c>
      <c r="C125" s="7" t="n">
        <v>175</v>
      </c>
      <c r="D125" s="8" t="n">
        <v>135</v>
      </c>
      <c r="E125" s="9" t="n"/>
      <c r="F125" s="9" t="n"/>
      <c r="G125" s="9" t="n"/>
      <c r="H125" s="9" t="n"/>
      <c r="I125" s="7">
        <f>IFERROR(SUM(E125:H125),"")</f>
        <v/>
      </c>
      <c r="J125" s="9" t="n"/>
      <c r="K125" s="9" t="n"/>
      <c r="L125" s="9" t="n"/>
      <c r="M125" s="9" t="n"/>
      <c r="N125" s="9" t="n"/>
      <c r="O125" s="7">
        <f>IFERROR(AVERAGE(L125:N125),"")</f>
        <v/>
      </c>
      <c r="P125" s="7">
        <f>IF(O125="","",IF(O125&lt;54.25,"是⚠","否"))</f>
        <v/>
      </c>
      <c r="Q125" s="7">
        <f>IF(O125="","",IF(O125&lt;54.25,5-1,5))</f>
        <v/>
      </c>
      <c r="R125" s="7" t="n"/>
      <c r="S125" s="8" t="n">
        <v>1.77</v>
      </c>
      <c r="T125" s="8" t="n">
        <v>-0.01025</v>
      </c>
      <c r="U125" s="7" t="inlineStr">
        <is>
          <t>C</t>
        </is>
      </c>
      <c r="V125" s="8" t="n">
        <v>120</v>
      </c>
    </row>
    <row r="126">
      <c r="A126" s="10" t="inlineStr">
        <is>
          <t>热身校准</t>
        </is>
      </c>
      <c r="B126" s="10" t="inlineStr">
        <is>
          <t>a</t>
        </is>
      </c>
      <c r="C126" s="10" t="inlineStr">
        <is>
          <t>b</t>
        </is>
      </c>
      <c r="D126" s="10" t="inlineStr">
        <is>
          <t>50%热身</t>
        </is>
      </c>
      <c r="E126" s="10" t="inlineStr">
        <is>
          <t>70%热身</t>
        </is>
      </c>
      <c r="F126" s="10" t="inlineStr">
        <is>
          <t>热身负荷</t>
        </is>
      </c>
      <c r="G126" s="10" t="inlineStr">
        <is>
          <t>实测MCV</t>
        </is>
      </c>
      <c r="H126" s="10" t="inlineStr">
        <is>
          <t>预测MCV</t>
        </is>
      </c>
      <c r="I126" s="10" t="inlineStr">
        <is>
          <t>Δv</t>
        </is>
      </c>
      <c r="J126" s="10" t="inlineStr">
        <is>
          <t>调整量</t>
        </is>
      </c>
      <c r="K126" s="10" t="inlineStr">
        <is>
          <t>校准第1组</t>
        </is>
      </c>
    </row>
    <row r="127">
      <c r="A127" s="7" t="n"/>
      <c r="B127" s="11" t="n">
        <v>1.77</v>
      </c>
      <c r="C127" s="11" t="n">
        <v>-0.01025</v>
      </c>
      <c r="D127" s="11">
        <f>IFERROR(ROUND(V125*0.5/2.5,0)*2.5,"")</f>
        <v/>
      </c>
      <c r="E127" s="11">
        <f>IFERROR(ROUND(V125*0.7/2.5,0)*2.5,"")</f>
        <v/>
      </c>
      <c r="F127" s="11">
        <f>IFERROR(ROUND(V125*0.6/2.5,0)*2.5,"")</f>
        <v/>
      </c>
      <c r="G127" s="9" t="n"/>
      <c r="H127" s="11">
        <f>IFERROR(B127+C127*F127,"")</f>
        <v/>
      </c>
      <c r="I127" s="11">
        <f>IFERROR(G127-H127,"")</f>
        <v/>
      </c>
      <c r="J127" s="11">
        <f>IFERROR(IF(I127&gt;0.08,5,IF(I127&gt;0.04,2.5,IF(I127&gt;=-0.04,0,IF(I127&gt;=-0.08,-2.5,-5)))),"")</f>
        <v/>
      </c>
      <c r="K127" s="11">
        <f>IFERROR(ROUND(V125+J127,0),"")</f>
        <v/>
      </c>
    </row>
    <row r="128">
      <c r="A128" s="12" t="inlineStr">
        <is>
          <t>组</t>
        </is>
      </c>
      <c r="B128" s="12" t="inlineStr">
        <is>
          <t>负荷</t>
        </is>
      </c>
      <c r="C128" s="12" t="inlineStr">
        <is>
          <t>rep1</t>
        </is>
      </c>
      <c r="D128" s="12" t="inlineStr">
        <is>
          <t>rep2</t>
        </is>
      </c>
      <c r="E128" s="12" t="inlineStr">
        <is>
          <t>rep3</t>
        </is>
      </c>
      <c r="F128" s="12" t="inlineStr">
        <is>
          <t>rep4</t>
        </is>
      </c>
      <c r="G128" s="12" t="inlineStr">
        <is>
          <t>rep5</t>
        </is>
      </c>
      <c r="H128" s="12" t="inlineStr">
        <is>
          <t>rep6</t>
        </is>
      </c>
      <c r="I128" s="12" t="inlineStr">
        <is>
          <t>best</t>
        </is>
      </c>
      <c r="J128" s="12" t="inlineStr">
        <is>
          <t>best#</t>
        </is>
      </c>
      <c r="K128" s="12" t="inlineStr">
        <is>
          <t>VL%</t>
        </is>
      </c>
      <c r="L128" s="12" t="inlineStr">
        <is>
          <t>stop_th</t>
        </is>
      </c>
      <c r="M128" s="12" t="inlineStr">
        <is>
          <t>latest</t>
        </is>
      </c>
      <c r="N128" s="12" t="inlineStr">
        <is>
          <t>VL_flag</t>
        </is>
      </c>
      <c r="O128" s="12" t="inlineStr">
        <is>
          <t>safety</t>
        </is>
      </c>
      <c r="P128" s="12" t="inlineStr">
        <is>
          <t>原因</t>
        </is>
      </c>
      <c r="Q128" s="12" t="inlineStr">
        <is>
          <t>建议</t>
        </is>
      </c>
      <c r="R128" s="12" t="inlineStr">
        <is>
          <t>次数</t>
        </is>
      </c>
    </row>
    <row r="129">
      <c r="A129" s="7" t="n">
        <v>1</v>
      </c>
      <c r="B129" s="9">
        <f>IFERROR(K127,"")</f>
        <v/>
      </c>
      <c r="C129" s="9" t="n"/>
      <c r="D129" s="9" t="n"/>
      <c r="E129" s="9" t="n"/>
      <c r="F129" s="9" t="n"/>
      <c r="G129" s="9" t="n"/>
      <c r="H129" s="9" t="n"/>
      <c r="I129" s="7">
        <f>IFERROR(MAX(C129:H129),"")</f>
        <v/>
      </c>
      <c r="J129" s="7">
        <f>IFERROR(MATCH(I129,C129:H129,0),"")</f>
        <v/>
      </c>
      <c r="K129" s="7" t="n">
        <v>22</v>
      </c>
      <c r="L129" s="7">
        <f>IFERROR(I129*(1-(K129/100)),"")</f>
        <v/>
      </c>
      <c r="M129" s="7">
        <f>IFERROR(LOOKUP(9.99E+307,C129:H129),"")</f>
        <v/>
      </c>
      <c r="N129" s="7">
        <f>IFERROR(IF(M129="","",IF(M129&lt;=N129,"停组🛑","继续✓")),"")</f>
        <v/>
      </c>
      <c r="O129" s="7">
        <f>IFERROR(IF(M129="","",IF(M129&lt;0.15,"SAFETY_STOP","")),"")</f>
        <v/>
      </c>
      <c r="P129" s="7">
        <f>IFERROR(IF(M129="","",IF(M129&lt;0.15,"SAFETY_STOP",IF(M129&lt;=N129,"VL_THRESHOLD",""))),"")</f>
        <v/>
      </c>
      <c r="Q129" s="7">
        <f>IFERROR(IF(I129="","",IF(I129&gt;(0.55+0.05),"+5kg",IF(I129&gt;(0.55+0.02),"+2.5kg",IF(I129&gt;=(0.55-0.05),"保持",IF(I129&gt;=(0.55-0.08),"-2.5kg","-5kg"))))),"")</f>
        <v/>
      </c>
      <c r="R129" s="9" t="n"/>
    </row>
    <row r="130">
      <c r="A130" s="7" t="n">
        <v>2</v>
      </c>
      <c r="B130" s="9" t="n"/>
      <c r="C130" s="9" t="n"/>
      <c r="D130" s="9" t="n"/>
      <c r="E130" s="9" t="n"/>
      <c r="F130" s="9" t="n"/>
      <c r="G130" s="9" t="n"/>
      <c r="H130" s="9" t="n"/>
      <c r="I130" s="7">
        <f>IFERROR(MAX(C130:H130),"")</f>
        <v/>
      </c>
      <c r="J130" s="7">
        <f>IFERROR(MATCH(I130,C130:H130,0),"")</f>
        <v/>
      </c>
      <c r="K130" s="7" t="n">
        <v>22</v>
      </c>
      <c r="L130" s="7">
        <f>IFERROR(I130*(1-(K130/100)),"")</f>
        <v/>
      </c>
      <c r="M130" s="7">
        <f>IFERROR(LOOKUP(9.99E+307,C130:H130),"")</f>
        <v/>
      </c>
      <c r="N130" s="7">
        <f>IFERROR(IF(M130="","",IF(M130&lt;=N130,"停组🛑","继续✓")),"")</f>
        <v/>
      </c>
      <c r="O130" s="7">
        <f>IFERROR(IF(M130="","",IF(M130&lt;0.15,"SAFETY_STOP","")),"")</f>
        <v/>
      </c>
      <c r="P130" s="7">
        <f>IFERROR(IF(M130="","",IF(M130&lt;0.15,"SAFETY_STOP",IF(M130&lt;=N130,"VL_THRESHOLD",""))),"")</f>
        <v/>
      </c>
      <c r="Q130" s="7">
        <f>IFERROR(IF(I130="","",IF(I130&gt;(0.55+0.05),"+5kg",IF(I130&gt;(0.55+0.02),"+2.5kg",IF(I130&gt;=(0.55-0.05),"保持",IF(I130&gt;=(0.55-0.08),"-2.5kg","-5kg"))))),"")</f>
        <v/>
      </c>
      <c r="R130" s="9" t="n"/>
    </row>
    <row r="131">
      <c r="A131" s="7" t="n">
        <v>3</v>
      </c>
      <c r="B131" s="9" t="n"/>
      <c r="C131" s="9" t="n"/>
      <c r="D131" s="9" t="n"/>
      <c r="E131" s="9" t="n"/>
      <c r="F131" s="9" t="n"/>
      <c r="G131" s="9" t="n"/>
      <c r="H131" s="9" t="n"/>
      <c r="I131" s="7">
        <f>IFERROR(MAX(C131:H131),"")</f>
        <v/>
      </c>
      <c r="J131" s="7">
        <f>IFERROR(MATCH(I131,C131:H131,0),"")</f>
        <v/>
      </c>
      <c r="K131" s="7" t="n">
        <v>22</v>
      </c>
      <c r="L131" s="7">
        <f>IFERROR(I131*(1-(K131/100)),"")</f>
        <v/>
      </c>
      <c r="M131" s="7">
        <f>IFERROR(LOOKUP(9.99E+307,C131:H131),"")</f>
        <v/>
      </c>
      <c r="N131" s="7">
        <f>IFERROR(IF(M131="","",IF(M131&lt;=N131,"停组🛑","继续✓")),"")</f>
        <v/>
      </c>
      <c r="O131" s="7">
        <f>IFERROR(IF(M131="","",IF(M131&lt;0.15,"SAFETY_STOP","")),"")</f>
        <v/>
      </c>
      <c r="P131" s="7">
        <f>IFERROR(IF(M131="","",IF(M131&lt;0.15,"SAFETY_STOP",IF(M131&lt;=N131,"VL_THRESHOLD",""))),"")</f>
        <v/>
      </c>
      <c r="Q131" s="7">
        <f>IFERROR(IF(I131="","",IF(I131&gt;(0.55+0.05),"+5kg",IF(I131&gt;(0.55+0.02),"+2.5kg",IF(I131&gt;=(0.55-0.05),"保持",IF(I131&gt;=(0.55-0.08),"-2.5kg","-5kg"))))),"")</f>
        <v/>
      </c>
      <c r="R131" s="9" t="n"/>
    </row>
    <row r="132">
      <c r="A132" s="7" t="n">
        <v>4</v>
      </c>
      <c r="B132" s="9" t="n"/>
      <c r="C132" s="9" t="n"/>
      <c r="D132" s="9" t="n"/>
      <c r="E132" s="9" t="n"/>
      <c r="F132" s="9" t="n"/>
      <c r="G132" s="9" t="n"/>
      <c r="H132" s="9" t="n"/>
      <c r="I132" s="7">
        <f>IFERROR(MAX(C132:H132),"")</f>
        <v/>
      </c>
      <c r="J132" s="7">
        <f>IFERROR(MATCH(I132,C132:H132,0),"")</f>
        <v/>
      </c>
      <c r="K132" s="7" t="n">
        <v>22</v>
      </c>
      <c r="L132" s="7">
        <f>IFERROR(I132*(1-(K132/100)),"")</f>
        <v/>
      </c>
      <c r="M132" s="7">
        <f>IFERROR(LOOKUP(9.99E+307,C132:H132),"")</f>
        <v/>
      </c>
      <c r="N132" s="7">
        <f>IFERROR(IF(M132="","",IF(M132&lt;=N132,"停组🛑","继续✓")),"")</f>
        <v/>
      </c>
      <c r="O132" s="7">
        <f>IFERROR(IF(M132="","",IF(M132&lt;0.15,"SAFETY_STOP","")),"")</f>
        <v/>
      </c>
      <c r="P132" s="7">
        <f>IFERROR(IF(M132="","",IF(M132&lt;0.15,"SAFETY_STOP",IF(M132&lt;=N132,"VL_THRESHOLD",""))),"")</f>
        <v/>
      </c>
      <c r="Q132" s="7">
        <f>IFERROR(IF(I132="","",IF(I132&gt;(0.55+0.05),"+5kg",IF(I132&gt;(0.55+0.02),"+2.5kg",IF(I132&gt;=(0.55-0.05),"保持",IF(I132&gt;=(0.55-0.08),"-2.5kg","-5kg"))))),"")</f>
        <v/>
      </c>
      <c r="R132" s="9" t="n"/>
    </row>
    <row r="133">
      <c r="A133" s="7" t="n">
        <v>5</v>
      </c>
      <c r="B133" s="9" t="n"/>
      <c r="C133" s="9" t="n"/>
      <c r="D133" s="9" t="n"/>
      <c r="E133" s="9" t="n"/>
      <c r="F133" s="9" t="n"/>
      <c r="G133" s="9" t="n"/>
      <c r="H133" s="9" t="n"/>
      <c r="I133" s="7">
        <f>IFERROR(MAX(C133:H133),"")</f>
        <v/>
      </c>
      <c r="J133" s="7">
        <f>IFERROR(MATCH(I133,C133:H133,0),"")</f>
        <v/>
      </c>
      <c r="K133" s="7" t="n">
        <v>22</v>
      </c>
      <c r="L133" s="7">
        <f>IFERROR(I133*(1-(K133/100)),"")</f>
        <v/>
      </c>
      <c r="M133" s="7">
        <f>IFERROR(LOOKUP(9.99E+307,C133:H133),"")</f>
        <v/>
      </c>
      <c r="N133" s="7">
        <f>IFERROR(IF(M133="","",IF(M133&lt;=N133,"停组🛑","继续✓")),"")</f>
        <v/>
      </c>
      <c r="O133" s="7">
        <f>IFERROR(IF(M133="","",IF(M133&lt;0.15,"SAFETY_STOP","")),"")</f>
        <v/>
      </c>
      <c r="P133" s="7">
        <f>IFERROR(IF(M133="","",IF(M133&lt;0.15,"SAFETY_STOP",IF(M133&lt;=N133,"VL_THRESHOLD",""))),"")</f>
        <v/>
      </c>
      <c r="Q133" s="7">
        <f>IFERROR(IF(I133="","",IF(I133&gt;(0.55+0.05),"+5kg",IF(I133&gt;(0.55+0.02),"+2.5kg",IF(I133&gt;=(0.55-0.05),"保持",IF(I133&gt;=(0.55-0.08),"-2.5kg","-5kg"))))),"")</f>
        <v/>
      </c>
      <c r="R133" s="9" t="n"/>
    </row>
    <row r="134">
      <c r="A134" s="7" t="n">
        <v>6</v>
      </c>
      <c r="B134" s="9" t="n"/>
      <c r="C134" s="9" t="n"/>
      <c r="D134" s="9" t="n"/>
      <c r="E134" s="9" t="n"/>
      <c r="F134" s="9" t="n"/>
      <c r="G134" s="9" t="n"/>
      <c r="H134" s="9" t="n"/>
      <c r="I134" s="7">
        <f>IFERROR(MAX(C134:H134),"")</f>
        <v/>
      </c>
      <c r="J134" s="7">
        <f>IFERROR(MATCH(I134,C134:H134,0),"")</f>
        <v/>
      </c>
      <c r="K134" s="7" t="n">
        <v>22</v>
      </c>
      <c r="L134" s="7">
        <f>IFERROR(I134*(1-(K134/100)),"")</f>
        <v/>
      </c>
      <c r="M134" s="7">
        <f>IFERROR(LOOKUP(9.99E+307,C134:H134),"")</f>
        <v/>
      </c>
      <c r="N134" s="7">
        <f>IFERROR(IF(M134="","",IF(M134&lt;=N134,"停组🛑","继续✓")),"")</f>
        <v/>
      </c>
      <c r="O134" s="7">
        <f>IFERROR(IF(M134="","",IF(M134&lt;0.15,"SAFETY_STOP","")),"")</f>
        <v/>
      </c>
      <c r="P134" s="7">
        <f>IFERROR(IF(M134="","",IF(M134&lt;0.15,"SAFETY_STOP",IF(M134&lt;=N134,"VL_THRESHOLD",""))),"")</f>
        <v/>
      </c>
      <c r="Q134" s="7">
        <f>IFERROR(IF(I134="","",IF(I134&gt;(0.55+0.05),"+5kg",IF(I134&gt;(0.55+0.02),"+2.5kg",IF(I134&gt;=(0.55-0.05),"保持",IF(I134&gt;=(0.55-0.08),"-2.5kg","-5kg"))))),"")</f>
        <v/>
      </c>
      <c r="R134" s="9" t="n"/>
    </row>
    <row r="135">
      <c r="A135" s="13" t="inlineStr">
        <is>
          <t>辅助</t>
        </is>
      </c>
      <c r="D135" s="14" t="inlineStr">
        <is>
          <t>RDL</t>
        </is>
      </c>
      <c r="E135" s="14" t="inlineStr">
        <is>
          <t>负荷</t>
        </is>
      </c>
      <c r="F135" s="14" t="inlineStr">
        <is>
          <t>完成</t>
        </is>
      </c>
      <c r="I135" t="inlineStr">
        <is>
          <t>VL</t>
        </is>
      </c>
    </row>
    <row r="136">
      <c r="A136" s="15" t="inlineStr">
        <is>
          <t>训练后</t>
        </is>
      </c>
      <c r="B136" s="15" t="inlineStr">
        <is>
          <t>开始</t>
        </is>
      </c>
      <c r="C136" s="15" t="inlineStr">
        <is>
          <t>结束</t>
        </is>
      </c>
      <c r="D136" s="15" t="inlineStr">
        <is>
          <t>时长min</t>
        </is>
      </c>
      <c r="E136" s="15" t="inlineStr">
        <is>
          <t>sRPE</t>
        </is>
      </c>
      <c r="F136" s="15" t="inlineStr">
        <is>
          <t>load</t>
        </is>
      </c>
      <c r="G136" s="15" t="inlineStr">
        <is>
          <t>不适?</t>
        </is>
      </c>
      <c r="H136" s="15" t="inlineStr">
        <is>
          <t>备注</t>
        </is>
      </c>
      <c r="I136" s="15" t="inlineStr">
        <is>
          <t>签名</t>
        </is>
      </c>
    </row>
    <row r="137">
      <c r="A137" s="7" t="n"/>
      <c r="B137" s="9" t="n"/>
      <c r="C137" s="9" t="n"/>
      <c r="D137" s="11">
        <f>IFERROR((C137-B137)*1440,"")</f>
        <v/>
      </c>
      <c r="E137" s="9" t="n"/>
      <c r="F137" s="11">
        <f>IFERROR(E137*D137,"")</f>
        <v/>
      </c>
      <c r="G137" s="9" t="n"/>
      <c r="H137" s="9" t="n"/>
      <c r="I137" s="9" t="n"/>
    </row>
    <row r="138">
      <c r="A138" s="16" t="inlineStr">
        <is>
          <t>跳跃</t>
        </is>
      </c>
      <c r="B138" s="16" t="inlineStr">
        <is>
          <t>类型</t>
        </is>
      </c>
      <c r="C138" s="16" t="inlineStr">
        <is>
          <t>组×次</t>
        </is>
      </c>
      <c r="D138" s="16" t="inlineStr">
        <is>
          <t>负荷kg</t>
        </is>
      </c>
      <c r="E138" s="16" t="inlineStr">
        <is>
          <t>接触</t>
        </is>
      </c>
    </row>
    <row r="139">
      <c r="B139" t="inlineStr">
        <is>
          <t>CMJ</t>
        </is>
      </c>
      <c r="C139" t="inlineStr">
        <is>
          <t>3×3</t>
        </is>
      </c>
      <c r="D139" t="n">
        <v>0</v>
      </c>
      <c r="E139" t="n">
        <v>9</v>
      </c>
    </row>
    <row r="140">
      <c r="B140" t="inlineStr">
        <is>
          <t>箱跳</t>
        </is>
      </c>
      <c r="C140" t="inlineStr">
        <is>
          <t>2×3</t>
        </is>
      </c>
      <c r="D140" t="n">
        <v>0</v>
      </c>
      <c r="E140" t="n">
        <v>6</v>
      </c>
    </row>
    <row r="141">
      <c r="A141" s="17" t="inlineStr">
        <is>
          <t>▶ 暴露量汇总</t>
        </is>
      </c>
      <c r="B141" s="17" t="inlineStr">
        <is>
          <t>说明</t>
        </is>
      </c>
      <c r="C141" s="17" t="inlineStr">
        <is>
          <t>公式/来源</t>
        </is>
      </c>
      <c r="D141" s="17" t="inlineStr">
        <is>
          <t>数值</t>
        </is>
      </c>
    </row>
    <row r="142">
      <c r="A142" s="18" t="inlineStr">
        <is>
          <t>① 无负荷跳跃接触</t>
        </is>
      </c>
      <c r="B142" s="18" t="inlineStr">
        <is>
          <t>CMJ+SJ+箱跳</t>
        </is>
      </c>
      <c r="C142" s="19">
        <f>IFERROR(E139+E140,2)</f>
        <v/>
      </c>
    </row>
    <row r="143">
      <c r="A143" s="18" t="inlineStr">
        <is>
          <t>② 负重跳跃接触</t>
        </is>
      </c>
      <c r="B143" s="18" t="inlineStr">
        <is>
          <t>负重深蹲跳</t>
        </is>
      </c>
      <c r="C143" s="19">
        <f>IFERROR(E139,"")</f>
        <v/>
      </c>
    </row>
    <row r="144">
      <c r="A144" s="18" t="inlineStr">
        <is>
          <t>③ 跳跃总计</t>
        </is>
      </c>
      <c r="B144" s="18" t="inlineStr">
        <is>
          <t>①+②</t>
        </is>
      </c>
      <c r="C144" s="19">
        <f>IFERROR(B142+B143,"")</f>
        <v/>
      </c>
    </row>
    <row r="145">
      <c r="A145" s="18" t="inlineStr">
        <is>
          <t>④ 热身VL</t>
        </is>
      </c>
      <c r="B145" s="18" t="inlineStr">
        <is>
          <t>20×5+50%×3(+70%×2)</t>
        </is>
      </c>
      <c r="C145" s="19">
        <f>IFERROR(20*5+ROUND(V125*0.5,0)*3+ROUND(V{dr}*0.7,0)*2,"-")</f>
        <v/>
      </c>
    </row>
    <row r="146">
      <c r="A146" s="20" t="inlineStr">
        <is>
          <t>⑤ 主项工作组VL ★</t>
        </is>
      </c>
      <c r="B146" s="20" t="inlineStr">
        <is>
          <t>Σ(负荷×次数)</t>
        </is>
      </c>
      <c r="C146" s="21">
        <f>SUMPRODUCT($B$129:$B$134,$R$129:$R$134)</f>
        <v/>
      </c>
    </row>
    <row r="147">
      <c r="A147" s="18" t="inlineStr">
        <is>
          <t>⑥ 主项总VL</t>
        </is>
      </c>
      <c r="B147" s="18" t="inlineStr">
        <is>
          <t>④+⑤</t>
        </is>
      </c>
      <c r="C147" s="19">
        <f>IFERROR(D142+D143,"")</f>
        <v/>
      </c>
    </row>
    <row r="148">
      <c r="A148" s="18" t="inlineStr">
        <is>
          <t>⑦ 辅助VL</t>
        </is>
      </c>
      <c r="B148" s="18" t="inlineStr">
        <is>
          <t>RDL/保加利亚</t>
        </is>
      </c>
      <c r="C148" s="19">
        <f>IFERROR(I135,"")</f>
        <v/>
      </c>
    </row>
    <row r="149">
      <c r="A149" s="18" t="inlineStr">
        <is>
          <t>⑧ 总外部负荷</t>
        </is>
      </c>
      <c r="B149" s="18" t="inlineStr">
        <is>
          <t>⑥+⑦(+负重跳)</t>
        </is>
      </c>
      <c r="C149" s="19">
        <f>IFERROR(F142+G142,"")</f>
        <v/>
      </c>
    </row>
    <row r="150">
      <c r="A150" s="18" t="inlineStr">
        <is>
          <t>⑨ sRPE load</t>
        </is>
      </c>
      <c r="B150" s="18" t="inlineStr">
        <is>
          <t>sRPE×时长</t>
        </is>
      </c>
      <c r="C150" s="19">
        <f>IFERROR(F137,"")</f>
        <v/>
      </c>
    </row>
    <row r="153">
      <c r="A153" s="5" t="inlineStr">
        <is>
          <t>P011 朱怀远  a=1.258 b=-0.00613 1RM=125</t>
        </is>
      </c>
    </row>
    <row r="154">
      <c r="A154" s="6" t="inlineStr">
        <is>
          <t>编号</t>
        </is>
      </c>
      <c r="B154" s="6" t="inlineStr">
        <is>
          <t>姓名</t>
        </is>
      </c>
      <c r="C154" s="6" t="inlineStr">
        <is>
          <t>身高</t>
        </is>
      </c>
      <c r="D154" s="6" t="inlineStr">
        <is>
          <t>1RM</t>
        </is>
      </c>
      <c r="E154" s="6" t="inlineStr">
        <is>
          <t>Hooper睡</t>
        </is>
      </c>
      <c r="F154" s="6" t="inlineStr">
        <is>
          <t>Hooper压</t>
        </is>
      </c>
      <c r="G154" s="6" t="inlineStr">
        <is>
          <t>Hooper疲</t>
        </is>
      </c>
      <c r="H154" s="6" t="inlineStr">
        <is>
          <t>Hooper酸</t>
        </is>
      </c>
      <c r="I154" s="6" t="inlineStr">
        <is>
          <t>H总</t>
        </is>
      </c>
      <c r="J154" s="6" t="inlineStr">
        <is>
          <t>不适?</t>
        </is>
      </c>
      <c r="K154" s="6" t="inlineStr">
        <is>
          <t>说明</t>
        </is>
      </c>
      <c r="L154" s="6" t="inlineStr">
        <is>
          <t>CMJ1</t>
        </is>
      </c>
      <c r="M154" s="6" t="inlineStr">
        <is>
          <t>CMJ2</t>
        </is>
      </c>
      <c r="N154" s="6" t="inlineStr">
        <is>
          <t>CMJ3</t>
        </is>
      </c>
      <c r="O154" s="6" t="inlineStr">
        <is>
          <t>CMJμ</t>
        </is>
      </c>
      <c r="P154" s="6" t="inlineStr">
        <is>
          <t>&lt;95%</t>
        </is>
      </c>
      <c r="Q154" s="6" t="inlineStr">
        <is>
          <t>减组</t>
        </is>
      </c>
      <c r="R154" s="6" t="inlineStr">
        <is>
          <t>组数</t>
        </is>
      </c>
      <c r="S154" s="6" t="inlineStr">
        <is>
          <t>a(V0)</t>
        </is>
      </c>
      <c r="T154" s="6" t="inlineStr">
        <is>
          <t>b</t>
        </is>
      </c>
      <c r="U154" s="6" t="inlineStr">
        <is>
          <t>等级</t>
        </is>
      </c>
      <c r="V154" s="6" t="inlineStr">
        <is>
          <t>预测起始</t>
        </is>
      </c>
    </row>
    <row r="155">
      <c r="A155" s="7" t="inlineStr">
        <is>
          <t>P011</t>
        </is>
      </c>
      <c r="B155" s="7" t="inlineStr">
        <is>
          <t>朱怀远</t>
        </is>
      </c>
      <c r="C155" s="7" t="n">
        <v>165</v>
      </c>
      <c r="D155" s="8" t="n">
        <v>125</v>
      </c>
      <c r="E155" s="9" t="n"/>
      <c r="F155" s="9" t="n"/>
      <c r="G155" s="9" t="n"/>
      <c r="H155" s="9" t="n"/>
      <c r="I155" s="7">
        <f>IFERROR(SUM(E155:H155),"")</f>
        <v/>
      </c>
      <c r="J155" s="9" t="n"/>
      <c r="K155" s="9" t="n"/>
      <c r="L155" s="9" t="n"/>
      <c r="M155" s="9" t="n"/>
      <c r="N155" s="9" t="n"/>
      <c r="O155" s="7">
        <f>IFERROR(AVERAGE(L155:N155),"")</f>
        <v/>
      </c>
      <c r="P155" s="7">
        <f>IF(O155="","",IF(O155&lt;64.98,"是⚠","否"))</f>
        <v/>
      </c>
      <c r="Q155" s="7">
        <f>IF(O155="","",IF(O155&lt;64.98,5-1,5))</f>
        <v/>
      </c>
      <c r="R155" s="7" t="n"/>
      <c r="S155" s="8" t="n">
        <v>1.258</v>
      </c>
      <c r="T155" s="8" t="n">
        <v>-0.00613</v>
      </c>
      <c r="U155" s="7" t="inlineStr">
        <is>
          <t>D</t>
        </is>
      </c>
      <c r="V155" s="8" t="n">
        <v>115</v>
      </c>
    </row>
    <row r="156">
      <c r="A156" s="10" t="inlineStr">
        <is>
          <t>热身校准</t>
        </is>
      </c>
      <c r="B156" s="10" t="inlineStr">
        <is>
          <t>a</t>
        </is>
      </c>
      <c r="C156" s="10" t="inlineStr">
        <is>
          <t>b</t>
        </is>
      </c>
      <c r="D156" s="10" t="inlineStr">
        <is>
          <t>50%热身</t>
        </is>
      </c>
      <c r="E156" s="10" t="inlineStr">
        <is>
          <t>70%热身</t>
        </is>
      </c>
      <c r="F156" s="10" t="inlineStr">
        <is>
          <t>热身负荷</t>
        </is>
      </c>
      <c r="G156" s="10" t="inlineStr">
        <is>
          <t>实测MCV</t>
        </is>
      </c>
      <c r="H156" s="10" t="inlineStr">
        <is>
          <t>预测MCV</t>
        </is>
      </c>
      <c r="I156" s="10" t="inlineStr">
        <is>
          <t>Δv</t>
        </is>
      </c>
      <c r="J156" s="10" t="inlineStr">
        <is>
          <t>调整量</t>
        </is>
      </c>
      <c r="K156" s="10" t="inlineStr">
        <is>
          <t>校准第1组</t>
        </is>
      </c>
    </row>
    <row r="157">
      <c r="A157" s="7" t="n"/>
      <c r="B157" s="11" t="n">
        <v>1.258</v>
      </c>
      <c r="C157" s="11" t="n">
        <v>-0.00613</v>
      </c>
      <c r="D157" s="11">
        <f>IFERROR(ROUND(V155*0.5/2.5,0)*2.5,"")</f>
        <v/>
      </c>
      <c r="E157" s="11">
        <f>IFERROR(ROUND(V155*0.7/2.5,0)*2.5,"")</f>
        <v/>
      </c>
      <c r="F157" s="11">
        <f>IFERROR(ROUND(V155*0.6/2.5,0)*2.5,"")</f>
        <v/>
      </c>
      <c r="G157" s="9" t="n"/>
      <c r="H157" s="11">
        <f>IFERROR(B157+C157*F157,"")</f>
        <v/>
      </c>
      <c r="I157" s="11">
        <f>IFERROR(G157-H157,"")</f>
        <v/>
      </c>
      <c r="J157" s="11">
        <f>IFERROR(IF(I157&gt;0.08,5,IF(I157&gt;0.04,2.5,IF(I157&gt;=-0.04,0,IF(I157&gt;=-0.08,-2.5,-5)))),"")</f>
        <v/>
      </c>
      <c r="K157" s="11">
        <f>IFERROR(ROUND(V155+J157,0),"")</f>
        <v/>
      </c>
    </row>
    <row r="158">
      <c r="A158" s="12" t="inlineStr">
        <is>
          <t>组</t>
        </is>
      </c>
      <c r="B158" s="12" t="inlineStr">
        <is>
          <t>负荷</t>
        </is>
      </c>
      <c r="C158" s="12" t="inlineStr">
        <is>
          <t>rep1</t>
        </is>
      </c>
      <c r="D158" s="12" t="inlineStr">
        <is>
          <t>rep2</t>
        </is>
      </c>
      <c r="E158" s="12" t="inlineStr">
        <is>
          <t>rep3</t>
        </is>
      </c>
      <c r="F158" s="12" t="inlineStr">
        <is>
          <t>rep4</t>
        </is>
      </c>
      <c r="G158" s="12" t="inlineStr">
        <is>
          <t>rep5</t>
        </is>
      </c>
      <c r="H158" s="12" t="inlineStr">
        <is>
          <t>rep6</t>
        </is>
      </c>
      <c r="I158" s="12" t="inlineStr">
        <is>
          <t>best</t>
        </is>
      </c>
      <c r="J158" s="12" t="inlineStr">
        <is>
          <t>best#</t>
        </is>
      </c>
      <c r="K158" s="12" t="inlineStr">
        <is>
          <t>VL%</t>
        </is>
      </c>
      <c r="L158" s="12" t="inlineStr">
        <is>
          <t>stop_th</t>
        </is>
      </c>
      <c r="M158" s="12" t="inlineStr">
        <is>
          <t>latest</t>
        </is>
      </c>
      <c r="N158" s="12" t="inlineStr">
        <is>
          <t>VL_flag</t>
        </is>
      </c>
      <c r="O158" s="12" t="inlineStr">
        <is>
          <t>safety</t>
        </is>
      </c>
      <c r="P158" s="12" t="inlineStr">
        <is>
          <t>原因</t>
        </is>
      </c>
      <c r="Q158" s="12" t="inlineStr">
        <is>
          <t>建议</t>
        </is>
      </c>
      <c r="R158" s="12" t="inlineStr">
        <is>
          <t>次数</t>
        </is>
      </c>
    </row>
    <row r="159">
      <c r="A159" s="7" t="n">
        <v>1</v>
      </c>
      <c r="B159" s="9">
        <f>IFERROR(K157,"")</f>
        <v/>
      </c>
      <c r="C159" s="9" t="n"/>
      <c r="D159" s="9" t="n"/>
      <c r="E159" s="9" t="n"/>
      <c r="F159" s="9" t="n"/>
      <c r="G159" s="9" t="n"/>
      <c r="H159" s="9" t="n"/>
      <c r="I159" s="7">
        <f>IFERROR(MAX(C159:H159),"")</f>
        <v/>
      </c>
      <c r="J159" s="7">
        <f>IFERROR(MATCH(I159,C159:H159,0),"")</f>
        <v/>
      </c>
      <c r="K159" s="7" t="n">
        <v>22</v>
      </c>
      <c r="L159" s="7">
        <f>IFERROR(I159*(1-(K159/100)),"")</f>
        <v/>
      </c>
      <c r="M159" s="7">
        <f>IFERROR(LOOKUP(9.99E+307,C159:H159),"")</f>
        <v/>
      </c>
      <c r="N159" s="7">
        <f>IFERROR(IF(M159="","",IF(M159&lt;=N159,"停组🛑","继续✓")),"")</f>
        <v/>
      </c>
      <c r="O159" s="7">
        <f>IFERROR(IF(M159="","",IF(M159&lt;0.15,"SAFETY_STOP","")),"")</f>
        <v/>
      </c>
      <c r="P159" s="7">
        <f>IFERROR(IF(M159="","",IF(M159&lt;0.15,"SAFETY_STOP",IF(M159&lt;=N159,"VL_THRESHOLD",""))),"")</f>
        <v/>
      </c>
      <c r="Q159" s="7">
        <f>IFERROR(IF(I159="","",IF(I159&gt;(0.55+0.05),"+5kg",IF(I159&gt;(0.55+0.02),"+2.5kg",IF(I159&gt;=(0.55-0.05),"保持",IF(I159&gt;=(0.55-0.08),"-2.5kg","-5kg"))))),"")</f>
        <v/>
      </c>
      <c r="R159" s="9" t="n"/>
    </row>
    <row r="160">
      <c r="A160" s="7" t="n">
        <v>2</v>
      </c>
      <c r="B160" s="9" t="n"/>
      <c r="C160" s="9" t="n"/>
      <c r="D160" s="9" t="n"/>
      <c r="E160" s="9" t="n"/>
      <c r="F160" s="9" t="n"/>
      <c r="G160" s="9" t="n"/>
      <c r="H160" s="9" t="n"/>
      <c r="I160" s="7">
        <f>IFERROR(MAX(C160:H160),"")</f>
        <v/>
      </c>
      <c r="J160" s="7">
        <f>IFERROR(MATCH(I160,C160:H160,0),"")</f>
        <v/>
      </c>
      <c r="K160" s="7" t="n">
        <v>22</v>
      </c>
      <c r="L160" s="7">
        <f>IFERROR(I160*(1-(K160/100)),"")</f>
        <v/>
      </c>
      <c r="M160" s="7">
        <f>IFERROR(LOOKUP(9.99E+307,C160:H160),"")</f>
        <v/>
      </c>
      <c r="N160" s="7">
        <f>IFERROR(IF(M160="","",IF(M160&lt;=N160,"停组🛑","继续✓")),"")</f>
        <v/>
      </c>
      <c r="O160" s="7">
        <f>IFERROR(IF(M160="","",IF(M160&lt;0.15,"SAFETY_STOP","")),"")</f>
        <v/>
      </c>
      <c r="P160" s="7">
        <f>IFERROR(IF(M160="","",IF(M160&lt;0.15,"SAFETY_STOP",IF(M160&lt;=N160,"VL_THRESHOLD",""))),"")</f>
        <v/>
      </c>
      <c r="Q160" s="7">
        <f>IFERROR(IF(I160="","",IF(I160&gt;(0.55+0.05),"+5kg",IF(I160&gt;(0.55+0.02),"+2.5kg",IF(I160&gt;=(0.55-0.05),"保持",IF(I160&gt;=(0.55-0.08),"-2.5kg","-5kg"))))),"")</f>
        <v/>
      </c>
      <c r="R160" s="9" t="n"/>
    </row>
    <row r="161">
      <c r="A161" s="7" t="n">
        <v>3</v>
      </c>
      <c r="B161" s="9" t="n"/>
      <c r="C161" s="9" t="n"/>
      <c r="D161" s="9" t="n"/>
      <c r="E161" s="9" t="n"/>
      <c r="F161" s="9" t="n"/>
      <c r="G161" s="9" t="n"/>
      <c r="H161" s="9" t="n"/>
      <c r="I161" s="7">
        <f>IFERROR(MAX(C161:H161),"")</f>
        <v/>
      </c>
      <c r="J161" s="7">
        <f>IFERROR(MATCH(I161,C161:H161,0),"")</f>
        <v/>
      </c>
      <c r="K161" s="7" t="n">
        <v>22</v>
      </c>
      <c r="L161" s="7">
        <f>IFERROR(I161*(1-(K161/100)),"")</f>
        <v/>
      </c>
      <c r="M161" s="7">
        <f>IFERROR(LOOKUP(9.99E+307,C161:H161),"")</f>
        <v/>
      </c>
      <c r="N161" s="7">
        <f>IFERROR(IF(M161="","",IF(M161&lt;=N161,"停组🛑","继续✓")),"")</f>
        <v/>
      </c>
      <c r="O161" s="7">
        <f>IFERROR(IF(M161="","",IF(M161&lt;0.15,"SAFETY_STOP","")),"")</f>
        <v/>
      </c>
      <c r="P161" s="7">
        <f>IFERROR(IF(M161="","",IF(M161&lt;0.15,"SAFETY_STOP",IF(M161&lt;=N161,"VL_THRESHOLD",""))),"")</f>
        <v/>
      </c>
      <c r="Q161" s="7">
        <f>IFERROR(IF(I161="","",IF(I161&gt;(0.55+0.05),"+5kg",IF(I161&gt;(0.55+0.02),"+2.5kg",IF(I161&gt;=(0.55-0.05),"保持",IF(I161&gt;=(0.55-0.08),"-2.5kg","-5kg"))))),"")</f>
        <v/>
      </c>
      <c r="R161" s="9" t="n"/>
    </row>
    <row r="162">
      <c r="A162" s="7" t="n">
        <v>4</v>
      </c>
      <c r="B162" s="9" t="n"/>
      <c r="C162" s="9" t="n"/>
      <c r="D162" s="9" t="n"/>
      <c r="E162" s="9" t="n"/>
      <c r="F162" s="9" t="n"/>
      <c r="G162" s="9" t="n"/>
      <c r="H162" s="9" t="n"/>
      <c r="I162" s="7">
        <f>IFERROR(MAX(C162:H162),"")</f>
        <v/>
      </c>
      <c r="J162" s="7">
        <f>IFERROR(MATCH(I162,C162:H162,0),"")</f>
        <v/>
      </c>
      <c r="K162" s="7" t="n">
        <v>22</v>
      </c>
      <c r="L162" s="7">
        <f>IFERROR(I162*(1-(K162/100)),"")</f>
        <v/>
      </c>
      <c r="M162" s="7">
        <f>IFERROR(LOOKUP(9.99E+307,C162:H162),"")</f>
        <v/>
      </c>
      <c r="N162" s="7">
        <f>IFERROR(IF(M162="","",IF(M162&lt;=N162,"停组🛑","继续✓")),"")</f>
        <v/>
      </c>
      <c r="O162" s="7">
        <f>IFERROR(IF(M162="","",IF(M162&lt;0.15,"SAFETY_STOP","")),"")</f>
        <v/>
      </c>
      <c r="P162" s="7">
        <f>IFERROR(IF(M162="","",IF(M162&lt;0.15,"SAFETY_STOP",IF(M162&lt;=N162,"VL_THRESHOLD",""))),"")</f>
        <v/>
      </c>
      <c r="Q162" s="7">
        <f>IFERROR(IF(I162="","",IF(I162&gt;(0.55+0.05),"+5kg",IF(I162&gt;(0.55+0.02),"+2.5kg",IF(I162&gt;=(0.55-0.05),"保持",IF(I162&gt;=(0.55-0.08),"-2.5kg","-5kg"))))),"")</f>
        <v/>
      </c>
      <c r="R162" s="9" t="n"/>
    </row>
    <row r="163">
      <c r="A163" s="7" t="n">
        <v>5</v>
      </c>
      <c r="B163" s="9" t="n"/>
      <c r="C163" s="9" t="n"/>
      <c r="D163" s="9" t="n"/>
      <c r="E163" s="9" t="n"/>
      <c r="F163" s="9" t="n"/>
      <c r="G163" s="9" t="n"/>
      <c r="H163" s="9" t="n"/>
      <c r="I163" s="7">
        <f>IFERROR(MAX(C163:H163),"")</f>
        <v/>
      </c>
      <c r="J163" s="7">
        <f>IFERROR(MATCH(I163,C163:H163,0),"")</f>
        <v/>
      </c>
      <c r="K163" s="7" t="n">
        <v>22</v>
      </c>
      <c r="L163" s="7">
        <f>IFERROR(I163*(1-(K163/100)),"")</f>
        <v/>
      </c>
      <c r="M163" s="7">
        <f>IFERROR(LOOKUP(9.99E+307,C163:H163),"")</f>
        <v/>
      </c>
      <c r="N163" s="7">
        <f>IFERROR(IF(M163="","",IF(M163&lt;=N163,"停组🛑","继续✓")),"")</f>
        <v/>
      </c>
      <c r="O163" s="7">
        <f>IFERROR(IF(M163="","",IF(M163&lt;0.15,"SAFETY_STOP","")),"")</f>
        <v/>
      </c>
      <c r="P163" s="7">
        <f>IFERROR(IF(M163="","",IF(M163&lt;0.15,"SAFETY_STOP",IF(M163&lt;=N163,"VL_THRESHOLD",""))),"")</f>
        <v/>
      </c>
      <c r="Q163" s="7">
        <f>IFERROR(IF(I163="","",IF(I163&gt;(0.55+0.05),"+5kg",IF(I163&gt;(0.55+0.02),"+2.5kg",IF(I163&gt;=(0.55-0.05),"保持",IF(I163&gt;=(0.55-0.08),"-2.5kg","-5kg"))))),"")</f>
        <v/>
      </c>
      <c r="R163" s="9" t="n"/>
    </row>
    <row r="164">
      <c r="A164" s="7" t="n">
        <v>6</v>
      </c>
      <c r="B164" s="9" t="n"/>
      <c r="C164" s="9" t="n"/>
      <c r="D164" s="9" t="n"/>
      <c r="E164" s="9" t="n"/>
      <c r="F164" s="9" t="n"/>
      <c r="G164" s="9" t="n"/>
      <c r="H164" s="9" t="n"/>
      <c r="I164" s="7">
        <f>IFERROR(MAX(C164:H164),"")</f>
        <v/>
      </c>
      <c r="J164" s="7">
        <f>IFERROR(MATCH(I164,C164:H164,0),"")</f>
        <v/>
      </c>
      <c r="K164" s="7" t="n">
        <v>22</v>
      </c>
      <c r="L164" s="7">
        <f>IFERROR(I164*(1-(K164/100)),"")</f>
        <v/>
      </c>
      <c r="M164" s="7">
        <f>IFERROR(LOOKUP(9.99E+307,C164:H164),"")</f>
        <v/>
      </c>
      <c r="N164" s="7">
        <f>IFERROR(IF(M164="","",IF(M164&lt;=N164,"停组🛑","继续✓")),"")</f>
        <v/>
      </c>
      <c r="O164" s="7">
        <f>IFERROR(IF(M164="","",IF(M164&lt;0.15,"SAFETY_STOP","")),"")</f>
        <v/>
      </c>
      <c r="P164" s="7">
        <f>IFERROR(IF(M164="","",IF(M164&lt;0.15,"SAFETY_STOP",IF(M164&lt;=N164,"VL_THRESHOLD",""))),"")</f>
        <v/>
      </c>
      <c r="Q164" s="7">
        <f>IFERROR(IF(I164="","",IF(I164&gt;(0.55+0.05),"+5kg",IF(I164&gt;(0.55+0.02),"+2.5kg",IF(I164&gt;=(0.55-0.05),"保持",IF(I164&gt;=(0.55-0.08),"-2.5kg","-5kg"))))),"")</f>
        <v/>
      </c>
      <c r="R164" s="9" t="n"/>
    </row>
    <row r="165">
      <c r="A165" s="13" t="inlineStr">
        <is>
          <t>辅助</t>
        </is>
      </c>
      <c r="D165" s="14" t="inlineStr">
        <is>
          <t>RDL</t>
        </is>
      </c>
      <c r="E165" s="14" t="inlineStr">
        <is>
          <t>负荷</t>
        </is>
      </c>
      <c r="F165" s="14" t="inlineStr">
        <is>
          <t>完成</t>
        </is>
      </c>
      <c r="I165" t="inlineStr">
        <is>
          <t>VL</t>
        </is>
      </c>
    </row>
    <row r="166">
      <c r="A166" s="15" t="inlineStr">
        <is>
          <t>训练后</t>
        </is>
      </c>
      <c r="B166" s="15" t="inlineStr">
        <is>
          <t>开始</t>
        </is>
      </c>
      <c r="C166" s="15" t="inlineStr">
        <is>
          <t>结束</t>
        </is>
      </c>
      <c r="D166" s="15" t="inlineStr">
        <is>
          <t>时长min</t>
        </is>
      </c>
      <c r="E166" s="15" t="inlineStr">
        <is>
          <t>sRPE</t>
        </is>
      </c>
      <c r="F166" s="15" t="inlineStr">
        <is>
          <t>load</t>
        </is>
      </c>
      <c r="G166" s="15" t="inlineStr">
        <is>
          <t>不适?</t>
        </is>
      </c>
      <c r="H166" s="15" t="inlineStr">
        <is>
          <t>备注</t>
        </is>
      </c>
      <c r="I166" s="15" t="inlineStr">
        <is>
          <t>签名</t>
        </is>
      </c>
    </row>
    <row r="167">
      <c r="A167" s="7" t="n"/>
      <c r="B167" s="9" t="n"/>
      <c r="C167" s="9" t="n"/>
      <c r="D167" s="11">
        <f>IFERROR((C167-B167)*1440,"")</f>
        <v/>
      </c>
      <c r="E167" s="9" t="n"/>
      <c r="F167" s="11">
        <f>IFERROR(E167*D167,"")</f>
        <v/>
      </c>
      <c r="G167" s="9" t="n"/>
      <c r="H167" s="9" t="n"/>
      <c r="I167" s="9" t="n"/>
    </row>
    <row r="168">
      <c r="A168" s="16" t="inlineStr">
        <is>
          <t>跳跃</t>
        </is>
      </c>
      <c r="B168" s="16" t="inlineStr">
        <is>
          <t>类型</t>
        </is>
      </c>
      <c r="C168" s="16" t="inlineStr">
        <is>
          <t>组×次</t>
        </is>
      </c>
      <c r="D168" s="16" t="inlineStr">
        <is>
          <t>负荷kg</t>
        </is>
      </c>
      <c r="E168" s="16" t="inlineStr">
        <is>
          <t>接触</t>
        </is>
      </c>
    </row>
    <row r="169">
      <c r="B169" t="inlineStr">
        <is>
          <t>CMJ</t>
        </is>
      </c>
      <c r="C169" t="inlineStr">
        <is>
          <t>3×3</t>
        </is>
      </c>
      <c r="D169" t="n">
        <v>0</v>
      </c>
      <c r="E169" t="n">
        <v>9</v>
      </c>
    </row>
    <row r="170">
      <c r="B170" t="inlineStr">
        <is>
          <t>箱跳</t>
        </is>
      </c>
      <c r="C170" t="inlineStr">
        <is>
          <t>2×3</t>
        </is>
      </c>
      <c r="D170" t="n">
        <v>0</v>
      </c>
      <c r="E170" t="n">
        <v>6</v>
      </c>
    </row>
    <row r="171">
      <c r="A171" s="17" t="inlineStr">
        <is>
          <t>▶ 暴露量汇总</t>
        </is>
      </c>
      <c r="B171" s="17" t="inlineStr">
        <is>
          <t>说明</t>
        </is>
      </c>
      <c r="C171" s="17" t="inlineStr">
        <is>
          <t>公式/来源</t>
        </is>
      </c>
      <c r="D171" s="17" t="inlineStr">
        <is>
          <t>数值</t>
        </is>
      </c>
    </row>
    <row r="172">
      <c r="A172" s="18" t="inlineStr">
        <is>
          <t>① 无负荷跳跃接触</t>
        </is>
      </c>
      <c r="B172" s="18" t="inlineStr">
        <is>
          <t>CMJ+SJ+箱跳</t>
        </is>
      </c>
      <c r="C172" s="19">
        <f>IFERROR(E169+E170,2)</f>
        <v/>
      </c>
    </row>
    <row r="173">
      <c r="A173" s="18" t="inlineStr">
        <is>
          <t>② 负重跳跃接触</t>
        </is>
      </c>
      <c r="B173" s="18" t="inlineStr">
        <is>
          <t>负重深蹲跳</t>
        </is>
      </c>
      <c r="C173" s="19">
        <f>IFERROR(E169,"")</f>
        <v/>
      </c>
    </row>
    <row r="174">
      <c r="A174" s="18" t="inlineStr">
        <is>
          <t>③ 跳跃总计</t>
        </is>
      </c>
      <c r="B174" s="18" t="inlineStr">
        <is>
          <t>①+②</t>
        </is>
      </c>
      <c r="C174" s="19">
        <f>IFERROR(B172+B173,"")</f>
        <v/>
      </c>
    </row>
    <row r="175">
      <c r="A175" s="18" t="inlineStr">
        <is>
          <t>④ 热身VL</t>
        </is>
      </c>
      <c r="B175" s="18" t="inlineStr">
        <is>
          <t>20×5+50%×3(+70%×2)</t>
        </is>
      </c>
      <c r="C175" s="19">
        <f>IFERROR(20*5+ROUND(V155*0.5,0)*3+ROUND(V{dr}*0.7,0)*2,"-")</f>
        <v/>
      </c>
    </row>
    <row r="176">
      <c r="A176" s="20" t="inlineStr">
        <is>
          <t>⑤ 主项工作组VL ★</t>
        </is>
      </c>
      <c r="B176" s="20" t="inlineStr">
        <is>
          <t>Σ(负荷×次数)</t>
        </is>
      </c>
      <c r="C176" s="21">
        <f>SUMPRODUCT($B$159:$B$164,$R$159:$R$164)</f>
        <v/>
      </c>
    </row>
    <row r="177">
      <c r="A177" s="18" t="inlineStr">
        <is>
          <t>⑥ 主项总VL</t>
        </is>
      </c>
      <c r="B177" s="18" t="inlineStr">
        <is>
          <t>④+⑤</t>
        </is>
      </c>
      <c r="C177" s="19">
        <f>IFERROR(D172+D173,"")</f>
        <v/>
      </c>
    </row>
    <row r="178">
      <c r="A178" s="18" t="inlineStr">
        <is>
          <t>⑦ 辅助VL</t>
        </is>
      </c>
      <c r="B178" s="18" t="inlineStr">
        <is>
          <t>RDL/保加利亚</t>
        </is>
      </c>
      <c r="C178" s="19">
        <f>IFERROR(I165,"")</f>
        <v/>
      </c>
    </row>
    <row r="179">
      <c r="A179" s="18" t="inlineStr">
        <is>
          <t>⑧ 总外部负荷</t>
        </is>
      </c>
      <c r="B179" s="18" t="inlineStr">
        <is>
          <t>⑥+⑦(+负重跳)</t>
        </is>
      </c>
      <c r="C179" s="19">
        <f>IFERROR(F172+G172,"")</f>
        <v/>
      </c>
    </row>
    <row r="180">
      <c r="A180" s="18" t="inlineStr">
        <is>
          <t>⑨ sRPE load</t>
        </is>
      </c>
      <c r="B180" s="18" t="inlineStr">
        <is>
          <t>sRPE×时长</t>
        </is>
      </c>
      <c r="C180" s="19">
        <f>IFERROR(F167,"")</f>
        <v/>
      </c>
    </row>
    <row r="183">
      <c r="A183" s="5" t="inlineStr">
        <is>
          <t>P016 杜遥  a=1.54 b=-0.0085 1RM=135</t>
        </is>
      </c>
    </row>
    <row r="184">
      <c r="A184" s="6" t="inlineStr">
        <is>
          <t>编号</t>
        </is>
      </c>
      <c r="B184" s="6" t="inlineStr">
        <is>
          <t>姓名</t>
        </is>
      </c>
      <c r="C184" s="6" t="inlineStr">
        <is>
          <t>身高</t>
        </is>
      </c>
      <c r="D184" s="6" t="inlineStr">
        <is>
          <t>1RM</t>
        </is>
      </c>
      <c r="E184" s="6" t="inlineStr">
        <is>
          <t>Hooper睡</t>
        </is>
      </c>
      <c r="F184" s="6" t="inlineStr">
        <is>
          <t>Hooper压</t>
        </is>
      </c>
      <c r="G184" s="6" t="inlineStr">
        <is>
          <t>Hooper疲</t>
        </is>
      </c>
      <c r="H184" s="6" t="inlineStr">
        <is>
          <t>Hooper酸</t>
        </is>
      </c>
      <c r="I184" s="6" t="inlineStr">
        <is>
          <t>H总</t>
        </is>
      </c>
      <c r="J184" s="6" t="inlineStr">
        <is>
          <t>不适?</t>
        </is>
      </c>
      <c r="K184" s="6" t="inlineStr">
        <is>
          <t>说明</t>
        </is>
      </c>
      <c r="L184" s="6" t="inlineStr">
        <is>
          <t>CMJ1</t>
        </is>
      </c>
      <c r="M184" s="6" t="inlineStr">
        <is>
          <t>CMJ2</t>
        </is>
      </c>
      <c r="N184" s="6" t="inlineStr">
        <is>
          <t>CMJ3</t>
        </is>
      </c>
      <c r="O184" s="6" t="inlineStr">
        <is>
          <t>CMJμ</t>
        </is>
      </c>
      <c r="P184" s="6" t="inlineStr">
        <is>
          <t>&lt;95%</t>
        </is>
      </c>
      <c r="Q184" s="6" t="inlineStr">
        <is>
          <t>减组</t>
        </is>
      </c>
      <c r="R184" s="6" t="inlineStr">
        <is>
          <t>组数</t>
        </is>
      </c>
      <c r="S184" s="6" t="inlineStr">
        <is>
          <t>a(V0)</t>
        </is>
      </c>
      <c r="T184" s="6" t="inlineStr">
        <is>
          <t>b</t>
        </is>
      </c>
      <c r="U184" s="6" t="inlineStr">
        <is>
          <t>等级</t>
        </is>
      </c>
      <c r="V184" s="6" t="inlineStr">
        <is>
          <t>预测起始</t>
        </is>
      </c>
    </row>
    <row r="185">
      <c r="A185" s="7" t="inlineStr">
        <is>
          <t>P016</t>
        </is>
      </c>
      <c r="B185" s="7" t="inlineStr">
        <is>
          <t>杜遥</t>
        </is>
      </c>
      <c r="C185" s="7" t="n">
        <v>180</v>
      </c>
      <c r="D185" s="8" t="n">
        <v>135</v>
      </c>
      <c r="E185" s="9" t="n"/>
      <c r="F185" s="9" t="n"/>
      <c r="G185" s="9" t="n"/>
      <c r="H185" s="9" t="n"/>
      <c r="I185" s="7">
        <f>IFERROR(SUM(E185:H185),"")</f>
        <v/>
      </c>
      <c r="J185" s="9" t="n"/>
      <c r="K185" s="9" t="n"/>
      <c r="L185" s="9" t="n"/>
      <c r="M185" s="9" t="n"/>
      <c r="N185" s="9" t="n"/>
      <c r="O185" s="7">
        <f>IFERROR(AVERAGE(L185:N185),"")</f>
        <v/>
      </c>
      <c r="P185" s="7">
        <f>IF(O185="","",IF(O185&lt;49.75,"是⚠","否"))</f>
        <v/>
      </c>
      <c r="Q185" s="7">
        <f>IF(O185="","",IF(O185&lt;49.75,5-1,5))</f>
        <v/>
      </c>
      <c r="R185" s="7" t="n"/>
      <c r="S185" s="8" t="n">
        <v>1.54</v>
      </c>
      <c r="T185" s="8" t="n">
        <v>-0.008500000000000001</v>
      </c>
      <c r="U185" s="7" t="inlineStr">
        <is>
          <t>B</t>
        </is>
      </c>
      <c r="V185" s="8" t="n">
        <v>117.5</v>
      </c>
    </row>
    <row r="186">
      <c r="A186" s="10" t="inlineStr">
        <is>
          <t>热身校准</t>
        </is>
      </c>
      <c r="B186" s="10" t="inlineStr">
        <is>
          <t>a</t>
        </is>
      </c>
      <c r="C186" s="10" t="inlineStr">
        <is>
          <t>b</t>
        </is>
      </c>
      <c r="D186" s="10" t="inlineStr">
        <is>
          <t>50%热身</t>
        </is>
      </c>
      <c r="E186" s="10" t="inlineStr">
        <is>
          <t>70%热身</t>
        </is>
      </c>
      <c r="F186" s="10" t="inlineStr">
        <is>
          <t>热身负荷</t>
        </is>
      </c>
      <c r="G186" s="10" t="inlineStr">
        <is>
          <t>实测MCV</t>
        </is>
      </c>
      <c r="H186" s="10" t="inlineStr">
        <is>
          <t>预测MCV</t>
        </is>
      </c>
      <c r="I186" s="10" t="inlineStr">
        <is>
          <t>Δv</t>
        </is>
      </c>
      <c r="J186" s="10" t="inlineStr">
        <is>
          <t>调整量</t>
        </is>
      </c>
      <c r="K186" s="10" t="inlineStr">
        <is>
          <t>校准第1组</t>
        </is>
      </c>
    </row>
    <row r="187">
      <c r="A187" s="7" t="n"/>
      <c r="B187" s="11" t="n">
        <v>1.54</v>
      </c>
      <c r="C187" s="11" t="n">
        <v>-0.008500000000000001</v>
      </c>
      <c r="D187" s="11">
        <f>IFERROR(ROUND(V185*0.5/2.5,0)*2.5,"")</f>
        <v/>
      </c>
      <c r="E187" s="11">
        <f>IFERROR(ROUND(V185*0.7/2.5,0)*2.5,"")</f>
        <v/>
      </c>
      <c r="F187" s="11">
        <f>IFERROR(ROUND(V185*0.6/2.5,0)*2.5,"")</f>
        <v/>
      </c>
      <c r="G187" s="9" t="n"/>
      <c r="H187" s="11">
        <f>IFERROR(B187+C187*F187,"")</f>
        <v/>
      </c>
      <c r="I187" s="11">
        <f>IFERROR(G187-H187,"")</f>
        <v/>
      </c>
      <c r="J187" s="11">
        <f>IFERROR(IF(I187&gt;0.08,5,IF(I187&gt;0.04,2.5,IF(I187&gt;=-0.04,0,IF(I187&gt;=-0.08,-2.5,-5)))),"")</f>
        <v/>
      </c>
      <c r="K187" s="11">
        <f>IFERROR(ROUND(V185+J187,0),"")</f>
        <v/>
      </c>
    </row>
    <row r="188">
      <c r="A188" s="12" t="inlineStr">
        <is>
          <t>组</t>
        </is>
      </c>
      <c r="B188" s="12" t="inlineStr">
        <is>
          <t>负荷</t>
        </is>
      </c>
      <c r="C188" s="12" t="inlineStr">
        <is>
          <t>rep1</t>
        </is>
      </c>
      <c r="D188" s="12" t="inlineStr">
        <is>
          <t>rep2</t>
        </is>
      </c>
      <c r="E188" s="12" t="inlineStr">
        <is>
          <t>rep3</t>
        </is>
      </c>
      <c r="F188" s="12" t="inlineStr">
        <is>
          <t>rep4</t>
        </is>
      </c>
      <c r="G188" s="12" t="inlineStr">
        <is>
          <t>rep5</t>
        </is>
      </c>
      <c r="H188" s="12" t="inlineStr">
        <is>
          <t>rep6</t>
        </is>
      </c>
      <c r="I188" s="12" t="inlineStr">
        <is>
          <t>best</t>
        </is>
      </c>
      <c r="J188" s="12" t="inlineStr">
        <is>
          <t>best#</t>
        </is>
      </c>
      <c r="K188" s="12" t="inlineStr">
        <is>
          <t>VL%</t>
        </is>
      </c>
      <c r="L188" s="12" t="inlineStr">
        <is>
          <t>stop_th</t>
        </is>
      </c>
      <c r="M188" s="12" t="inlineStr">
        <is>
          <t>latest</t>
        </is>
      </c>
      <c r="N188" s="12" t="inlineStr">
        <is>
          <t>VL_flag</t>
        </is>
      </c>
      <c r="O188" s="12" t="inlineStr">
        <is>
          <t>safety</t>
        </is>
      </c>
      <c r="P188" s="12" t="inlineStr">
        <is>
          <t>原因</t>
        </is>
      </c>
      <c r="Q188" s="12" t="inlineStr">
        <is>
          <t>建议</t>
        </is>
      </c>
      <c r="R188" s="12" t="inlineStr">
        <is>
          <t>次数</t>
        </is>
      </c>
    </row>
    <row r="189">
      <c r="A189" s="7" t="n">
        <v>1</v>
      </c>
      <c r="B189" s="9">
        <f>IFERROR(K187,"")</f>
        <v/>
      </c>
      <c r="C189" s="9" t="n"/>
      <c r="D189" s="9" t="n"/>
      <c r="E189" s="9" t="n"/>
      <c r="F189" s="9" t="n"/>
      <c r="G189" s="9" t="n"/>
      <c r="H189" s="9" t="n"/>
      <c r="I189" s="7">
        <f>IFERROR(MAX(C189:H189),"")</f>
        <v/>
      </c>
      <c r="J189" s="7">
        <f>IFERROR(MATCH(I189,C189:H189,0),"")</f>
        <v/>
      </c>
      <c r="K189" s="7" t="n">
        <v>22</v>
      </c>
      <c r="L189" s="7">
        <f>IFERROR(I189*(1-(K189/100)),"")</f>
        <v/>
      </c>
      <c r="M189" s="7">
        <f>IFERROR(LOOKUP(9.99E+307,C189:H189),"")</f>
        <v/>
      </c>
      <c r="N189" s="7">
        <f>IFERROR(IF(M189="","",IF(M189&lt;=N189,"停组🛑","继续✓")),"")</f>
        <v/>
      </c>
      <c r="O189" s="7">
        <f>IFERROR(IF(M189="","",IF(M189&lt;0.15,"SAFETY_STOP","")),"")</f>
        <v/>
      </c>
      <c r="P189" s="7">
        <f>IFERROR(IF(M189="","",IF(M189&lt;0.15,"SAFETY_STOP",IF(M189&lt;=N189,"VL_THRESHOLD",""))),"")</f>
        <v/>
      </c>
      <c r="Q189" s="7">
        <f>IFERROR(IF(I189="","",IF(I189&gt;(0.55+0.05),"+5kg",IF(I189&gt;(0.55+0.02),"+2.5kg",IF(I189&gt;=(0.55-0.05),"保持",IF(I189&gt;=(0.55-0.08),"-2.5kg","-5kg"))))),"")</f>
        <v/>
      </c>
      <c r="R189" s="9" t="n"/>
    </row>
    <row r="190">
      <c r="A190" s="7" t="n">
        <v>2</v>
      </c>
      <c r="B190" s="9" t="n"/>
      <c r="C190" s="9" t="n"/>
      <c r="D190" s="9" t="n"/>
      <c r="E190" s="9" t="n"/>
      <c r="F190" s="9" t="n"/>
      <c r="G190" s="9" t="n"/>
      <c r="H190" s="9" t="n"/>
      <c r="I190" s="7">
        <f>IFERROR(MAX(C190:H190),"")</f>
        <v/>
      </c>
      <c r="J190" s="7">
        <f>IFERROR(MATCH(I190,C190:H190,0),"")</f>
        <v/>
      </c>
      <c r="K190" s="7" t="n">
        <v>22</v>
      </c>
      <c r="L190" s="7">
        <f>IFERROR(I190*(1-(K190/100)),"")</f>
        <v/>
      </c>
      <c r="M190" s="7">
        <f>IFERROR(LOOKUP(9.99E+307,C190:H190),"")</f>
        <v/>
      </c>
      <c r="N190" s="7">
        <f>IFERROR(IF(M190="","",IF(M190&lt;=N190,"停组🛑","继续✓")),"")</f>
        <v/>
      </c>
      <c r="O190" s="7">
        <f>IFERROR(IF(M190="","",IF(M190&lt;0.15,"SAFETY_STOP","")),"")</f>
        <v/>
      </c>
      <c r="P190" s="7">
        <f>IFERROR(IF(M190="","",IF(M190&lt;0.15,"SAFETY_STOP",IF(M190&lt;=N190,"VL_THRESHOLD",""))),"")</f>
        <v/>
      </c>
      <c r="Q190" s="7">
        <f>IFERROR(IF(I190="","",IF(I190&gt;(0.55+0.05),"+5kg",IF(I190&gt;(0.55+0.02),"+2.5kg",IF(I190&gt;=(0.55-0.05),"保持",IF(I190&gt;=(0.55-0.08),"-2.5kg","-5kg"))))),"")</f>
        <v/>
      </c>
      <c r="R190" s="9" t="n"/>
    </row>
    <row r="191">
      <c r="A191" s="7" t="n">
        <v>3</v>
      </c>
      <c r="B191" s="9" t="n"/>
      <c r="C191" s="9" t="n"/>
      <c r="D191" s="9" t="n"/>
      <c r="E191" s="9" t="n"/>
      <c r="F191" s="9" t="n"/>
      <c r="G191" s="9" t="n"/>
      <c r="H191" s="9" t="n"/>
      <c r="I191" s="7">
        <f>IFERROR(MAX(C191:H191),"")</f>
        <v/>
      </c>
      <c r="J191" s="7">
        <f>IFERROR(MATCH(I191,C191:H191,0),"")</f>
        <v/>
      </c>
      <c r="K191" s="7" t="n">
        <v>22</v>
      </c>
      <c r="L191" s="7">
        <f>IFERROR(I191*(1-(K191/100)),"")</f>
        <v/>
      </c>
      <c r="M191" s="7">
        <f>IFERROR(LOOKUP(9.99E+307,C191:H191),"")</f>
        <v/>
      </c>
      <c r="N191" s="7">
        <f>IFERROR(IF(M191="","",IF(M191&lt;=N191,"停组🛑","继续✓")),"")</f>
        <v/>
      </c>
      <c r="O191" s="7">
        <f>IFERROR(IF(M191="","",IF(M191&lt;0.15,"SAFETY_STOP","")),"")</f>
        <v/>
      </c>
      <c r="P191" s="7">
        <f>IFERROR(IF(M191="","",IF(M191&lt;0.15,"SAFETY_STOP",IF(M191&lt;=N191,"VL_THRESHOLD",""))),"")</f>
        <v/>
      </c>
      <c r="Q191" s="7">
        <f>IFERROR(IF(I191="","",IF(I191&gt;(0.55+0.05),"+5kg",IF(I191&gt;(0.55+0.02),"+2.5kg",IF(I191&gt;=(0.55-0.05),"保持",IF(I191&gt;=(0.55-0.08),"-2.5kg","-5kg"))))),"")</f>
        <v/>
      </c>
      <c r="R191" s="9" t="n"/>
    </row>
    <row r="192">
      <c r="A192" s="7" t="n">
        <v>4</v>
      </c>
      <c r="B192" s="9" t="n"/>
      <c r="C192" s="9" t="n"/>
      <c r="D192" s="9" t="n"/>
      <c r="E192" s="9" t="n"/>
      <c r="F192" s="9" t="n"/>
      <c r="G192" s="9" t="n"/>
      <c r="H192" s="9" t="n"/>
      <c r="I192" s="7">
        <f>IFERROR(MAX(C192:H192),"")</f>
        <v/>
      </c>
      <c r="J192" s="7">
        <f>IFERROR(MATCH(I192,C192:H192,0),"")</f>
        <v/>
      </c>
      <c r="K192" s="7" t="n">
        <v>22</v>
      </c>
      <c r="L192" s="7">
        <f>IFERROR(I192*(1-(K192/100)),"")</f>
        <v/>
      </c>
      <c r="M192" s="7">
        <f>IFERROR(LOOKUP(9.99E+307,C192:H192),"")</f>
        <v/>
      </c>
      <c r="N192" s="7">
        <f>IFERROR(IF(M192="","",IF(M192&lt;=N192,"停组🛑","继续✓")),"")</f>
        <v/>
      </c>
      <c r="O192" s="7">
        <f>IFERROR(IF(M192="","",IF(M192&lt;0.15,"SAFETY_STOP","")),"")</f>
        <v/>
      </c>
      <c r="P192" s="7">
        <f>IFERROR(IF(M192="","",IF(M192&lt;0.15,"SAFETY_STOP",IF(M192&lt;=N192,"VL_THRESHOLD",""))),"")</f>
        <v/>
      </c>
      <c r="Q192" s="7">
        <f>IFERROR(IF(I192="","",IF(I192&gt;(0.55+0.05),"+5kg",IF(I192&gt;(0.55+0.02),"+2.5kg",IF(I192&gt;=(0.55-0.05),"保持",IF(I192&gt;=(0.55-0.08),"-2.5kg","-5kg"))))),"")</f>
        <v/>
      </c>
      <c r="R192" s="9" t="n"/>
    </row>
    <row r="193">
      <c r="A193" s="7" t="n">
        <v>5</v>
      </c>
      <c r="B193" s="9" t="n"/>
      <c r="C193" s="9" t="n"/>
      <c r="D193" s="9" t="n"/>
      <c r="E193" s="9" t="n"/>
      <c r="F193" s="9" t="n"/>
      <c r="G193" s="9" t="n"/>
      <c r="H193" s="9" t="n"/>
      <c r="I193" s="7">
        <f>IFERROR(MAX(C193:H193),"")</f>
        <v/>
      </c>
      <c r="J193" s="7">
        <f>IFERROR(MATCH(I193,C193:H193,0),"")</f>
        <v/>
      </c>
      <c r="K193" s="7" t="n">
        <v>22</v>
      </c>
      <c r="L193" s="7">
        <f>IFERROR(I193*(1-(K193/100)),"")</f>
        <v/>
      </c>
      <c r="M193" s="7">
        <f>IFERROR(LOOKUP(9.99E+307,C193:H193),"")</f>
        <v/>
      </c>
      <c r="N193" s="7">
        <f>IFERROR(IF(M193="","",IF(M193&lt;=N193,"停组🛑","继续✓")),"")</f>
        <v/>
      </c>
      <c r="O193" s="7">
        <f>IFERROR(IF(M193="","",IF(M193&lt;0.15,"SAFETY_STOP","")),"")</f>
        <v/>
      </c>
      <c r="P193" s="7">
        <f>IFERROR(IF(M193="","",IF(M193&lt;0.15,"SAFETY_STOP",IF(M193&lt;=N193,"VL_THRESHOLD",""))),"")</f>
        <v/>
      </c>
      <c r="Q193" s="7">
        <f>IFERROR(IF(I193="","",IF(I193&gt;(0.55+0.05),"+5kg",IF(I193&gt;(0.55+0.02),"+2.5kg",IF(I193&gt;=(0.55-0.05),"保持",IF(I193&gt;=(0.55-0.08),"-2.5kg","-5kg"))))),"")</f>
        <v/>
      </c>
      <c r="R193" s="9" t="n"/>
    </row>
    <row r="194">
      <c r="A194" s="7" t="n">
        <v>6</v>
      </c>
      <c r="B194" s="9" t="n"/>
      <c r="C194" s="9" t="n"/>
      <c r="D194" s="9" t="n"/>
      <c r="E194" s="9" t="n"/>
      <c r="F194" s="9" t="n"/>
      <c r="G194" s="9" t="n"/>
      <c r="H194" s="9" t="n"/>
      <c r="I194" s="7">
        <f>IFERROR(MAX(C194:H194),"")</f>
        <v/>
      </c>
      <c r="J194" s="7">
        <f>IFERROR(MATCH(I194,C194:H194,0),"")</f>
        <v/>
      </c>
      <c r="K194" s="7" t="n">
        <v>22</v>
      </c>
      <c r="L194" s="7">
        <f>IFERROR(I194*(1-(K194/100)),"")</f>
        <v/>
      </c>
      <c r="M194" s="7">
        <f>IFERROR(LOOKUP(9.99E+307,C194:H194),"")</f>
        <v/>
      </c>
      <c r="N194" s="7">
        <f>IFERROR(IF(M194="","",IF(M194&lt;=N194,"停组🛑","继续✓")),"")</f>
        <v/>
      </c>
      <c r="O194" s="7">
        <f>IFERROR(IF(M194="","",IF(M194&lt;0.15,"SAFETY_STOP","")),"")</f>
        <v/>
      </c>
      <c r="P194" s="7">
        <f>IFERROR(IF(M194="","",IF(M194&lt;0.15,"SAFETY_STOP",IF(M194&lt;=N194,"VL_THRESHOLD",""))),"")</f>
        <v/>
      </c>
      <c r="Q194" s="7">
        <f>IFERROR(IF(I194="","",IF(I194&gt;(0.55+0.05),"+5kg",IF(I194&gt;(0.55+0.02),"+2.5kg",IF(I194&gt;=(0.55-0.05),"保持",IF(I194&gt;=(0.55-0.08),"-2.5kg","-5kg"))))),"")</f>
        <v/>
      </c>
      <c r="R194" s="9" t="n"/>
    </row>
    <row r="195">
      <c r="A195" s="13" t="inlineStr">
        <is>
          <t>辅助</t>
        </is>
      </c>
      <c r="D195" s="14" t="inlineStr">
        <is>
          <t>RDL</t>
        </is>
      </c>
      <c r="E195" s="14" t="inlineStr">
        <is>
          <t>负荷</t>
        </is>
      </c>
      <c r="F195" s="14" t="inlineStr">
        <is>
          <t>完成</t>
        </is>
      </c>
      <c r="I195" t="inlineStr">
        <is>
          <t>VL</t>
        </is>
      </c>
    </row>
    <row r="196">
      <c r="A196" s="15" t="inlineStr">
        <is>
          <t>训练后</t>
        </is>
      </c>
      <c r="B196" s="15" t="inlineStr">
        <is>
          <t>开始</t>
        </is>
      </c>
      <c r="C196" s="15" t="inlineStr">
        <is>
          <t>结束</t>
        </is>
      </c>
      <c r="D196" s="15" t="inlineStr">
        <is>
          <t>时长min</t>
        </is>
      </c>
      <c r="E196" s="15" t="inlineStr">
        <is>
          <t>sRPE</t>
        </is>
      </c>
      <c r="F196" s="15" t="inlineStr">
        <is>
          <t>load</t>
        </is>
      </c>
      <c r="G196" s="15" t="inlineStr">
        <is>
          <t>不适?</t>
        </is>
      </c>
      <c r="H196" s="15" t="inlineStr">
        <is>
          <t>备注</t>
        </is>
      </c>
      <c r="I196" s="15" t="inlineStr">
        <is>
          <t>签名</t>
        </is>
      </c>
    </row>
    <row r="197">
      <c r="A197" s="7" t="n"/>
      <c r="B197" s="9" t="n"/>
      <c r="C197" s="9" t="n"/>
      <c r="D197" s="11">
        <f>IFERROR((C197-B197)*1440,"")</f>
        <v/>
      </c>
      <c r="E197" s="9" t="n"/>
      <c r="F197" s="11">
        <f>IFERROR(E197*D197,"")</f>
        <v/>
      </c>
      <c r="G197" s="9" t="n"/>
      <c r="H197" s="9" t="n"/>
      <c r="I197" s="9" t="n"/>
    </row>
    <row r="198">
      <c r="A198" s="16" t="inlineStr">
        <is>
          <t>跳跃</t>
        </is>
      </c>
      <c r="B198" s="16" t="inlineStr">
        <is>
          <t>类型</t>
        </is>
      </c>
      <c r="C198" s="16" t="inlineStr">
        <is>
          <t>组×次</t>
        </is>
      </c>
      <c r="D198" s="16" t="inlineStr">
        <is>
          <t>负荷kg</t>
        </is>
      </c>
      <c r="E198" s="16" t="inlineStr">
        <is>
          <t>接触</t>
        </is>
      </c>
    </row>
    <row r="199">
      <c r="B199" t="inlineStr">
        <is>
          <t>CMJ</t>
        </is>
      </c>
      <c r="C199" t="inlineStr">
        <is>
          <t>3×3</t>
        </is>
      </c>
      <c r="D199" t="n">
        <v>0</v>
      </c>
      <c r="E199" t="n">
        <v>9</v>
      </c>
    </row>
    <row r="200">
      <c r="B200" t="inlineStr">
        <is>
          <t>箱跳</t>
        </is>
      </c>
      <c r="C200" t="inlineStr">
        <is>
          <t>2×3</t>
        </is>
      </c>
      <c r="D200" t="n">
        <v>0</v>
      </c>
      <c r="E200" t="n">
        <v>6</v>
      </c>
    </row>
    <row r="201">
      <c r="A201" s="17" t="inlineStr">
        <is>
          <t>▶ 暴露量汇总</t>
        </is>
      </c>
      <c r="B201" s="17" t="inlineStr">
        <is>
          <t>说明</t>
        </is>
      </c>
      <c r="C201" s="17" t="inlineStr">
        <is>
          <t>公式/来源</t>
        </is>
      </c>
      <c r="D201" s="17" t="inlineStr">
        <is>
          <t>数值</t>
        </is>
      </c>
    </row>
    <row r="202">
      <c r="A202" s="18" t="inlineStr">
        <is>
          <t>① 无负荷跳跃接触</t>
        </is>
      </c>
      <c r="B202" s="18" t="inlineStr">
        <is>
          <t>CMJ+SJ+箱跳</t>
        </is>
      </c>
      <c r="C202" s="19">
        <f>IFERROR(E199+E200,2)</f>
        <v/>
      </c>
    </row>
    <row r="203">
      <c r="A203" s="18" t="inlineStr">
        <is>
          <t>② 负重跳跃接触</t>
        </is>
      </c>
      <c r="B203" s="18" t="inlineStr">
        <is>
          <t>负重深蹲跳</t>
        </is>
      </c>
      <c r="C203" s="19">
        <f>IFERROR(E199,"")</f>
        <v/>
      </c>
    </row>
    <row r="204">
      <c r="A204" s="18" t="inlineStr">
        <is>
          <t>③ 跳跃总计</t>
        </is>
      </c>
      <c r="B204" s="18" t="inlineStr">
        <is>
          <t>①+②</t>
        </is>
      </c>
      <c r="C204" s="19">
        <f>IFERROR(B202+B203,"")</f>
        <v/>
      </c>
    </row>
    <row r="205">
      <c r="A205" s="18" t="inlineStr">
        <is>
          <t>④ 热身VL</t>
        </is>
      </c>
      <c r="B205" s="18" t="inlineStr">
        <is>
          <t>20×5+50%×3(+70%×2)</t>
        </is>
      </c>
      <c r="C205" s="19">
        <f>IFERROR(20*5+ROUND(V185*0.5,0)*3+ROUND(V{dr}*0.7,0)*2,"-")</f>
        <v/>
      </c>
    </row>
    <row r="206">
      <c r="A206" s="20" t="inlineStr">
        <is>
          <t>⑤ 主项工作组VL ★</t>
        </is>
      </c>
      <c r="B206" s="20" t="inlineStr">
        <is>
          <t>Σ(负荷×次数)</t>
        </is>
      </c>
      <c r="C206" s="21">
        <f>SUMPRODUCT($B$189:$B$194,$R$189:$R$194)</f>
        <v/>
      </c>
    </row>
    <row r="207">
      <c r="A207" s="18" t="inlineStr">
        <is>
          <t>⑥ 主项总VL</t>
        </is>
      </c>
      <c r="B207" s="18" t="inlineStr">
        <is>
          <t>④+⑤</t>
        </is>
      </c>
      <c r="C207" s="19">
        <f>IFERROR(D202+D203,"")</f>
        <v/>
      </c>
    </row>
    <row r="208">
      <c r="A208" s="18" t="inlineStr">
        <is>
          <t>⑦ 辅助VL</t>
        </is>
      </c>
      <c r="B208" s="18" t="inlineStr">
        <is>
          <t>RDL/保加利亚</t>
        </is>
      </c>
      <c r="C208" s="19">
        <f>IFERROR(I195,"")</f>
        <v/>
      </c>
    </row>
    <row r="209">
      <c r="A209" s="18" t="inlineStr">
        <is>
          <t>⑧ 总外部负荷</t>
        </is>
      </c>
      <c r="B209" s="18" t="inlineStr">
        <is>
          <t>⑥+⑦(+负重跳)</t>
        </is>
      </c>
      <c r="C209" s="19">
        <f>IFERROR(F202+G202,"")</f>
        <v/>
      </c>
    </row>
    <row r="210">
      <c r="A210" s="18" t="inlineStr">
        <is>
          <t>⑨ sRPE load</t>
        </is>
      </c>
      <c r="B210" s="18" t="inlineStr">
        <is>
          <t>sRPE×时长</t>
        </is>
      </c>
      <c r="C210" s="19">
        <f>IFERROR(F197,"")</f>
        <v/>
      </c>
    </row>
    <row r="213">
      <c r="A213" s="5" t="inlineStr">
        <is>
          <t>P025 范芳忠  a=1.77 b=-0.0105 1RM=135</t>
        </is>
      </c>
    </row>
    <row r="214">
      <c r="A214" s="6" t="inlineStr">
        <is>
          <t>编号</t>
        </is>
      </c>
      <c r="B214" s="6" t="inlineStr">
        <is>
          <t>姓名</t>
        </is>
      </c>
      <c r="C214" s="6" t="inlineStr">
        <is>
          <t>身高</t>
        </is>
      </c>
      <c r="D214" s="6" t="inlineStr">
        <is>
          <t>1RM</t>
        </is>
      </c>
      <c r="E214" s="6" t="inlineStr">
        <is>
          <t>Hooper睡</t>
        </is>
      </c>
      <c r="F214" s="6" t="inlineStr">
        <is>
          <t>Hooper压</t>
        </is>
      </c>
      <c r="G214" s="6" t="inlineStr">
        <is>
          <t>Hooper疲</t>
        </is>
      </c>
      <c r="H214" s="6" t="inlineStr">
        <is>
          <t>Hooper酸</t>
        </is>
      </c>
      <c r="I214" s="6" t="inlineStr">
        <is>
          <t>H总</t>
        </is>
      </c>
      <c r="J214" s="6" t="inlineStr">
        <is>
          <t>不适?</t>
        </is>
      </c>
      <c r="K214" s="6" t="inlineStr">
        <is>
          <t>说明</t>
        </is>
      </c>
      <c r="L214" s="6" t="inlineStr">
        <is>
          <t>CMJ1</t>
        </is>
      </c>
      <c r="M214" s="6" t="inlineStr">
        <is>
          <t>CMJ2</t>
        </is>
      </c>
      <c r="N214" s="6" t="inlineStr">
        <is>
          <t>CMJ3</t>
        </is>
      </c>
      <c r="O214" s="6" t="inlineStr">
        <is>
          <t>CMJμ</t>
        </is>
      </c>
      <c r="P214" s="6" t="inlineStr">
        <is>
          <t>&lt;95%</t>
        </is>
      </c>
      <c r="Q214" s="6" t="inlineStr">
        <is>
          <t>减组</t>
        </is>
      </c>
      <c r="R214" s="6" t="inlineStr">
        <is>
          <t>组数</t>
        </is>
      </c>
      <c r="S214" s="6" t="inlineStr">
        <is>
          <t>a(V0)</t>
        </is>
      </c>
      <c r="T214" s="6" t="inlineStr">
        <is>
          <t>b</t>
        </is>
      </c>
      <c r="U214" s="6" t="inlineStr">
        <is>
          <t>等级</t>
        </is>
      </c>
      <c r="V214" s="6" t="inlineStr">
        <is>
          <t>预测起始</t>
        </is>
      </c>
    </row>
    <row r="215">
      <c r="A215" s="7" t="inlineStr">
        <is>
          <t>P025</t>
        </is>
      </c>
      <c r="B215" s="7" t="inlineStr">
        <is>
          <t>范芳忠</t>
        </is>
      </c>
      <c r="C215" s="7" t="n">
        <v>178</v>
      </c>
      <c r="D215" s="8" t="n">
        <v>135</v>
      </c>
      <c r="E215" s="9" t="n"/>
      <c r="F215" s="9" t="n"/>
      <c r="G215" s="9" t="n"/>
      <c r="H215" s="9" t="n"/>
      <c r="I215" s="7">
        <f>IFERROR(SUM(E215:H215),"")</f>
        <v/>
      </c>
      <c r="J215" s="9" t="n"/>
      <c r="K215" s="9" t="n"/>
      <c r="L215" s="9" t="n"/>
      <c r="M215" s="9" t="n"/>
      <c r="N215" s="9" t="n"/>
      <c r="O215" s="7">
        <f>IFERROR(AVERAGE(L215:N215),"")</f>
        <v/>
      </c>
      <c r="P215" s="7">
        <f>IF(O215="","",IF(O215&lt;58.43,"是⚠","否"))</f>
        <v/>
      </c>
      <c r="Q215" s="7">
        <f>IF(O215="","",IF(O215&lt;58.43,5-1,5))</f>
        <v/>
      </c>
      <c r="R215" s="7" t="n"/>
      <c r="S215" s="8" t="n">
        <v>1.77</v>
      </c>
      <c r="T215" s="8" t="n">
        <v>-0.0105</v>
      </c>
      <c r="U215" s="7" t="inlineStr">
        <is>
          <t>A</t>
        </is>
      </c>
      <c r="V215" s="8" t="n">
        <v>115</v>
      </c>
    </row>
    <row r="216">
      <c r="A216" s="10" t="inlineStr">
        <is>
          <t>热身校准</t>
        </is>
      </c>
      <c r="B216" s="10" t="inlineStr">
        <is>
          <t>a</t>
        </is>
      </c>
      <c r="C216" s="10" t="inlineStr">
        <is>
          <t>b</t>
        </is>
      </c>
      <c r="D216" s="10" t="inlineStr">
        <is>
          <t>50%热身</t>
        </is>
      </c>
      <c r="E216" s="10" t="inlineStr">
        <is>
          <t>70%热身</t>
        </is>
      </c>
      <c r="F216" s="10" t="inlineStr">
        <is>
          <t>热身负荷</t>
        </is>
      </c>
      <c r="G216" s="10" t="inlineStr">
        <is>
          <t>实测MCV</t>
        </is>
      </c>
      <c r="H216" s="10" t="inlineStr">
        <is>
          <t>预测MCV</t>
        </is>
      </c>
      <c r="I216" s="10" t="inlineStr">
        <is>
          <t>Δv</t>
        </is>
      </c>
      <c r="J216" s="10" t="inlineStr">
        <is>
          <t>调整量</t>
        </is>
      </c>
      <c r="K216" s="10" t="inlineStr">
        <is>
          <t>校准第1组</t>
        </is>
      </c>
    </row>
    <row r="217">
      <c r="A217" s="7" t="n"/>
      <c r="B217" s="11" t="n">
        <v>1.77</v>
      </c>
      <c r="C217" s="11" t="n">
        <v>-0.0105</v>
      </c>
      <c r="D217" s="11">
        <f>IFERROR(ROUND(V215*0.5/2.5,0)*2.5,"")</f>
        <v/>
      </c>
      <c r="E217" s="11">
        <f>IFERROR(ROUND(V215*0.7/2.5,0)*2.5,"")</f>
        <v/>
      </c>
      <c r="F217" s="11">
        <f>IFERROR(ROUND(V215*0.6/2.5,0)*2.5,"")</f>
        <v/>
      </c>
      <c r="G217" s="9" t="n"/>
      <c r="H217" s="11">
        <f>IFERROR(B217+C217*F217,"")</f>
        <v/>
      </c>
      <c r="I217" s="11">
        <f>IFERROR(G217-H217,"")</f>
        <v/>
      </c>
      <c r="J217" s="11">
        <f>IFERROR(IF(I217&gt;0.08,5,IF(I217&gt;0.04,2.5,IF(I217&gt;=-0.04,0,IF(I217&gt;=-0.08,-2.5,-5)))),"")</f>
        <v/>
      </c>
      <c r="K217" s="11">
        <f>IFERROR(ROUND(V215+J217,0),"")</f>
        <v/>
      </c>
    </row>
    <row r="218">
      <c r="A218" s="12" t="inlineStr">
        <is>
          <t>组</t>
        </is>
      </c>
      <c r="B218" s="12" t="inlineStr">
        <is>
          <t>负荷</t>
        </is>
      </c>
      <c r="C218" s="12" t="inlineStr">
        <is>
          <t>rep1</t>
        </is>
      </c>
      <c r="D218" s="12" t="inlineStr">
        <is>
          <t>rep2</t>
        </is>
      </c>
      <c r="E218" s="12" t="inlineStr">
        <is>
          <t>rep3</t>
        </is>
      </c>
      <c r="F218" s="12" t="inlineStr">
        <is>
          <t>rep4</t>
        </is>
      </c>
      <c r="G218" s="12" t="inlineStr">
        <is>
          <t>rep5</t>
        </is>
      </c>
      <c r="H218" s="12" t="inlineStr">
        <is>
          <t>rep6</t>
        </is>
      </c>
      <c r="I218" s="12" t="inlineStr">
        <is>
          <t>best</t>
        </is>
      </c>
      <c r="J218" s="12" t="inlineStr">
        <is>
          <t>best#</t>
        </is>
      </c>
      <c r="K218" s="12" t="inlineStr">
        <is>
          <t>VL%</t>
        </is>
      </c>
      <c r="L218" s="12" t="inlineStr">
        <is>
          <t>stop_th</t>
        </is>
      </c>
      <c r="M218" s="12" t="inlineStr">
        <is>
          <t>latest</t>
        </is>
      </c>
      <c r="N218" s="12" t="inlineStr">
        <is>
          <t>VL_flag</t>
        </is>
      </c>
      <c r="O218" s="12" t="inlineStr">
        <is>
          <t>safety</t>
        </is>
      </c>
      <c r="P218" s="12" t="inlineStr">
        <is>
          <t>原因</t>
        </is>
      </c>
      <c r="Q218" s="12" t="inlineStr">
        <is>
          <t>建议</t>
        </is>
      </c>
      <c r="R218" s="12" t="inlineStr">
        <is>
          <t>次数</t>
        </is>
      </c>
    </row>
    <row r="219">
      <c r="A219" s="7" t="n">
        <v>1</v>
      </c>
      <c r="B219" s="9">
        <f>IFERROR(K217,"")</f>
        <v/>
      </c>
      <c r="C219" s="9" t="n"/>
      <c r="D219" s="9" t="n"/>
      <c r="E219" s="9" t="n"/>
      <c r="F219" s="9" t="n"/>
      <c r="G219" s="9" t="n"/>
      <c r="H219" s="9" t="n"/>
      <c r="I219" s="7">
        <f>IFERROR(MAX(C219:H219),"")</f>
        <v/>
      </c>
      <c r="J219" s="7">
        <f>IFERROR(MATCH(I219,C219:H219,0),"")</f>
        <v/>
      </c>
      <c r="K219" s="7" t="n">
        <v>22</v>
      </c>
      <c r="L219" s="7">
        <f>IFERROR(I219*(1-(K219/100)),"")</f>
        <v/>
      </c>
      <c r="M219" s="7">
        <f>IFERROR(LOOKUP(9.99E+307,C219:H219),"")</f>
        <v/>
      </c>
      <c r="N219" s="7">
        <f>IFERROR(IF(M219="","",IF(M219&lt;=N219,"停组🛑","继续✓")),"")</f>
        <v/>
      </c>
      <c r="O219" s="7">
        <f>IFERROR(IF(M219="","",IF(M219&lt;0.15,"SAFETY_STOP","")),"")</f>
        <v/>
      </c>
      <c r="P219" s="7">
        <f>IFERROR(IF(M219="","",IF(M219&lt;0.15,"SAFETY_STOP",IF(M219&lt;=N219,"VL_THRESHOLD",""))),"")</f>
        <v/>
      </c>
      <c r="Q219" s="7">
        <f>IFERROR(IF(I219="","",IF(I219&gt;(0.55+0.05),"+5kg",IF(I219&gt;(0.55+0.02),"+2.5kg",IF(I219&gt;=(0.55-0.05),"保持",IF(I219&gt;=(0.55-0.08),"-2.5kg","-5kg"))))),"")</f>
        <v/>
      </c>
      <c r="R219" s="9" t="n"/>
    </row>
    <row r="220">
      <c r="A220" s="7" t="n">
        <v>2</v>
      </c>
      <c r="B220" s="9" t="n"/>
      <c r="C220" s="9" t="n"/>
      <c r="D220" s="9" t="n"/>
      <c r="E220" s="9" t="n"/>
      <c r="F220" s="9" t="n"/>
      <c r="G220" s="9" t="n"/>
      <c r="H220" s="9" t="n"/>
      <c r="I220" s="7">
        <f>IFERROR(MAX(C220:H220),"")</f>
        <v/>
      </c>
      <c r="J220" s="7">
        <f>IFERROR(MATCH(I220,C220:H220,0),"")</f>
        <v/>
      </c>
      <c r="K220" s="7" t="n">
        <v>22</v>
      </c>
      <c r="L220" s="7">
        <f>IFERROR(I220*(1-(K220/100)),"")</f>
        <v/>
      </c>
      <c r="M220" s="7">
        <f>IFERROR(LOOKUP(9.99E+307,C220:H220),"")</f>
        <v/>
      </c>
      <c r="N220" s="7">
        <f>IFERROR(IF(M220="","",IF(M220&lt;=N220,"停组🛑","继续✓")),"")</f>
        <v/>
      </c>
      <c r="O220" s="7">
        <f>IFERROR(IF(M220="","",IF(M220&lt;0.15,"SAFETY_STOP","")),"")</f>
        <v/>
      </c>
      <c r="P220" s="7">
        <f>IFERROR(IF(M220="","",IF(M220&lt;0.15,"SAFETY_STOP",IF(M220&lt;=N220,"VL_THRESHOLD",""))),"")</f>
        <v/>
      </c>
      <c r="Q220" s="7">
        <f>IFERROR(IF(I220="","",IF(I220&gt;(0.55+0.05),"+5kg",IF(I220&gt;(0.55+0.02),"+2.5kg",IF(I220&gt;=(0.55-0.05),"保持",IF(I220&gt;=(0.55-0.08),"-2.5kg","-5kg"))))),"")</f>
        <v/>
      </c>
      <c r="R220" s="9" t="n"/>
    </row>
    <row r="221">
      <c r="A221" s="7" t="n">
        <v>3</v>
      </c>
      <c r="B221" s="9" t="n"/>
      <c r="C221" s="9" t="n"/>
      <c r="D221" s="9" t="n"/>
      <c r="E221" s="9" t="n"/>
      <c r="F221" s="9" t="n"/>
      <c r="G221" s="9" t="n"/>
      <c r="H221" s="9" t="n"/>
      <c r="I221" s="7">
        <f>IFERROR(MAX(C221:H221),"")</f>
        <v/>
      </c>
      <c r="J221" s="7">
        <f>IFERROR(MATCH(I221,C221:H221,0),"")</f>
        <v/>
      </c>
      <c r="K221" s="7" t="n">
        <v>22</v>
      </c>
      <c r="L221" s="7">
        <f>IFERROR(I221*(1-(K221/100)),"")</f>
        <v/>
      </c>
      <c r="M221" s="7">
        <f>IFERROR(LOOKUP(9.99E+307,C221:H221),"")</f>
        <v/>
      </c>
      <c r="N221" s="7">
        <f>IFERROR(IF(M221="","",IF(M221&lt;=N221,"停组🛑","继续✓")),"")</f>
        <v/>
      </c>
      <c r="O221" s="7">
        <f>IFERROR(IF(M221="","",IF(M221&lt;0.15,"SAFETY_STOP","")),"")</f>
        <v/>
      </c>
      <c r="P221" s="7">
        <f>IFERROR(IF(M221="","",IF(M221&lt;0.15,"SAFETY_STOP",IF(M221&lt;=N221,"VL_THRESHOLD",""))),"")</f>
        <v/>
      </c>
      <c r="Q221" s="7">
        <f>IFERROR(IF(I221="","",IF(I221&gt;(0.55+0.05),"+5kg",IF(I221&gt;(0.55+0.02),"+2.5kg",IF(I221&gt;=(0.55-0.05),"保持",IF(I221&gt;=(0.55-0.08),"-2.5kg","-5kg"))))),"")</f>
        <v/>
      </c>
      <c r="R221" s="9" t="n"/>
    </row>
    <row r="222">
      <c r="A222" s="7" t="n">
        <v>4</v>
      </c>
      <c r="B222" s="9" t="n"/>
      <c r="C222" s="9" t="n"/>
      <c r="D222" s="9" t="n"/>
      <c r="E222" s="9" t="n"/>
      <c r="F222" s="9" t="n"/>
      <c r="G222" s="9" t="n"/>
      <c r="H222" s="9" t="n"/>
      <c r="I222" s="7">
        <f>IFERROR(MAX(C222:H222),"")</f>
        <v/>
      </c>
      <c r="J222" s="7">
        <f>IFERROR(MATCH(I222,C222:H222,0),"")</f>
        <v/>
      </c>
      <c r="K222" s="7" t="n">
        <v>22</v>
      </c>
      <c r="L222" s="7">
        <f>IFERROR(I222*(1-(K222/100)),"")</f>
        <v/>
      </c>
      <c r="M222" s="7">
        <f>IFERROR(LOOKUP(9.99E+307,C222:H222),"")</f>
        <v/>
      </c>
      <c r="N222" s="7">
        <f>IFERROR(IF(M222="","",IF(M222&lt;=N222,"停组🛑","继续✓")),"")</f>
        <v/>
      </c>
      <c r="O222" s="7">
        <f>IFERROR(IF(M222="","",IF(M222&lt;0.15,"SAFETY_STOP","")),"")</f>
        <v/>
      </c>
      <c r="P222" s="7">
        <f>IFERROR(IF(M222="","",IF(M222&lt;0.15,"SAFETY_STOP",IF(M222&lt;=N222,"VL_THRESHOLD",""))),"")</f>
        <v/>
      </c>
      <c r="Q222" s="7">
        <f>IFERROR(IF(I222="","",IF(I222&gt;(0.55+0.05),"+5kg",IF(I222&gt;(0.55+0.02),"+2.5kg",IF(I222&gt;=(0.55-0.05),"保持",IF(I222&gt;=(0.55-0.08),"-2.5kg","-5kg"))))),"")</f>
        <v/>
      </c>
      <c r="R222" s="9" t="n"/>
    </row>
    <row r="223">
      <c r="A223" s="7" t="n">
        <v>5</v>
      </c>
      <c r="B223" s="9" t="n"/>
      <c r="C223" s="9" t="n"/>
      <c r="D223" s="9" t="n"/>
      <c r="E223" s="9" t="n"/>
      <c r="F223" s="9" t="n"/>
      <c r="G223" s="9" t="n"/>
      <c r="H223" s="9" t="n"/>
      <c r="I223" s="7">
        <f>IFERROR(MAX(C223:H223),"")</f>
        <v/>
      </c>
      <c r="J223" s="7">
        <f>IFERROR(MATCH(I223,C223:H223,0),"")</f>
        <v/>
      </c>
      <c r="K223" s="7" t="n">
        <v>22</v>
      </c>
      <c r="L223" s="7">
        <f>IFERROR(I223*(1-(K223/100)),"")</f>
        <v/>
      </c>
      <c r="M223" s="7">
        <f>IFERROR(LOOKUP(9.99E+307,C223:H223),"")</f>
        <v/>
      </c>
      <c r="N223" s="7">
        <f>IFERROR(IF(M223="","",IF(M223&lt;=N223,"停组🛑","继续✓")),"")</f>
        <v/>
      </c>
      <c r="O223" s="7">
        <f>IFERROR(IF(M223="","",IF(M223&lt;0.15,"SAFETY_STOP","")),"")</f>
        <v/>
      </c>
      <c r="P223" s="7">
        <f>IFERROR(IF(M223="","",IF(M223&lt;0.15,"SAFETY_STOP",IF(M223&lt;=N223,"VL_THRESHOLD",""))),"")</f>
        <v/>
      </c>
      <c r="Q223" s="7">
        <f>IFERROR(IF(I223="","",IF(I223&gt;(0.55+0.05),"+5kg",IF(I223&gt;(0.55+0.02),"+2.5kg",IF(I223&gt;=(0.55-0.05),"保持",IF(I223&gt;=(0.55-0.08),"-2.5kg","-5kg"))))),"")</f>
        <v/>
      </c>
      <c r="R223" s="9" t="n"/>
    </row>
    <row r="224">
      <c r="A224" s="7" t="n">
        <v>6</v>
      </c>
      <c r="B224" s="9" t="n"/>
      <c r="C224" s="9" t="n"/>
      <c r="D224" s="9" t="n"/>
      <c r="E224" s="9" t="n"/>
      <c r="F224" s="9" t="n"/>
      <c r="G224" s="9" t="n"/>
      <c r="H224" s="9" t="n"/>
      <c r="I224" s="7">
        <f>IFERROR(MAX(C224:H224),"")</f>
        <v/>
      </c>
      <c r="J224" s="7">
        <f>IFERROR(MATCH(I224,C224:H224,0),"")</f>
        <v/>
      </c>
      <c r="K224" s="7" t="n">
        <v>22</v>
      </c>
      <c r="L224" s="7">
        <f>IFERROR(I224*(1-(K224/100)),"")</f>
        <v/>
      </c>
      <c r="M224" s="7">
        <f>IFERROR(LOOKUP(9.99E+307,C224:H224),"")</f>
        <v/>
      </c>
      <c r="N224" s="7">
        <f>IFERROR(IF(M224="","",IF(M224&lt;=N224,"停组🛑","继续✓")),"")</f>
        <v/>
      </c>
      <c r="O224" s="7">
        <f>IFERROR(IF(M224="","",IF(M224&lt;0.15,"SAFETY_STOP","")),"")</f>
        <v/>
      </c>
      <c r="P224" s="7">
        <f>IFERROR(IF(M224="","",IF(M224&lt;0.15,"SAFETY_STOP",IF(M224&lt;=N224,"VL_THRESHOLD",""))),"")</f>
        <v/>
      </c>
      <c r="Q224" s="7">
        <f>IFERROR(IF(I224="","",IF(I224&gt;(0.55+0.05),"+5kg",IF(I224&gt;(0.55+0.02),"+2.5kg",IF(I224&gt;=(0.55-0.05),"保持",IF(I224&gt;=(0.55-0.08),"-2.5kg","-5kg"))))),"")</f>
        <v/>
      </c>
      <c r="R224" s="9" t="n"/>
    </row>
    <row r="225">
      <c r="A225" s="13" t="inlineStr">
        <is>
          <t>辅助</t>
        </is>
      </c>
      <c r="D225" s="14" t="inlineStr">
        <is>
          <t>RDL</t>
        </is>
      </c>
      <c r="E225" s="14" t="inlineStr">
        <is>
          <t>负荷</t>
        </is>
      </c>
      <c r="F225" s="14" t="inlineStr">
        <is>
          <t>完成</t>
        </is>
      </c>
      <c r="I225" t="inlineStr">
        <is>
          <t>VL</t>
        </is>
      </c>
    </row>
    <row r="226">
      <c r="A226" s="15" t="inlineStr">
        <is>
          <t>训练后</t>
        </is>
      </c>
      <c r="B226" s="15" t="inlineStr">
        <is>
          <t>开始</t>
        </is>
      </c>
      <c r="C226" s="15" t="inlineStr">
        <is>
          <t>结束</t>
        </is>
      </c>
      <c r="D226" s="15" t="inlineStr">
        <is>
          <t>时长min</t>
        </is>
      </c>
      <c r="E226" s="15" t="inlineStr">
        <is>
          <t>sRPE</t>
        </is>
      </c>
      <c r="F226" s="15" t="inlineStr">
        <is>
          <t>load</t>
        </is>
      </c>
      <c r="G226" s="15" t="inlineStr">
        <is>
          <t>不适?</t>
        </is>
      </c>
      <c r="H226" s="15" t="inlineStr">
        <is>
          <t>备注</t>
        </is>
      </c>
      <c r="I226" s="15" t="inlineStr">
        <is>
          <t>签名</t>
        </is>
      </c>
    </row>
    <row r="227">
      <c r="A227" s="7" t="n"/>
      <c r="B227" s="9" t="n"/>
      <c r="C227" s="9" t="n"/>
      <c r="D227" s="11">
        <f>IFERROR((C227-B227)*1440,"")</f>
        <v/>
      </c>
      <c r="E227" s="9" t="n"/>
      <c r="F227" s="11">
        <f>IFERROR(E227*D227,"")</f>
        <v/>
      </c>
      <c r="G227" s="9" t="n"/>
      <c r="H227" s="9" t="n"/>
      <c r="I227" s="9" t="n"/>
    </row>
    <row r="228">
      <c r="A228" s="16" t="inlineStr">
        <is>
          <t>跳跃</t>
        </is>
      </c>
      <c r="B228" s="16" t="inlineStr">
        <is>
          <t>类型</t>
        </is>
      </c>
      <c r="C228" s="16" t="inlineStr">
        <is>
          <t>组×次</t>
        </is>
      </c>
      <c r="D228" s="16" t="inlineStr">
        <is>
          <t>负荷kg</t>
        </is>
      </c>
      <c r="E228" s="16" t="inlineStr">
        <is>
          <t>接触</t>
        </is>
      </c>
    </row>
    <row r="229">
      <c r="B229" t="inlineStr">
        <is>
          <t>CMJ</t>
        </is>
      </c>
      <c r="C229" t="inlineStr">
        <is>
          <t>3×3</t>
        </is>
      </c>
      <c r="D229" t="n">
        <v>0</v>
      </c>
      <c r="E229" t="n">
        <v>9</v>
      </c>
    </row>
    <row r="230">
      <c r="B230" t="inlineStr">
        <is>
          <t>箱跳</t>
        </is>
      </c>
      <c r="C230" t="inlineStr">
        <is>
          <t>2×3</t>
        </is>
      </c>
      <c r="D230" t="n">
        <v>0</v>
      </c>
      <c r="E230" t="n">
        <v>6</v>
      </c>
    </row>
    <row r="231">
      <c r="A231" s="17" t="inlineStr">
        <is>
          <t>▶ 暴露量汇总</t>
        </is>
      </c>
      <c r="B231" s="17" t="inlineStr">
        <is>
          <t>说明</t>
        </is>
      </c>
      <c r="C231" s="17" t="inlineStr">
        <is>
          <t>公式/来源</t>
        </is>
      </c>
      <c r="D231" s="17" t="inlineStr">
        <is>
          <t>数值</t>
        </is>
      </c>
    </row>
    <row r="232">
      <c r="A232" s="18" t="inlineStr">
        <is>
          <t>① 无负荷跳跃接触</t>
        </is>
      </c>
      <c r="B232" s="18" t="inlineStr">
        <is>
          <t>CMJ+SJ+箱跳</t>
        </is>
      </c>
      <c r="C232" s="19">
        <f>IFERROR(E229+E230,2)</f>
        <v/>
      </c>
    </row>
    <row r="233">
      <c r="A233" s="18" t="inlineStr">
        <is>
          <t>② 负重跳跃接触</t>
        </is>
      </c>
      <c r="B233" s="18" t="inlineStr">
        <is>
          <t>负重深蹲跳</t>
        </is>
      </c>
      <c r="C233" s="19">
        <f>IFERROR(E229,"")</f>
        <v/>
      </c>
    </row>
    <row r="234">
      <c r="A234" s="18" t="inlineStr">
        <is>
          <t>③ 跳跃总计</t>
        </is>
      </c>
      <c r="B234" s="18" t="inlineStr">
        <is>
          <t>①+②</t>
        </is>
      </c>
      <c r="C234" s="19">
        <f>IFERROR(B232+B233,"")</f>
        <v/>
      </c>
    </row>
    <row r="235">
      <c r="A235" s="18" t="inlineStr">
        <is>
          <t>④ 热身VL</t>
        </is>
      </c>
      <c r="B235" s="18" t="inlineStr">
        <is>
          <t>20×5+50%×3(+70%×2)</t>
        </is>
      </c>
      <c r="C235" s="19">
        <f>IFERROR(20*5+ROUND(V215*0.5,0)*3+ROUND(V{dr}*0.7,0)*2,"-")</f>
        <v/>
      </c>
    </row>
    <row r="236">
      <c r="A236" s="20" t="inlineStr">
        <is>
          <t>⑤ 主项工作组VL ★</t>
        </is>
      </c>
      <c r="B236" s="20" t="inlineStr">
        <is>
          <t>Σ(负荷×次数)</t>
        </is>
      </c>
      <c r="C236" s="21">
        <f>SUMPRODUCT($B$219:$B$224,$R$219:$R$224)</f>
        <v/>
      </c>
    </row>
    <row r="237">
      <c r="A237" s="18" t="inlineStr">
        <is>
          <t>⑥ 主项总VL</t>
        </is>
      </c>
      <c r="B237" s="18" t="inlineStr">
        <is>
          <t>④+⑤</t>
        </is>
      </c>
      <c r="C237" s="19">
        <f>IFERROR(D232+D233,"")</f>
        <v/>
      </c>
    </row>
    <row r="238">
      <c r="A238" s="18" t="inlineStr">
        <is>
          <t>⑦ 辅助VL</t>
        </is>
      </c>
      <c r="B238" s="18" t="inlineStr">
        <is>
          <t>RDL/保加利亚</t>
        </is>
      </c>
      <c r="C238" s="19">
        <f>IFERROR(I225,"")</f>
        <v/>
      </c>
    </row>
    <row r="239">
      <c r="A239" s="18" t="inlineStr">
        <is>
          <t>⑧ 总外部负荷</t>
        </is>
      </c>
      <c r="B239" s="18" t="inlineStr">
        <is>
          <t>⑥+⑦(+负重跳)</t>
        </is>
      </c>
      <c r="C239" s="19">
        <f>IFERROR(F232+G232,"")</f>
        <v/>
      </c>
    </row>
    <row r="240">
      <c r="A240" s="18" t="inlineStr">
        <is>
          <t>⑨ sRPE load</t>
        </is>
      </c>
      <c r="B240" s="18" t="inlineStr">
        <is>
          <t>sRPE×时长</t>
        </is>
      </c>
      <c r="C240" s="19">
        <f>IFERROR(F227,"")</f>
        <v/>
      </c>
    </row>
    <row r="243">
      <c r="A243" s="5" t="inlineStr">
        <is>
          <t>P018 孟维宇  a=1.71 b=-0.0105 1RM=122.5</t>
        </is>
      </c>
    </row>
    <row r="244">
      <c r="A244" s="6" t="inlineStr">
        <is>
          <t>编号</t>
        </is>
      </c>
      <c r="B244" s="6" t="inlineStr">
        <is>
          <t>姓名</t>
        </is>
      </c>
      <c r="C244" s="6" t="inlineStr">
        <is>
          <t>身高</t>
        </is>
      </c>
      <c r="D244" s="6" t="inlineStr">
        <is>
          <t>1RM</t>
        </is>
      </c>
      <c r="E244" s="6" t="inlineStr">
        <is>
          <t>Hooper睡</t>
        </is>
      </c>
      <c r="F244" s="6" t="inlineStr">
        <is>
          <t>Hooper压</t>
        </is>
      </c>
      <c r="G244" s="6" t="inlineStr">
        <is>
          <t>Hooper疲</t>
        </is>
      </c>
      <c r="H244" s="6" t="inlineStr">
        <is>
          <t>Hooper酸</t>
        </is>
      </c>
      <c r="I244" s="6" t="inlineStr">
        <is>
          <t>H总</t>
        </is>
      </c>
      <c r="J244" s="6" t="inlineStr">
        <is>
          <t>不适?</t>
        </is>
      </c>
      <c r="K244" s="6" t="inlineStr">
        <is>
          <t>说明</t>
        </is>
      </c>
      <c r="L244" s="6" t="inlineStr">
        <is>
          <t>CMJ1</t>
        </is>
      </c>
      <c r="M244" s="6" t="inlineStr">
        <is>
          <t>CMJ2</t>
        </is>
      </c>
      <c r="N244" s="6" t="inlineStr">
        <is>
          <t>CMJ3</t>
        </is>
      </c>
      <c r="O244" s="6" t="inlineStr">
        <is>
          <t>CMJμ</t>
        </is>
      </c>
      <c r="P244" s="6" t="inlineStr">
        <is>
          <t>&lt;95%</t>
        </is>
      </c>
      <c r="Q244" s="6" t="inlineStr">
        <is>
          <t>减组</t>
        </is>
      </c>
      <c r="R244" s="6" t="inlineStr">
        <is>
          <t>组数</t>
        </is>
      </c>
      <c r="S244" s="6" t="inlineStr">
        <is>
          <t>a(V0)</t>
        </is>
      </c>
      <c r="T244" s="6" t="inlineStr">
        <is>
          <t>b</t>
        </is>
      </c>
      <c r="U244" s="6" t="inlineStr">
        <is>
          <t>等级</t>
        </is>
      </c>
      <c r="V244" s="6" t="inlineStr">
        <is>
          <t>预测起始</t>
        </is>
      </c>
    </row>
    <row r="245">
      <c r="A245" s="7" t="inlineStr">
        <is>
          <t>P018</t>
        </is>
      </c>
      <c r="B245" s="7" t="inlineStr">
        <is>
          <t>孟维宇</t>
        </is>
      </c>
      <c r="C245" s="7" t="n">
        <v>173</v>
      </c>
      <c r="D245" s="8" t="n">
        <v>122.5</v>
      </c>
      <c r="E245" s="9" t="n"/>
      <c r="F245" s="9" t="n"/>
      <c r="G245" s="9" t="n"/>
      <c r="H245" s="9" t="n"/>
      <c r="I245" s="7">
        <f>IFERROR(SUM(E245:H245),"")</f>
        <v/>
      </c>
      <c r="J245" s="9" t="n"/>
      <c r="K245" s="9" t="n"/>
      <c r="L245" s="9" t="n"/>
      <c r="M245" s="9" t="n"/>
      <c r="N245" s="9" t="n"/>
      <c r="O245" s="7">
        <f>IFERROR(AVERAGE(L245:N245),"")</f>
        <v/>
      </c>
      <c r="P245" s="7">
        <f>IF(O245="","",IF(O245&lt;52.6,"是⚠","否"))</f>
        <v/>
      </c>
      <c r="Q245" s="7">
        <f>IF(O245="","",IF(O245&lt;52.6,5-1,5))</f>
        <v/>
      </c>
      <c r="R245" s="7" t="n"/>
      <c r="S245" s="8" t="n">
        <v>1.71</v>
      </c>
      <c r="T245" s="8" t="n">
        <v>-0.0105</v>
      </c>
      <c r="U245" s="7" t="inlineStr">
        <is>
          <t>B</t>
        </is>
      </c>
      <c r="V245" s="8" t="n">
        <v>110</v>
      </c>
    </row>
    <row r="246">
      <c r="A246" s="10" t="inlineStr">
        <is>
          <t>热身校准</t>
        </is>
      </c>
      <c r="B246" s="10" t="inlineStr">
        <is>
          <t>a</t>
        </is>
      </c>
      <c r="C246" s="10" t="inlineStr">
        <is>
          <t>b</t>
        </is>
      </c>
      <c r="D246" s="10" t="inlineStr">
        <is>
          <t>50%热身</t>
        </is>
      </c>
      <c r="E246" s="10" t="inlineStr">
        <is>
          <t>70%热身</t>
        </is>
      </c>
      <c r="F246" s="10" t="inlineStr">
        <is>
          <t>热身负荷</t>
        </is>
      </c>
      <c r="G246" s="10" t="inlineStr">
        <is>
          <t>实测MCV</t>
        </is>
      </c>
      <c r="H246" s="10" t="inlineStr">
        <is>
          <t>预测MCV</t>
        </is>
      </c>
      <c r="I246" s="10" t="inlineStr">
        <is>
          <t>Δv</t>
        </is>
      </c>
      <c r="J246" s="10" t="inlineStr">
        <is>
          <t>调整量</t>
        </is>
      </c>
      <c r="K246" s="10" t="inlineStr">
        <is>
          <t>校准第1组</t>
        </is>
      </c>
    </row>
    <row r="247">
      <c r="A247" s="7" t="n"/>
      <c r="B247" s="11" t="n">
        <v>1.71</v>
      </c>
      <c r="C247" s="11" t="n">
        <v>-0.0105</v>
      </c>
      <c r="D247" s="11">
        <f>IFERROR(ROUND(V245*0.5/2.5,0)*2.5,"")</f>
        <v/>
      </c>
      <c r="E247" s="11">
        <f>IFERROR(ROUND(V245*0.7/2.5,0)*2.5,"")</f>
        <v/>
      </c>
      <c r="F247" s="11">
        <f>IFERROR(ROUND(V245*0.6/2.5,0)*2.5,"")</f>
        <v/>
      </c>
      <c r="G247" s="9" t="n"/>
      <c r="H247" s="11">
        <f>IFERROR(B247+C247*F247,"")</f>
        <v/>
      </c>
      <c r="I247" s="11">
        <f>IFERROR(G247-H247,"")</f>
        <v/>
      </c>
      <c r="J247" s="11">
        <f>IFERROR(IF(I247&gt;0.08,5,IF(I247&gt;0.04,2.5,IF(I247&gt;=-0.04,0,IF(I247&gt;=-0.08,-2.5,-5)))),"")</f>
        <v/>
      </c>
      <c r="K247" s="11">
        <f>IFERROR(ROUND(V245+J247,0),"")</f>
        <v/>
      </c>
    </row>
    <row r="248">
      <c r="A248" s="12" t="inlineStr">
        <is>
          <t>组</t>
        </is>
      </c>
      <c r="B248" s="12" t="inlineStr">
        <is>
          <t>负荷</t>
        </is>
      </c>
      <c r="C248" s="12" t="inlineStr">
        <is>
          <t>rep1</t>
        </is>
      </c>
      <c r="D248" s="12" t="inlineStr">
        <is>
          <t>rep2</t>
        </is>
      </c>
      <c r="E248" s="12" t="inlineStr">
        <is>
          <t>rep3</t>
        </is>
      </c>
      <c r="F248" s="12" t="inlineStr">
        <is>
          <t>rep4</t>
        </is>
      </c>
      <c r="G248" s="12" t="inlineStr">
        <is>
          <t>rep5</t>
        </is>
      </c>
      <c r="H248" s="12" t="inlineStr">
        <is>
          <t>rep6</t>
        </is>
      </c>
      <c r="I248" s="12" t="inlineStr">
        <is>
          <t>best</t>
        </is>
      </c>
      <c r="J248" s="12" t="inlineStr">
        <is>
          <t>best#</t>
        </is>
      </c>
      <c r="K248" s="12" t="inlineStr">
        <is>
          <t>VL%</t>
        </is>
      </c>
      <c r="L248" s="12" t="inlineStr">
        <is>
          <t>stop_th</t>
        </is>
      </c>
      <c r="M248" s="12" t="inlineStr">
        <is>
          <t>latest</t>
        </is>
      </c>
      <c r="N248" s="12" t="inlineStr">
        <is>
          <t>VL_flag</t>
        </is>
      </c>
      <c r="O248" s="12" t="inlineStr">
        <is>
          <t>safety</t>
        </is>
      </c>
      <c r="P248" s="12" t="inlineStr">
        <is>
          <t>原因</t>
        </is>
      </c>
      <c r="Q248" s="12" t="inlineStr">
        <is>
          <t>建议</t>
        </is>
      </c>
      <c r="R248" s="12" t="inlineStr">
        <is>
          <t>次数</t>
        </is>
      </c>
    </row>
    <row r="249">
      <c r="A249" s="7" t="n">
        <v>1</v>
      </c>
      <c r="B249" s="9">
        <f>IFERROR(K247,"")</f>
        <v/>
      </c>
      <c r="C249" s="9" t="n"/>
      <c r="D249" s="9" t="n"/>
      <c r="E249" s="9" t="n"/>
      <c r="F249" s="9" t="n"/>
      <c r="G249" s="9" t="n"/>
      <c r="H249" s="9" t="n"/>
      <c r="I249" s="7">
        <f>IFERROR(MAX(C249:H249),"")</f>
        <v/>
      </c>
      <c r="J249" s="7">
        <f>IFERROR(MATCH(I249,C249:H249,0),"")</f>
        <v/>
      </c>
      <c r="K249" s="7" t="n">
        <v>22</v>
      </c>
      <c r="L249" s="7">
        <f>IFERROR(I249*(1-(K249/100)),"")</f>
        <v/>
      </c>
      <c r="M249" s="7">
        <f>IFERROR(LOOKUP(9.99E+307,C249:H249),"")</f>
        <v/>
      </c>
      <c r="N249" s="7">
        <f>IFERROR(IF(M249="","",IF(M249&lt;=N249,"停组🛑","继续✓")),"")</f>
        <v/>
      </c>
      <c r="O249" s="7">
        <f>IFERROR(IF(M249="","",IF(M249&lt;0.15,"SAFETY_STOP","")),"")</f>
        <v/>
      </c>
      <c r="P249" s="7">
        <f>IFERROR(IF(M249="","",IF(M249&lt;0.15,"SAFETY_STOP",IF(M249&lt;=N249,"VL_THRESHOLD",""))),"")</f>
        <v/>
      </c>
      <c r="Q249" s="7">
        <f>IFERROR(IF(I249="","",IF(I249&gt;(0.55+0.05),"+5kg",IF(I249&gt;(0.55+0.02),"+2.5kg",IF(I249&gt;=(0.55-0.05),"保持",IF(I249&gt;=(0.55-0.08),"-2.5kg","-5kg"))))),"")</f>
        <v/>
      </c>
      <c r="R249" s="9" t="n"/>
    </row>
    <row r="250">
      <c r="A250" s="7" t="n">
        <v>2</v>
      </c>
      <c r="B250" s="9" t="n"/>
      <c r="C250" s="9" t="n"/>
      <c r="D250" s="9" t="n"/>
      <c r="E250" s="9" t="n"/>
      <c r="F250" s="9" t="n"/>
      <c r="G250" s="9" t="n"/>
      <c r="H250" s="9" t="n"/>
      <c r="I250" s="7">
        <f>IFERROR(MAX(C250:H250),"")</f>
        <v/>
      </c>
      <c r="J250" s="7">
        <f>IFERROR(MATCH(I250,C250:H250,0),"")</f>
        <v/>
      </c>
      <c r="K250" s="7" t="n">
        <v>22</v>
      </c>
      <c r="L250" s="7">
        <f>IFERROR(I250*(1-(K250/100)),"")</f>
        <v/>
      </c>
      <c r="M250" s="7">
        <f>IFERROR(LOOKUP(9.99E+307,C250:H250),"")</f>
        <v/>
      </c>
      <c r="N250" s="7">
        <f>IFERROR(IF(M250="","",IF(M250&lt;=N250,"停组🛑","继续✓")),"")</f>
        <v/>
      </c>
      <c r="O250" s="7">
        <f>IFERROR(IF(M250="","",IF(M250&lt;0.15,"SAFETY_STOP","")),"")</f>
        <v/>
      </c>
      <c r="P250" s="7">
        <f>IFERROR(IF(M250="","",IF(M250&lt;0.15,"SAFETY_STOP",IF(M250&lt;=N250,"VL_THRESHOLD",""))),"")</f>
        <v/>
      </c>
      <c r="Q250" s="7">
        <f>IFERROR(IF(I250="","",IF(I250&gt;(0.55+0.05),"+5kg",IF(I250&gt;(0.55+0.02),"+2.5kg",IF(I250&gt;=(0.55-0.05),"保持",IF(I250&gt;=(0.55-0.08),"-2.5kg","-5kg"))))),"")</f>
        <v/>
      </c>
      <c r="R250" s="9" t="n"/>
    </row>
    <row r="251">
      <c r="A251" s="7" t="n">
        <v>3</v>
      </c>
      <c r="B251" s="9" t="n"/>
      <c r="C251" s="9" t="n"/>
      <c r="D251" s="9" t="n"/>
      <c r="E251" s="9" t="n"/>
      <c r="F251" s="9" t="n"/>
      <c r="G251" s="9" t="n"/>
      <c r="H251" s="9" t="n"/>
      <c r="I251" s="7">
        <f>IFERROR(MAX(C251:H251),"")</f>
        <v/>
      </c>
      <c r="J251" s="7">
        <f>IFERROR(MATCH(I251,C251:H251,0),"")</f>
        <v/>
      </c>
      <c r="K251" s="7" t="n">
        <v>22</v>
      </c>
      <c r="L251" s="7">
        <f>IFERROR(I251*(1-(K251/100)),"")</f>
        <v/>
      </c>
      <c r="M251" s="7">
        <f>IFERROR(LOOKUP(9.99E+307,C251:H251),"")</f>
        <v/>
      </c>
      <c r="N251" s="7">
        <f>IFERROR(IF(M251="","",IF(M251&lt;=N251,"停组🛑","继续✓")),"")</f>
        <v/>
      </c>
      <c r="O251" s="7">
        <f>IFERROR(IF(M251="","",IF(M251&lt;0.15,"SAFETY_STOP","")),"")</f>
        <v/>
      </c>
      <c r="P251" s="7">
        <f>IFERROR(IF(M251="","",IF(M251&lt;0.15,"SAFETY_STOP",IF(M251&lt;=N251,"VL_THRESHOLD",""))),"")</f>
        <v/>
      </c>
      <c r="Q251" s="7">
        <f>IFERROR(IF(I251="","",IF(I251&gt;(0.55+0.05),"+5kg",IF(I251&gt;(0.55+0.02),"+2.5kg",IF(I251&gt;=(0.55-0.05),"保持",IF(I251&gt;=(0.55-0.08),"-2.5kg","-5kg"))))),"")</f>
        <v/>
      </c>
      <c r="R251" s="9" t="n"/>
    </row>
    <row r="252">
      <c r="A252" s="7" t="n">
        <v>4</v>
      </c>
      <c r="B252" s="9" t="n"/>
      <c r="C252" s="9" t="n"/>
      <c r="D252" s="9" t="n"/>
      <c r="E252" s="9" t="n"/>
      <c r="F252" s="9" t="n"/>
      <c r="G252" s="9" t="n"/>
      <c r="H252" s="9" t="n"/>
      <c r="I252" s="7">
        <f>IFERROR(MAX(C252:H252),"")</f>
        <v/>
      </c>
      <c r="J252" s="7">
        <f>IFERROR(MATCH(I252,C252:H252,0),"")</f>
        <v/>
      </c>
      <c r="K252" s="7" t="n">
        <v>22</v>
      </c>
      <c r="L252" s="7">
        <f>IFERROR(I252*(1-(K252/100)),"")</f>
        <v/>
      </c>
      <c r="M252" s="7">
        <f>IFERROR(LOOKUP(9.99E+307,C252:H252),"")</f>
        <v/>
      </c>
      <c r="N252" s="7">
        <f>IFERROR(IF(M252="","",IF(M252&lt;=N252,"停组🛑","继续✓")),"")</f>
        <v/>
      </c>
      <c r="O252" s="7">
        <f>IFERROR(IF(M252="","",IF(M252&lt;0.15,"SAFETY_STOP","")),"")</f>
        <v/>
      </c>
      <c r="P252" s="7">
        <f>IFERROR(IF(M252="","",IF(M252&lt;0.15,"SAFETY_STOP",IF(M252&lt;=N252,"VL_THRESHOLD",""))),"")</f>
        <v/>
      </c>
      <c r="Q252" s="7">
        <f>IFERROR(IF(I252="","",IF(I252&gt;(0.55+0.05),"+5kg",IF(I252&gt;(0.55+0.02),"+2.5kg",IF(I252&gt;=(0.55-0.05),"保持",IF(I252&gt;=(0.55-0.08),"-2.5kg","-5kg"))))),"")</f>
        <v/>
      </c>
      <c r="R252" s="9" t="n"/>
    </row>
    <row r="253">
      <c r="A253" s="7" t="n">
        <v>5</v>
      </c>
      <c r="B253" s="9" t="n"/>
      <c r="C253" s="9" t="n"/>
      <c r="D253" s="9" t="n"/>
      <c r="E253" s="9" t="n"/>
      <c r="F253" s="9" t="n"/>
      <c r="G253" s="9" t="n"/>
      <c r="H253" s="9" t="n"/>
      <c r="I253" s="7">
        <f>IFERROR(MAX(C253:H253),"")</f>
        <v/>
      </c>
      <c r="J253" s="7">
        <f>IFERROR(MATCH(I253,C253:H253,0),"")</f>
        <v/>
      </c>
      <c r="K253" s="7" t="n">
        <v>22</v>
      </c>
      <c r="L253" s="7">
        <f>IFERROR(I253*(1-(K253/100)),"")</f>
        <v/>
      </c>
      <c r="M253" s="7">
        <f>IFERROR(LOOKUP(9.99E+307,C253:H253),"")</f>
        <v/>
      </c>
      <c r="N253" s="7">
        <f>IFERROR(IF(M253="","",IF(M253&lt;=N253,"停组🛑","继续✓")),"")</f>
        <v/>
      </c>
      <c r="O253" s="7">
        <f>IFERROR(IF(M253="","",IF(M253&lt;0.15,"SAFETY_STOP","")),"")</f>
        <v/>
      </c>
      <c r="P253" s="7">
        <f>IFERROR(IF(M253="","",IF(M253&lt;0.15,"SAFETY_STOP",IF(M253&lt;=N253,"VL_THRESHOLD",""))),"")</f>
        <v/>
      </c>
      <c r="Q253" s="7">
        <f>IFERROR(IF(I253="","",IF(I253&gt;(0.55+0.05),"+5kg",IF(I253&gt;(0.55+0.02),"+2.5kg",IF(I253&gt;=(0.55-0.05),"保持",IF(I253&gt;=(0.55-0.08),"-2.5kg","-5kg"))))),"")</f>
        <v/>
      </c>
      <c r="R253" s="9" t="n"/>
    </row>
    <row r="254">
      <c r="A254" s="7" t="n">
        <v>6</v>
      </c>
      <c r="B254" s="9" t="n"/>
      <c r="C254" s="9" t="n"/>
      <c r="D254" s="9" t="n"/>
      <c r="E254" s="9" t="n"/>
      <c r="F254" s="9" t="n"/>
      <c r="G254" s="9" t="n"/>
      <c r="H254" s="9" t="n"/>
      <c r="I254" s="7">
        <f>IFERROR(MAX(C254:H254),"")</f>
        <v/>
      </c>
      <c r="J254" s="7">
        <f>IFERROR(MATCH(I254,C254:H254,0),"")</f>
        <v/>
      </c>
      <c r="K254" s="7" t="n">
        <v>22</v>
      </c>
      <c r="L254" s="7">
        <f>IFERROR(I254*(1-(K254/100)),"")</f>
        <v/>
      </c>
      <c r="M254" s="7">
        <f>IFERROR(LOOKUP(9.99E+307,C254:H254),"")</f>
        <v/>
      </c>
      <c r="N254" s="7">
        <f>IFERROR(IF(M254="","",IF(M254&lt;=N254,"停组🛑","继续✓")),"")</f>
        <v/>
      </c>
      <c r="O254" s="7">
        <f>IFERROR(IF(M254="","",IF(M254&lt;0.15,"SAFETY_STOP","")),"")</f>
        <v/>
      </c>
      <c r="P254" s="7">
        <f>IFERROR(IF(M254="","",IF(M254&lt;0.15,"SAFETY_STOP",IF(M254&lt;=N254,"VL_THRESHOLD",""))),"")</f>
        <v/>
      </c>
      <c r="Q254" s="7">
        <f>IFERROR(IF(I254="","",IF(I254&gt;(0.55+0.05),"+5kg",IF(I254&gt;(0.55+0.02),"+2.5kg",IF(I254&gt;=(0.55-0.05),"保持",IF(I254&gt;=(0.55-0.08),"-2.5kg","-5kg"))))),"")</f>
        <v/>
      </c>
      <c r="R254" s="9" t="n"/>
    </row>
    <row r="255">
      <c r="A255" s="13" t="inlineStr">
        <is>
          <t>辅助</t>
        </is>
      </c>
      <c r="D255" s="14" t="inlineStr">
        <is>
          <t>RDL</t>
        </is>
      </c>
      <c r="E255" s="14" t="inlineStr">
        <is>
          <t>负荷</t>
        </is>
      </c>
      <c r="F255" s="14" t="inlineStr">
        <is>
          <t>完成</t>
        </is>
      </c>
      <c r="I255" t="inlineStr">
        <is>
          <t>VL</t>
        </is>
      </c>
    </row>
    <row r="256">
      <c r="A256" s="15" t="inlineStr">
        <is>
          <t>训练后</t>
        </is>
      </c>
      <c r="B256" s="15" t="inlineStr">
        <is>
          <t>开始</t>
        </is>
      </c>
      <c r="C256" s="15" t="inlineStr">
        <is>
          <t>结束</t>
        </is>
      </c>
      <c r="D256" s="15" t="inlineStr">
        <is>
          <t>时长min</t>
        </is>
      </c>
      <c r="E256" s="15" t="inlineStr">
        <is>
          <t>sRPE</t>
        </is>
      </c>
      <c r="F256" s="15" t="inlineStr">
        <is>
          <t>load</t>
        </is>
      </c>
      <c r="G256" s="15" t="inlineStr">
        <is>
          <t>不适?</t>
        </is>
      </c>
      <c r="H256" s="15" t="inlineStr">
        <is>
          <t>备注</t>
        </is>
      </c>
      <c r="I256" s="15" t="inlineStr">
        <is>
          <t>签名</t>
        </is>
      </c>
    </row>
    <row r="257">
      <c r="A257" s="7" t="n"/>
      <c r="B257" s="9" t="n"/>
      <c r="C257" s="9" t="n"/>
      <c r="D257" s="11">
        <f>IFERROR((C257-B257)*1440,"")</f>
        <v/>
      </c>
      <c r="E257" s="9" t="n"/>
      <c r="F257" s="11">
        <f>IFERROR(E257*D257,"")</f>
        <v/>
      </c>
      <c r="G257" s="9" t="n"/>
      <c r="H257" s="9" t="n"/>
      <c r="I257" s="9" t="n"/>
    </row>
    <row r="258">
      <c r="A258" s="16" t="inlineStr">
        <is>
          <t>跳跃</t>
        </is>
      </c>
      <c r="B258" s="16" t="inlineStr">
        <is>
          <t>类型</t>
        </is>
      </c>
      <c r="C258" s="16" t="inlineStr">
        <is>
          <t>组×次</t>
        </is>
      </c>
      <c r="D258" s="16" t="inlineStr">
        <is>
          <t>负荷kg</t>
        </is>
      </c>
      <c r="E258" s="16" t="inlineStr">
        <is>
          <t>接触</t>
        </is>
      </c>
    </row>
    <row r="259">
      <c r="B259" t="inlineStr">
        <is>
          <t>CMJ</t>
        </is>
      </c>
      <c r="C259" t="inlineStr">
        <is>
          <t>3×3</t>
        </is>
      </c>
      <c r="D259" t="n">
        <v>0</v>
      </c>
      <c r="E259" t="n">
        <v>9</v>
      </c>
    </row>
    <row r="260">
      <c r="B260" t="inlineStr">
        <is>
          <t>箱跳</t>
        </is>
      </c>
      <c r="C260" t="inlineStr">
        <is>
          <t>2×3</t>
        </is>
      </c>
      <c r="D260" t="n">
        <v>0</v>
      </c>
      <c r="E260" t="n">
        <v>6</v>
      </c>
    </row>
    <row r="261">
      <c r="A261" s="17" t="inlineStr">
        <is>
          <t>▶ 暴露量汇总</t>
        </is>
      </c>
      <c r="B261" s="17" t="inlineStr">
        <is>
          <t>说明</t>
        </is>
      </c>
      <c r="C261" s="17" t="inlineStr">
        <is>
          <t>公式/来源</t>
        </is>
      </c>
      <c r="D261" s="17" t="inlineStr">
        <is>
          <t>数值</t>
        </is>
      </c>
    </row>
    <row r="262">
      <c r="A262" s="18" t="inlineStr">
        <is>
          <t>① 无负荷跳跃接触</t>
        </is>
      </c>
      <c r="B262" s="18" t="inlineStr">
        <is>
          <t>CMJ+SJ+箱跳</t>
        </is>
      </c>
      <c r="C262" s="19">
        <f>IFERROR(E259+E260,2)</f>
        <v/>
      </c>
    </row>
    <row r="263">
      <c r="A263" s="18" t="inlineStr">
        <is>
          <t>② 负重跳跃接触</t>
        </is>
      </c>
      <c r="B263" s="18" t="inlineStr">
        <is>
          <t>负重深蹲跳</t>
        </is>
      </c>
      <c r="C263" s="19">
        <f>IFERROR(E259,"")</f>
        <v/>
      </c>
    </row>
    <row r="264">
      <c r="A264" s="18" t="inlineStr">
        <is>
          <t>③ 跳跃总计</t>
        </is>
      </c>
      <c r="B264" s="18" t="inlineStr">
        <is>
          <t>①+②</t>
        </is>
      </c>
      <c r="C264" s="19">
        <f>IFERROR(B262+B263,"")</f>
        <v/>
      </c>
    </row>
    <row r="265">
      <c r="A265" s="18" t="inlineStr">
        <is>
          <t>④ 热身VL</t>
        </is>
      </c>
      <c r="B265" s="18" t="inlineStr">
        <is>
          <t>20×5+50%×3(+70%×2)</t>
        </is>
      </c>
      <c r="C265" s="19">
        <f>IFERROR(20*5+ROUND(V245*0.5,0)*3+ROUND(V{dr}*0.7,0)*2,"-")</f>
        <v/>
      </c>
    </row>
    <row r="266">
      <c r="A266" s="20" t="inlineStr">
        <is>
          <t>⑤ 主项工作组VL ★</t>
        </is>
      </c>
      <c r="B266" s="20" t="inlineStr">
        <is>
          <t>Σ(负荷×次数)</t>
        </is>
      </c>
      <c r="C266" s="21">
        <f>SUMPRODUCT($B$249:$B$254,$R$249:$R$254)</f>
        <v/>
      </c>
    </row>
    <row r="267">
      <c r="A267" s="18" t="inlineStr">
        <is>
          <t>⑥ 主项总VL</t>
        </is>
      </c>
      <c r="B267" s="18" t="inlineStr">
        <is>
          <t>④+⑤</t>
        </is>
      </c>
      <c r="C267" s="19">
        <f>IFERROR(D262+D263,"")</f>
        <v/>
      </c>
    </row>
    <row r="268">
      <c r="A268" s="18" t="inlineStr">
        <is>
          <t>⑦ 辅助VL</t>
        </is>
      </c>
      <c r="B268" s="18" t="inlineStr">
        <is>
          <t>RDL/保加利亚</t>
        </is>
      </c>
      <c r="C268" s="19">
        <f>IFERROR(I255,"")</f>
        <v/>
      </c>
    </row>
    <row r="269">
      <c r="A269" s="18" t="inlineStr">
        <is>
          <t>⑧ 总外部负荷</t>
        </is>
      </c>
      <c r="B269" s="18" t="inlineStr">
        <is>
          <t>⑥+⑦(+负重跳)</t>
        </is>
      </c>
      <c r="C269" s="19">
        <f>IFERROR(F262+G262,"")</f>
        <v/>
      </c>
    </row>
    <row r="270">
      <c r="A270" s="18" t="inlineStr">
        <is>
          <t>⑨ sRPE load</t>
        </is>
      </c>
      <c r="B270" s="18" t="inlineStr">
        <is>
          <t>sRPE×时长</t>
        </is>
      </c>
      <c r="C270" s="19">
        <f>IFERROR(F257,"")</f>
        <v/>
      </c>
    </row>
    <row r="273">
      <c r="A273" s="5" t="inlineStr">
        <is>
          <t>P026 古翔宇  a=1.64 b=-0.00975 1RM=135</t>
        </is>
      </c>
    </row>
    <row r="274">
      <c r="A274" s="6" t="inlineStr">
        <is>
          <t>编号</t>
        </is>
      </c>
      <c r="B274" s="6" t="inlineStr">
        <is>
          <t>姓名</t>
        </is>
      </c>
      <c r="C274" s="6" t="inlineStr">
        <is>
          <t>身高</t>
        </is>
      </c>
      <c r="D274" s="6" t="inlineStr">
        <is>
          <t>1RM</t>
        </is>
      </c>
      <c r="E274" s="6" t="inlineStr">
        <is>
          <t>Hooper睡</t>
        </is>
      </c>
      <c r="F274" s="6" t="inlineStr">
        <is>
          <t>Hooper压</t>
        </is>
      </c>
      <c r="G274" s="6" t="inlineStr">
        <is>
          <t>Hooper疲</t>
        </is>
      </c>
      <c r="H274" s="6" t="inlineStr">
        <is>
          <t>Hooper酸</t>
        </is>
      </c>
      <c r="I274" s="6" t="inlineStr">
        <is>
          <t>H总</t>
        </is>
      </c>
      <c r="J274" s="6" t="inlineStr">
        <is>
          <t>不适?</t>
        </is>
      </c>
      <c r="K274" s="6" t="inlineStr">
        <is>
          <t>说明</t>
        </is>
      </c>
      <c r="L274" s="6" t="inlineStr">
        <is>
          <t>CMJ1</t>
        </is>
      </c>
      <c r="M274" s="6" t="inlineStr">
        <is>
          <t>CMJ2</t>
        </is>
      </c>
      <c r="N274" s="6" t="inlineStr">
        <is>
          <t>CMJ3</t>
        </is>
      </c>
      <c r="O274" s="6" t="inlineStr">
        <is>
          <t>CMJμ</t>
        </is>
      </c>
      <c r="P274" s="6" t="inlineStr">
        <is>
          <t>&lt;95%</t>
        </is>
      </c>
      <c r="Q274" s="6" t="inlineStr">
        <is>
          <t>减组</t>
        </is>
      </c>
      <c r="R274" s="6" t="inlineStr">
        <is>
          <t>组数</t>
        </is>
      </c>
      <c r="S274" s="6" t="inlineStr">
        <is>
          <t>a(V0)</t>
        </is>
      </c>
      <c r="T274" s="6" t="inlineStr">
        <is>
          <t>b</t>
        </is>
      </c>
      <c r="U274" s="6" t="inlineStr">
        <is>
          <t>等级</t>
        </is>
      </c>
      <c r="V274" s="6" t="inlineStr">
        <is>
          <t>预测起始</t>
        </is>
      </c>
    </row>
    <row r="275">
      <c r="A275" s="7" t="inlineStr">
        <is>
          <t>P026</t>
        </is>
      </c>
      <c r="B275" s="7" t="inlineStr">
        <is>
          <t>古翔宇</t>
        </is>
      </c>
      <c r="C275" s="7" t="n">
        <v>180</v>
      </c>
      <c r="D275" s="8" t="n">
        <v>135</v>
      </c>
      <c r="E275" s="9" t="n"/>
      <c r="F275" s="9" t="n"/>
      <c r="G275" s="9" t="n"/>
      <c r="H275" s="9" t="n"/>
      <c r="I275" s="7">
        <f>IFERROR(SUM(E275:H275),"")</f>
        <v/>
      </c>
      <c r="J275" s="9" t="n"/>
      <c r="K275" s="9" t="n"/>
      <c r="L275" s="9" t="n"/>
      <c r="M275" s="9" t="n"/>
      <c r="N275" s="9" t="n"/>
      <c r="O275" s="7">
        <f>IFERROR(AVERAGE(L275:N275),"")</f>
        <v/>
      </c>
      <c r="P275" s="7">
        <f>IF(O275="","",IF(O275&lt;45.51,"是⚠","否"))</f>
        <v/>
      </c>
      <c r="Q275" s="7">
        <f>IF(O275="","",IF(O275&lt;45.51,5-1,5))</f>
        <v/>
      </c>
      <c r="R275" s="7" t="n"/>
      <c r="S275" s="8" t="n">
        <v>1.64</v>
      </c>
      <c r="T275" s="8" t="n">
        <v>-0.00975</v>
      </c>
      <c r="U275" s="7" t="inlineStr">
        <is>
          <t>A</t>
        </is>
      </c>
      <c r="V275" s="8" t="n">
        <v>112.5</v>
      </c>
    </row>
    <row r="276">
      <c r="A276" s="10" t="inlineStr">
        <is>
          <t>热身校准</t>
        </is>
      </c>
      <c r="B276" s="10" t="inlineStr">
        <is>
          <t>a</t>
        </is>
      </c>
      <c r="C276" s="10" t="inlineStr">
        <is>
          <t>b</t>
        </is>
      </c>
      <c r="D276" s="10" t="inlineStr">
        <is>
          <t>50%热身</t>
        </is>
      </c>
      <c r="E276" s="10" t="inlineStr">
        <is>
          <t>70%热身</t>
        </is>
      </c>
      <c r="F276" s="10" t="inlineStr">
        <is>
          <t>热身负荷</t>
        </is>
      </c>
      <c r="G276" s="10" t="inlineStr">
        <is>
          <t>实测MCV</t>
        </is>
      </c>
      <c r="H276" s="10" t="inlineStr">
        <is>
          <t>预测MCV</t>
        </is>
      </c>
      <c r="I276" s="10" t="inlineStr">
        <is>
          <t>Δv</t>
        </is>
      </c>
      <c r="J276" s="10" t="inlineStr">
        <is>
          <t>调整量</t>
        </is>
      </c>
      <c r="K276" s="10" t="inlineStr">
        <is>
          <t>校准第1组</t>
        </is>
      </c>
    </row>
    <row r="277">
      <c r="A277" s="7" t="n"/>
      <c r="B277" s="11" t="n">
        <v>1.64</v>
      </c>
      <c r="C277" s="11" t="n">
        <v>-0.00975</v>
      </c>
      <c r="D277" s="11">
        <f>IFERROR(ROUND(V275*0.5/2.5,0)*2.5,"")</f>
        <v/>
      </c>
      <c r="E277" s="11">
        <f>IFERROR(ROUND(V275*0.7/2.5,0)*2.5,"")</f>
        <v/>
      </c>
      <c r="F277" s="11">
        <f>IFERROR(ROUND(V275*0.6/2.5,0)*2.5,"")</f>
        <v/>
      </c>
      <c r="G277" s="9" t="n"/>
      <c r="H277" s="11">
        <f>IFERROR(B277+C277*F277,"")</f>
        <v/>
      </c>
      <c r="I277" s="11">
        <f>IFERROR(G277-H277,"")</f>
        <v/>
      </c>
      <c r="J277" s="11">
        <f>IFERROR(IF(I277&gt;0.08,5,IF(I277&gt;0.04,2.5,IF(I277&gt;=-0.04,0,IF(I277&gt;=-0.08,-2.5,-5)))),"")</f>
        <v/>
      </c>
      <c r="K277" s="11">
        <f>IFERROR(ROUND(V275+J277,0),"")</f>
        <v/>
      </c>
    </row>
    <row r="278">
      <c r="A278" s="12" t="inlineStr">
        <is>
          <t>组</t>
        </is>
      </c>
      <c r="B278" s="12" t="inlineStr">
        <is>
          <t>负荷</t>
        </is>
      </c>
      <c r="C278" s="12" t="inlineStr">
        <is>
          <t>rep1</t>
        </is>
      </c>
      <c r="D278" s="12" t="inlineStr">
        <is>
          <t>rep2</t>
        </is>
      </c>
      <c r="E278" s="12" t="inlineStr">
        <is>
          <t>rep3</t>
        </is>
      </c>
      <c r="F278" s="12" t="inlineStr">
        <is>
          <t>rep4</t>
        </is>
      </c>
      <c r="G278" s="12" t="inlineStr">
        <is>
          <t>rep5</t>
        </is>
      </c>
      <c r="H278" s="12" t="inlineStr">
        <is>
          <t>rep6</t>
        </is>
      </c>
      <c r="I278" s="12" t="inlineStr">
        <is>
          <t>best</t>
        </is>
      </c>
      <c r="J278" s="12" t="inlineStr">
        <is>
          <t>best#</t>
        </is>
      </c>
      <c r="K278" s="12" t="inlineStr">
        <is>
          <t>VL%</t>
        </is>
      </c>
      <c r="L278" s="12" t="inlineStr">
        <is>
          <t>stop_th</t>
        </is>
      </c>
      <c r="M278" s="12" t="inlineStr">
        <is>
          <t>latest</t>
        </is>
      </c>
      <c r="N278" s="12" t="inlineStr">
        <is>
          <t>VL_flag</t>
        </is>
      </c>
      <c r="O278" s="12" t="inlineStr">
        <is>
          <t>safety</t>
        </is>
      </c>
      <c r="P278" s="12" t="inlineStr">
        <is>
          <t>原因</t>
        </is>
      </c>
      <c r="Q278" s="12" t="inlineStr">
        <is>
          <t>建议</t>
        </is>
      </c>
      <c r="R278" s="12" t="inlineStr">
        <is>
          <t>次数</t>
        </is>
      </c>
    </row>
    <row r="279">
      <c r="A279" s="7" t="n">
        <v>1</v>
      </c>
      <c r="B279" s="9">
        <f>IFERROR(K277,"")</f>
        <v/>
      </c>
      <c r="C279" s="9" t="n"/>
      <c r="D279" s="9" t="n"/>
      <c r="E279" s="9" t="n"/>
      <c r="F279" s="9" t="n"/>
      <c r="G279" s="9" t="n"/>
      <c r="H279" s="9" t="n"/>
      <c r="I279" s="7">
        <f>IFERROR(MAX(C279:H279),"")</f>
        <v/>
      </c>
      <c r="J279" s="7">
        <f>IFERROR(MATCH(I279,C279:H279,0),"")</f>
        <v/>
      </c>
      <c r="K279" s="7" t="n">
        <v>22</v>
      </c>
      <c r="L279" s="7">
        <f>IFERROR(I279*(1-(K279/100)),"")</f>
        <v/>
      </c>
      <c r="M279" s="7">
        <f>IFERROR(LOOKUP(9.99E+307,C279:H279),"")</f>
        <v/>
      </c>
      <c r="N279" s="7">
        <f>IFERROR(IF(M279="","",IF(M279&lt;=N279,"停组🛑","继续✓")),"")</f>
        <v/>
      </c>
      <c r="O279" s="7">
        <f>IFERROR(IF(M279="","",IF(M279&lt;0.15,"SAFETY_STOP","")),"")</f>
        <v/>
      </c>
      <c r="P279" s="7">
        <f>IFERROR(IF(M279="","",IF(M279&lt;0.15,"SAFETY_STOP",IF(M279&lt;=N279,"VL_THRESHOLD",""))),"")</f>
        <v/>
      </c>
      <c r="Q279" s="7">
        <f>IFERROR(IF(I279="","",IF(I279&gt;(0.55+0.05),"+5kg",IF(I279&gt;(0.55+0.02),"+2.5kg",IF(I279&gt;=(0.55-0.05),"保持",IF(I279&gt;=(0.55-0.08),"-2.5kg","-5kg"))))),"")</f>
        <v/>
      </c>
      <c r="R279" s="9" t="n"/>
    </row>
    <row r="280">
      <c r="A280" s="7" t="n">
        <v>2</v>
      </c>
      <c r="B280" s="9" t="n"/>
      <c r="C280" s="9" t="n"/>
      <c r="D280" s="9" t="n"/>
      <c r="E280" s="9" t="n"/>
      <c r="F280" s="9" t="n"/>
      <c r="G280" s="9" t="n"/>
      <c r="H280" s="9" t="n"/>
      <c r="I280" s="7">
        <f>IFERROR(MAX(C280:H280),"")</f>
        <v/>
      </c>
      <c r="J280" s="7">
        <f>IFERROR(MATCH(I280,C280:H280,0),"")</f>
        <v/>
      </c>
      <c r="K280" s="7" t="n">
        <v>22</v>
      </c>
      <c r="L280" s="7">
        <f>IFERROR(I280*(1-(K280/100)),"")</f>
        <v/>
      </c>
      <c r="M280" s="7">
        <f>IFERROR(LOOKUP(9.99E+307,C280:H280),"")</f>
        <v/>
      </c>
      <c r="N280" s="7">
        <f>IFERROR(IF(M280="","",IF(M280&lt;=N280,"停组🛑","继续✓")),"")</f>
        <v/>
      </c>
      <c r="O280" s="7">
        <f>IFERROR(IF(M280="","",IF(M280&lt;0.15,"SAFETY_STOP","")),"")</f>
        <v/>
      </c>
      <c r="P280" s="7">
        <f>IFERROR(IF(M280="","",IF(M280&lt;0.15,"SAFETY_STOP",IF(M280&lt;=N280,"VL_THRESHOLD",""))),"")</f>
        <v/>
      </c>
      <c r="Q280" s="7">
        <f>IFERROR(IF(I280="","",IF(I280&gt;(0.55+0.05),"+5kg",IF(I280&gt;(0.55+0.02),"+2.5kg",IF(I280&gt;=(0.55-0.05),"保持",IF(I280&gt;=(0.55-0.08),"-2.5kg","-5kg"))))),"")</f>
        <v/>
      </c>
      <c r="R280" s="9" t="n"/>
    </row>
    <row r="281">
      <c r="A281" s="7" t="n">
        <v>3</v>
      </c>
      <c r="B281" s="9" t="n"/>
      <c r="C281" s="9" t="n"/>
      <c r="D281" s="9" t="n"/>
      <c r="E281" s="9" t="n"/>
      <c r="F281" s="9" t="n"/>
      <c r="G281" s="9" t="n"/>
      <c r="H281" s="9" t="n"/>
      <c r="I281" s="7">
        <f>IFERROR(MAX(C281:H281),"")</f>
        <v/>
      </c>
      <c r="J281" s="7">
        <f>IFERROR(MATCH(I281,C281:H281,0),"")</f>
        <v/>
      </c>
      <c r="K281" s="7" t="n">
        <v>22</v>
      </c>
      <c r="L281" s="7">
        <f>IFERROR(I281*(1-(K281/100)),"")</f>
        <v/>
      </c>
      <c r="M281" s="7">
        <f>IFERROR(LOOKUP(9.99E+307,C281:H281),"")</f>
        <v/>
      </c>
      <c r="N281" s="7">
        <f>IFERROR(IF(M281="","",IF(M281&lt;=N281,"停组🛑","继续✓")),"")</f>
        <v/>
      </c>
      <c r="O281" s="7">
        <f>IFERROR(IF(M281="","",IF(M281&lt;0.15,"SAFETY_STOP","")),"")</f>
        <v/>
      </c>
      <c r="P281" s="7">
        <f>IFERROR(IF(M281="","",IF(M281&lt;0.15,"SAFETY_STOP",IF(M281&lt;=N281,"VL_THRESHOLD",""))),"")</f>
        <v/>
      </c>
      <c r="Q281" s="7">
        <f>IFERROR(IF(I281="","",IF(I281&gt;(0.55+0.05),"+5kg",IF(I281&gt;(0.55+0.02),"+2.5kg",IF(I281&gt;=(0.55-0.05),"保持",IF(I281&gt;=(0.55-0.08),"-2.5kg","-5kg"))))),"")</f>
        <v/>
      </c>
      <c r="R281" s="9" t="n"/>
    </row>
    <row r="282">
      <c r="A282" s="7" t="n">
        <v>4</v>
      </c>
      <c r="B282" s="9" t="n"/>
      <c r="C282" s="9" t="n"/>
      <c r="D282" s="9" t="n"/>
      <c r="E282" s="9" t="n"/>
      <c r="F282" s="9" t="n"/>
      <c r="G282" s="9" t="n"/>
      <c r="H282" s="9" t="n"/>
      <c r="I282" s="7">
        <f>IFERROR(MAX(C282:H282),"")</f>
        <v/>
      </c>
      <c r="J282" s="7">
        <f>IFERROR(MATCH(I282,C282:H282,0),"")</f>
        <v/>
      </c>
      <c r="K282" s="7" t="n">
        <v>22</v>
      </c>
      <c r="L282" s="7">
        <f>IFERROR(I282*(1-(K282/100)),"")</f>
        <v/>
      </c>
      <c r="M282" s="7">
        <f>IFERROR(LOOKUP(9.99E+307,C282:H282),"")</f>
        <v/>
      </c>
      <c r="N282" s="7">
        <f>IFERROR(IF(M282="","",IF(M282&lt;=N282,"停组🛑","继续✓")),"")</f>
        <v/>
      </c>
      <c r="O282" s="7">
        <f>IFERROR(IF(M282="","",IF(M282&lt;0.15,"SAFETY_STOP","")),"")</f>
        <v/>
      </c>
      <c r="P282" s="7">
        <f>IFERROR(IF(M282="","",IF(M282&lt;0.15,"SAFETY_STOP",IF(M282&lt;=N282,"VL_THRESHOLD",""))),"")</f>
        <v/>
      </c>
      <c r="Q282" s="7">
        <f>IFERROR(IF(I282="","",IF(I282&gt;(0.55+0.05),"+5kg",IF(I282&gt;(0.55+0.02),"+2.5kg",IF(I282&gt;=(0.55-0.05),"保持",IF(I282&gt;=(0.55-0.08),"-2.5kg","-5kg"))))),"")</f>
        <v/>
      </c>
      <c r="R282" s="9" t="n"/>
    </row>
    <row r="283">
      <c r="A283" s="7" t="n">
        <v>5</v>
      </c>
      <c r="B283" s="9" t="n"/>
      <c r="C283" s="9" t="n"/>
      <c r="D283" s="9" t="n"/>
      <c r="E283" s="9" t="n"/>
      <c r="F283" s="9" t="n"/>
      <c r="G283" s="9" t="n"/>
      <c r="H283" s="9" t="n"/>
      <c r="I283" s="7">
        <f>IFERROR(MAX(C283:H283),"")</f>
        <v/>
      </c>
      <c r="J283" s="7">
        <f>IFERROR(MATCH(I283,C283:H283,0),"")</f>
        <v/>
      </c>
      <c r="K283" s="7" t="n">
        <v>22</v>
      </c>
      <c r="L283" s="7">
        <f>IFERROR(I283*(1-(K283/100)),"")</f>
        <v/>
      </c>
      <c r="M283" s="7">
        <f>IFERROR(LOOKUP(9.99E+307,C283:H283),"")</f>
        <v/>
      </c>
      <c r="N283" s="7">
        <f>IFERROR(IF(M283="","",IF(M283&lt;=N283,"停组🛑","继续✓")),"")</f>
        <v/>
      </c>
      <c r="O283" s="7">
        <f>IFERROR(IF(M283="","",IF(M283&lt;0.15,"SAFETY_STOP","")),"")</f>
        <v/>
      </c>
      <c r="P283" s="7">
        <f>IFERROR(IF(M283="","",IF(M283&lt;0.15,"SAFETY_STOP",IF(M283&lt;=N283,"VL_THRESHOLD",""))),"")</f>
        <v/>
      </c>
      <c r="Q283" s="7">
        <f>IFERROR(IF(I283="","",IF(I283&gt;(0.55+0.05),"+5kg",IF(I283&gt;(0.55+0.02),"+2.5kg",IF(I283&gt;=(0.55-0.05),"保持",IF(I283&gt;=(0.55-0.08),"-2.5kg","-5kg"))))),"")</f>
        <v/>
      </c>
      <c r="R283" s="9" t="n"/>
    </row>
    <row r="284">
      <c r="A284" s="7" t="n">
        <v>6</v>
      </c>
      <c r="B284" s="9" t="n"/>
      <c r="C284" s="9" t="n"/>
      <c r="D284" s="9" t="n"/>
      <c r="E284" s="9" t="n"/>
      <c r="F284" s="9" t="n"/>
      <c r="G284" s="9" t="n"/>
      <c r="H284" s="9" t="n"/>
      <c r="I284" s="7">
        <f>IFERROR(MAX(C284:H284),"")</f>
        <v/>
      </c>
      <c r="J284" s="7">
        <f>IFERROR(MATCH(I284,C284:H284,0),"")</f>
        <v/>
      </c>
      <c r="K284" s="7" t="n">
        <v>22</v>
      </c>
      <c r="L284" s="7">
        <f>IFERROR(I284*(1-(K284/100)),"")</f>
        <v/>
      </c>
      <c r="M284" s="7">
        <f>IFERROR(LOOKUP(9.99E+307,C284:H284),"")</f>
        <v/>
      </c>
      <c r="N284" s="7">
        <f>IFERROR(IF(M284="","",IF(M284&lt;=N284,"停组🛑","继续✓")),"")</f>
        <v/>
      </c>
      <c r="O284" s="7">
        <f>IFERROR(IF(M284="","",IF(M284&lt;0.15,"SAFETY_STOP","")),"")</f>
        <v/>
      </c>
      <c r="P284" s="7">
        <f>IFERROR(IF(M284="","",IF(M284&lt;0.15,"SAFETY_STOP",IF(M284&lt;=N284,"VL_THRESHOLD",""))),"")</f>
        <v/>
      </c>
      <c r="Q284" s="7">
        <f>IFERROR(IF(I284="","",IF(I284&gt;(0.55+0.05),"+5kg",IF(I284&gt;(0.55+0.02),"+2.5kg",IF(I284&gt;=(0.55-0.05),"保持",IF(I284&gt;=(0.55-0.08),"-2.5kg","-5kg"))))),"")</f>
        <v/>
      </c>
      <c r="R284" s="9" t="n"/>
    </row>
    <row r="285">
      <c r="A285" s="13" t="inlineStr">
        <is>
          <t>辅助</t>
        </is>
      </c>
      <c r="D285" s="14" t="inlineStr">
        <is>
          <t>RDL</t>
        </is>
      </c>
      <c r="E285" s="14" t="inlineStr">
        <is>
          <t>负荷</t>
        </is>
      </c>
      <c r="F285" s="14" t="inlineStr">
        <is>
          <t>完成</t>
        </is>
      </c>
      <c r="I285" t="inlineStr">
        <is>
          <t>VL</t>
        </is>
      </c>
    </row>
    <row r="286">
      <c r="A286" s="15" t="inlineStr">
        <is>
          <t>训练后</t>
        </is>
      </c>
      <c r="B286" s="15" t="inlineStr">
        <is>
          <t>开始</t>
        </is>
      </c>
      <c r="C286" s="15" t="inlineStr">
        <is>
          <t>结束</t>
        </is>
      </c>
      <c r="D286" s="15" t="inlineStr">
        <is>
          <t>时长min</t>
        </is>
      </c>
      <c r="E286" s="15" t="inlineStr">
        <is>
          <t>sRPE</t>
        </is>
      </c>
      <c r="F286" s="15" t="inlineStr">
        <is>
          <t>load</t>
        </is>
      </c>
      <c r="G286" s="15" t="inlineStr">
        <is>
          <t>不适?</t>
        </is>
      </c>
      <c r="H286" s="15" t="inlineStr">
        <is>
          <t>备注</t>
        </is>
      </c>
      <c r="I286" s="15" t="inlineStr">
        <is>
          <t>签名</t>
        </is>
      </c>
    </row>
    <row r="287">
      <c r="A287" s="7" t="n"/>
      <c r="B287" s="9" t="n"/>
      <c r="C287" s="9" t="n"/>
      <c r="D287" s="11">
        <f>IFERROR((C287-B287)*1440,"")</f>
        <v/>
      </c>
      <c r="E287" s="9" t="n"/>
      <c r="F287" s="11">
        <f>IFERROR(E287*D287,"")</f>
        <v/>
      </c>
      <c r="G287" s="9" t="n"/>
      <c r="H287" s="9" t="n"/>
      <c r="I287" s="9" t="n"/>
    </row>
    <row r="288">
      <c r="A288" s="16" t="inlineStr">
        <is>
          <t>跳跃</t>
        </is>
      </c>
      <c r="B288" s="16" t="inlineStr">
        <is>
          <t>类型</t>
        </is>
      </c>
      <c r="C288" s="16" t="inlineStr">
        <is>
          <t>组×次</t>
        </is>
      </c>
      <c r="D288" s="16" t="inlineStr">
        <is>
          <t>负荷kg</t>
        </is>
      </c>
      <c r="E288" s="16" t="inlineStr">
        <is>
          <t>接触</t>
        </is>
      </c>
    </row>
    <row r="289">
      <c r="B289" t="inlineStr">
        <is>
          <t>CMJ</t>
        </is>
      </c>
      <c r="C289" t="inlineStr">
        <is>
          <t>3×3</t>
        </is>
      </c>
      <c r="D289" t="n">
        <v>0</v>
      </c>
      <c r="E289" t="n">
        <v>9</v>
      </c>
    </row>
    <row r="290">
      <c r="B290" t="inlineStr">
        <is>
          <t>箱跳</t>
        </is>
      </c>
      <c r="C290" t="inlineStr">
        <is>
          <t>2×3</t>
        </is>
      </c>
      <c r="D290" t="n">
        <v>0</v>
      </c>
      <c r="E290" t="n">
        <v>6</v>
      </c>
    </row>
    <row r="291">
      <c r="A291" s="17" t="inlineStr">
        <is>
          <t>▶ 暴露量汇总</t>
        </is>
      </c>
      <c r="B291" s="17" t="inlineStr">
        <is>
          <t>说明</t>
        </is>
      </c>
      <c r="C291" s="17" t="inlineStr">
        <is>
          <t>公式/来源</t>
        </is>
      </c>
      <c r="D291" s="17" t="inlineStr">
        <is>
          <t>数值</t>
        </is>
      </c>
    </row>
    <row r="292">
      <c r="A292" s="18" t="inlineStr">
        <is>
          <t>① 无负荷跳跃接触</t>
        </is>
      </c>
      <c r="B292" s="18" t="inlineStr">
        <is>
          <t>CMJ+SJ+箱跳</t>
        </is>
      </c>
      <c r="C292" s="19">
        <f>IFERROR(E289+E290,2)</f>
        <v/>
      </c>
    </row>
    <row r="293">
      <c r="A293" s="18" t="inlineStr">
        <is>
          <t>② 负重跳跃接触</t>
        </is>
      </c>
      <c r="B293" s="18" t="inlineStr">
        <is>
          <t>负重深蹲跳</t>
        </is>
      </c>
      <c r="C293" s="19">
        <f>IFERROR(E289,"")</f>
        <v/>
      </c>
    </row>
    <row r="294">
      <c r="A294" s="18" t="inlineStr">
        <is>
          <t>③ 跳跃总计</t>
        </is>
      </c>
      <c r="B294" s="18" t="inlineStr">
        <is>
          <t>①+②</t>
        </is>
      </c>
      <c r="C294" s="19">
        <f>IFERROR(B292+B293,"")</f>
        <v/>
      </c>
    </row>
    <row r="295">
      <c r="A295" s="18" t="inlineStr">
        <is>
          <t>④ 热身VL</t>
        </is>
      </c>
      <c r="B295" s="18" t="inlineStr">
        <is>
          <t>20×5+50%×3(+70%×2)</t>
        </is>
      </c>
      <c r="C295" s="19">
        <f>IFERROR(20*5+ROUND(V275*0.5,0)*3+ROUND(V{dr}*0.7,0)*2,"-")</f>
        <v/>
      </c>
    </row>
    <row r="296">
      <c r="A296" s="20" t="inlineStr">
        <is>
          <t>⑤ 主项工作组VL ★</t>
        </is>
      </c>
      <c r="B296" s="20" t="inlineStr">
        <is>
          <t>Σ(负荷×次数)</t>
        </is>
      </c>
      <c r="C296" s="21">
        <f>SUMPRODUCT($B$279:$B$284,$R$279:$R$284)</f>
        <v/>
      </c>
    </row>
    <row r="297">
      <c r="A297" s="18" t="inlineStr">
        <is>
          <t>⑥ 主项总VL</t>
        </is>
      </c>
      <c r="B297" s="18" t="inlineStr">
        <is>
          <t>④+⑤</t>
        </is>
      </c>
      <c r="C297" s="19">
        <f>IFERROR(D292+D293,"")</f>
        <v/>
      </c>
    </row>
    <row r="298">
      <c r="A298" s="18" t="inlineStr">
        <is>
          <t>⑦ 辅助VL</t>
        </is>
      </c>
      <c r="B298" s="18" t="inlineStr">
        <is>
          <t>RDL/保加利亚</t>
        </is>
      </c>
      <c r="C298" s="19">
        <f>IFERROR(I285,"")</f>
        <v/>
      </c>
    </row>
    <row r="299">
      <c r="A299" s="18" t="inlineStr">
        <is>
          <t>⑧ 总外部负荷</t>
        </is>
      </c>
      <c r="B299" s="18" t="inlineStr">
        <is>
          <t>⑥+⑦(+负重跳)</t>
        </is>
      </c>
      <c r="C299" s="19">
        <f>IFERROR(F292+G292,"")</f>
        <v/>
      </c>
    </row>
    <row r="300">
      <c r="A300" s="18" t="inlineStr">
        <is>
          <t>⑨ sRPE load</t>
        </is>
      </c>
      <c r="B300" s="18" t="inlineStr">
        <is>
          <t>sRPE×时长</t>
        </is>
      </c>
      <c r="C300" s="19">
        <f>IFERROR(F287,"")</f>
        <v/>
      </c>
    </row>
    <row r="303">
      <c r="A303" s="5" t="inlineStr">
        <is>
          <t>P010 张锦荣  a=1.26 b=-0.006 1RM=120</t>
        </is>
      </c>
    </row>
    <row r="304">
      <c r="A304" s="6" t="inlineStr">
        <is>
          <t>编号</t>
        </is>
      </c>
      <c r="B304" s="6" t="inlineStr">
        <is>
          <t>姓名</t>
        </is>
      </c>
      <c r="C304" s="6" t="inlineStr">
        <is>
          <t>身高</t>
        </is>
      </c>
      <c r="D304" s="6" t="inlineStr">
        <is>
          <t>1RM</t>
        </is>
      </c>
      <c r="E304" s="6" t="inlineStr">
        <is>
          <t>Hooper睡</t>
        </is>
      </c>
      <c r="F304" s="6" t="inlineStr">
        <is>
          <t>Hooper压</t>
        </is>
      </c>
      <c r="G304" s="6" t="inlineStr">
        <is>
          <t>Hooper疲</t>
        </is>
      </c>
      <c r="H304" s="6" t="inlineStr">
        <is>
          <t>Hooper酸</t>
        </is>
      </c>
      <c r="I304" s="6" t="inlineStr">
        <is>
          <t>H总</t>
        </is>
      </c>
      <c r="J304" s="6" t="inlineStr">
        <is>
          <t>不适?</t>
        </is>
      </c>
      <c r="K304" s="6" t="inlineStr">
        <is>
          <t>说明</t>
        </is>
      </c>
      <c r="L304" s="6" t="inlineStr">
        <is>
          <t>CMJ1</t>
        </is>
      </c>
      <c r="M304" s="6" t="inlineStr">
        <is>
          <t>CMJ2</t>
        </is>
      </c>
      <c r="N304" s="6" t="inlineStr">
        <is>
          <t>CMJ3</t>
        </is>
      </c>
      <c r="O304" s="6" t="inlineStr">
        <is>
          <t>CMJμ</t>
        </is>
      </c>
      <c r="P304" s="6" t="inlineStr">
        <is>
          <t>&lt;95%</t>
        </is>
      </c>
      <c r="Q304" s="6" t="inlineStr">
        <is>
          <t>减组</t>
        </is>
      </c>
      <c r="R304" s="6" t="inlineStr">
        <is>
          <t>组数</t>
        </is>
      </c>
      <c r="S304" s="6" t="inlineStr">
        <is>
          <t>a(V0)</t>
        </is>
      </c>
      <c r="T304" s="6" t="inlineStr">
        <is>
          <t>b</t>
        </is>
      </c>
      <c r="U304" s="6" t="inlineStr">
        <is>
          <t>等级</t>
        </is>
      </c>
      <c r="V304" s="6" t="inlineStr">
        <is>
          <t>预测起始</t>
        </is>
      </c>
    </row>
    <row r="305">
      <c r="A305" s="7" t="inlineStr">
        <is>
          <t>P010</t>
        </is>
      </c>
      <c r="B305" s="7" t="inlineStr">
        <is>
          <t>张锦荣</t>
        </is>
      </c>
      <c r="C305" s="7" t="n">
        <v>174</v>
      </c>
      <c r="D305" s="8" t="n">
        <v>120</v>
      </c>
      <c r="E305" s="9" t="n"/>
      <c r="F305" s="9" t="n"/>
      <c r="G305" s="9" t="n"/>
      <c r="H305" s="9" t="n"/>
      <c r="I305" s="7">
        <f>IFERROR(SUM(E305:H305),"")</f>
        <v/>
      </c>
      <c r="J305" s="9" t="n"/>
      <c r="K305" s="9" t="n"/>
      <c r="L305" s="9" t="n"/>
      <c r="M305" s="9" t="n"/>
      <c r="N305" s="9" t="n"/>
      <c r="O305" s="7">
        <f>IFERROR(AVERAGE(L305:N305),"")</f>
        <v/>
      </c>
      <c r="P305" s="7">
        <f>IF(O305="","",IF(O305&lt;50.42,"是⚠","否"))</f>
        <v/>
      </c>
      <c r="Q305" s="7">
        <f>IF(O305="","",IF(O305&lt;50.42,5-1,5))</f>
        <v/>
      </c>
      <c r="R305" s="7" t="n"/>
      <c r="S305" s="8" t="n">
        <v>1.26</v>
      </c>
      <c r="T305" s="8" t="n">
        <v>-0.006</v>
      </c>
      <c r="U305" s="7" t="inlineStr">
        <is>
          <t>B</t>
        </is>
      </c>
      <c r="V305" s="8" t="n">
        <v>117.5</v>
      </c>
    </row>
    <row r="306">
      <c r="A306" s="10" t="inlineStr">
        <is>
          <t>热身校准</t>
        </is>
      </c>
      <c r="B306" s="10" t="inlineStr">
        <is>
          <t>a</t>
        </is>
      </c>
      <c r="C306" s="10" t="inlineStr">
        <is>
          <t>b</t>
        </is>
      </c>
      <c r="D306" s="10" t="inlineStr">
        <is>
          <t>50%热身</t>
        </is>
      </c>
      <c r="E306" s="10" t="inlineStr">
        <is>
          <t>70%热身</t>
        </is>
      </c>
      <c r="F306" s="10" t="inlineStr">
        <is>
          <t>热身负荷</t>
        </is>
      </c>
      <c r="G306" s="10" t="inlineStr">
        <is>
          <t>实测MCV</t>
        </is>
      </c>
      <c r="H306" s="10" t="inlineStr">
        <is>
          <t>预测MCV</t>
        </is>
      </c>
      <c r="I306" s="10" t="inlineStr">
        <is>
          <t>Δv</t>
        </is>
      </c>
      <c r="J306" s="10" t="inlineStr">
        <is>
          <t>调整量</t>
        </is>
      </c>
      <c r="K306" s="10" t="inlineStr">
        <is>
          <t>校准第1组</t>
        </is>
      </c>
    </row>
    <row r="307">
      <c r="A307" s="7" t="n"/>
      <c r="B307" s="11" t="n">
        <v>1.26</v>
      </c>
      <c r="C307" s="11" t="n">
        <v>-0.006</v>
      </c>
      <c r="D307" s="11">
        <f>IFERROR(ROUND(V305*0.5/2.5,0)*2.5,"")</f>
        <v/>
      </c>
      <c r="E307" s="11">
        <f>IFERROR(ROUND(V305*0.7/2.5,0)*2.5,"")</f>
        <v/>
      </c>
      <c r="F307" s="11">
        <f>IFERROR(ROUND(V305*0.6/2.5,0)*2.5,"")</f>
        <v/>
      </c>
      <c r="G307" s="9" t="n"/>
      <c r="H307" s="11">
        <f>IFERROR(B307+C307*F307,"")</f>
        <v/>
      </c>
      <c r="I307" s="11">
        <f>IFERROR(G307-H307,"")</f>
        <v/>
      </c>
      <c r="J307" s="11">
        <f>IFERROR(IF(I307&gt;0.08,5,IF(I307&gt;0.04,2.5,IF(I307&gt;=-0.04,0,IF(I307&gt;=-0.08,-2.5,-5)))),"")</f>
        <v/>
      </c>
      <c r="K307" s="11">
        <f>IFERROR(ROUND(V305+J307,0),"")</f>
        <v/>
      </c>
    </row>
    <row r="308">
      <c r="A308" s="12" t="inlineStr">
        <is>
          <t>组</t>
        </is>
      </c>
      <c r="B308" s="12" t="inlineStr">
        <is>
          <t>负荷</t>
        </is>
      </c>
      <c r="C308" s="12" t="inlineStr">
        <is>
          <t>rep1</t>
        </is>
      </c>
      <c r="D308" s="12" t="inlineStr">
        <is>
          <t>rep2</t>
        </is>
      </c>
      <c r="E308" s="12" t="inlineStr">
        <is>
          <t>rep3</t>
        </is>
      </c>
      <c r="F308" s="12" t="inlineStr">
        <is>
          <t>rep4</t>
        </is>
      </c>
      <c r="G308" s="12" t="inlineStr">
        <is>
          <t>rep5</t>
        </is>
      </c>
      <c r="H308" s="12" t="inlineStr">
        <is>
          <t>rep6</t>
        </is>
      </c>
      <c r="I308" s="12" t="inlineStr">
        <is>
          <t>best</t>
        </is>
      </c>
      <c r="J308" s="12" t="inlineStr">
        <is>
          <t>best#</t>
        </is>
      </c>
      <c r="K308" s="12" t="inlineStr">
        <is>
          <t>VL%</t>
        </is>
      </c>
      <c r="L308" s="12" t="inlineStr">
        <is>
          <t>stop_th</t>
        </is>
      </c>
      <c r="M308" s="12" t="inlineStr">
        <is>
          <t>latest</t>
        </is>
      </c>
      <c r="N308" s="12" t="inlineStr">
        <is>
          <t>VL_flag</t>
        </is>
      </c>
      <c r="O308" s="12" t="inlineStr">
        <is>
          <t>safety</t>
        </is>
      </c>
      <c r="P308" s="12" t="inlineStr">
        <is>
          <t>原因</t>
        </is>
      </c>
      <c r="Q308" s="12" t="inlineStr">
        <is>
          <t>建议</t>
        </is>
      </c>
      <c r="R308" s="12" t="inlineStr">
        <is>
          <t>次数</t>
        </is>
      </c>
    </row>
    <row r="309">
      <c r="A309" s="7" t="n">
        <v>1</v>
      </c>
      <c r="B309" s="9">
        <f>IFERROR(K307,"")</f>
        <v/>
      </c>
      <c r="C309" s="9" t="n"/>
      <c r="D309" s="9" t="n"/>
      <c r="E309" s="9" t="n"/>
      <c r="F309" s="9" t="n"/>
      <c r="G309" s="9" t="n"/>
      <c r="H309" s="9" t="n"/>
      <c r="I309" s="7">
        <f>IFERROR(MAX(C309:H309),"")</f>
        <v/>
      </c>
      <c r="J309" s="7">
        <f>IFERROR(MATCH(I309,C309:H309,0),"")</f>
        <v/>
      </c>
      <c r="K309" s="7" t="n">
        <v>22</v>
      </c>
      <c r="L309" s="7">
        <f>IFERROR(I309*(1-(K309/100)),"")</f>
        <v/>
      </c>
      <c r="M309" s="7">
        <f>IFERROR(LOOKUP(9.99E+307,C309:H309),"")</f>
        <v/>
      </c>
      <c r="N309" s="7">
        <f>IFERROR(IF(M309="","",IF(M309&lt;=N309,"停组🛑","继续✓")),"")</f>
        <v/>
      </c>
      <c r="O309" s="7">
        <f>IFERROR(IF(M309="","",IF(M309&lt;0.15,"SAFETY_STOP","")),"")</f>
        <v/>
      </c>
      <c r="P309" s="7">
        <f>IFERROR(IF(M309="","",IF(M309&lt;0.15,"SAFETY_STOP",IF(M309&lt;=N309,"VL_THRESHOLD",""))),"")</f>
        <v/>
      </c>
      <c r="Q309" s="7">
        <f>IFERROR(IF(I309="","",IF(I309&gt;(0.55+0.05),"+5kg",IF(I309&gt;(0.55+0.02),"+2.5kg",IF(I309&gt;=(0.55-0.05),"保持",IF(I309&gt;=(0.55-0.08),"-2.5kg","-5kg"))))),"")</f>
        <v/>
      </c>
      <c r="R309" s="9" t="n"/>
    </row>
    <row r="310">
      <c r="A310" s="7" t="n">
        <v>2</v>
      </c>
      <c r="B310" s="9" t="n"/>
      <c r="C310" s="9" t="n"/>
      <c r="D310" s="9" t="n"/>
      <c r="E310" s="9" t="n"/>
      <c r="F310" s="9" t="n"/>
      <c r="G310" s="9" t="n"/>
      <c r="H310" s="9" t="n"/>
      <c r="I310" s="7">
        <f>IFERROR(MAX(C310:H310),"")</f>
        <v/>
      </c>
      <c r="J310" s="7">
        <f>IFERROR(MATCH(I310,C310:H310,0),"")</f>
        <v/>
      </c>
      <c r="K310" s="7" t="n">
        <v>22</v>
      </c>
      <c r="L310" s="7">
        <f>IFERROR(I310*(1-(K310/100)),"")</f>
        <v/>
      </c>
      <c r="M310" s="7">
        <f>IFERROR(LOOKUP(9.99E+307,C310:H310),"")</f>
        <v/>
      </c>
      <c r="N310" s="7">
        <f>IFERROR(IF(M310="","",IF(M310&lt;=N310,"停组🛑","继续✓")),"")</f>
        <v/>
      </c>
      <c r="O310" s="7">
        <f>IFERROR(IF(M310="","",IF(M310&lt;0.15,"SAFETY_STOP","")),"")</f>
        <v/>
      </c>
      <c r="P310" s="7">
        <f>IFERROR(IF(M310="","",IF(M310&lt;0.15,"SAFETY_STOP",IF(M310&lt;=N310,"VL_THRESHOLD",""))),"")</f>
        <v/>
      </c>
      <c r="Q310" s="7">
        <f>IFERROR(IF(I310="","",IF(I310&gt;(0.55+0.05),"+5kg",IF(I310&gt;(0.55+0.02),"+2.5kg",IF(I310&gt;=(0.55-0.05),"保持",IF(I310&gt;=(0.55-0.08),"-2.5kg","-5kg"))))),"")</f>
        <v/>
      </c>
      <c r="R310" s="9" t="n"/>
    </row>
    <row r="311">
      <c r="A311" s="7" t="n">
        <v>3</v>
      </c>
      <c r="B311" s="9" t="n"/>
      <c r="C311" s="9" t="n"/>
      <c r="D311" s="9" t="n"/>
      <c r="E311" s="9" t="n"/>
      <c r="F311" s="9" t="n"/>
      <c r="G311" s="9" t="n"/>
      <c r="H311" s="9" t="n"/>
      <c r="I311" s="7">
        <f>IFERROR(MAX(C311:H311),"")</f>
        <v/>
      </c>
      <c r="J311" s="7">
        <f>IFERROR(MATCH(I311,C311:H311,0),"")</f>
        <v/>
      </c>
      <c r="K311" s="7" t="n">
        <v>22</v>
      </c>
      <c r="L311" s="7">
        <f>IFERROR(I311*(1-(K311/100)),"")</f>
        <v/>
      </c>
      <c r="M311" s="7">
        <f>IFERROR(LOOKUP(9.99E+307,C311:H311),"")</f>
        <v/>
      </c>
      <c r="N311" s="7">
        <f>IFERROR(IF(M311="","",IF(M311&lt;=N311,"停组🛑","继续✓")),"")</f>
        <v/>
      </c>
      <c r="O311" s="7">
        <f>IFERROR(IF(M311="","",IF(M311&lt;0.15,"SAFETY_STOP","")),"")</f>
        <v/>
      </c>
      <c r="P311" s="7">
        <f>IFERROR(IF(M311="","",IF(M311&lt;0.15,"SAFETY_STOP",IF(M311&lt;=N311,"VL_THRESHOLD",""))),"")</f>
        <v/>
      </c>
      <c r="Q311" s="7">
        <f>IFERROR(IF(I311="","",IF(I311&gt;(0.55+0.05),"+5kg",IF(I311&gt;(0.55+0.02),"+2.5kg",IF(I311&gt;=(0.55-0.05),"保持",IF(I311&gt;=(0.55-0.08),"-2.5kg","-5kg"))))),"")</f>
        <v/>
      </c>
      <c r="R311" s="9" t="n"/>
    </row>
    <row r="312">
      <c r="A312" s="7" t="n">
        <v>4</v>
      </c>
      <c r="B312" s="9" t="n"/>
      <c r="C312" s="9" t="n"/>
      <c r="D312" s="9" t="n"/>
      <c r="E312" s="9" t="n"/>
      <c r="F312" s="9" t="n"/>
      <c r="G312" s="9" t="n"/>
      <c r="H312" s="9" t="n"/>
      <c r="I312" s="7">
        <f>IFERROR(MAX(C312:H312),"")</f>
        <v/>
      </c>
      <c r="J312" s="7">
        <f>IFERROR(MATCH(I312,C312:H312,0),"")</f>
        <v/>
      </c>
      <c r="K312" s="7" t="n">
        <v>22</v>
      </c>
      <c r="L312" s="7">
        <f>IFERROR(I312*(1-(K312/100)),"")</f>
        <v/>
      </c>
      <c r="M312" s="7">
        <f>IFERROR(LOOKUP(9.99E+307,C312:H312),"")</f>
        <v/>
      </c>
      <c r="N312" s="7">
        <f>IFERROR(IF(M312="","",IF(M312&lt;=N312,"停组🛑","继续✓")),"")</f>
        <v/>
      </c>
      <c r="O312" s="7">
        <f>IFERROR(IF(M312="","",IF(M312&lt;0.15,"SAFETY_STOP","")),"")</f>
        <v/>
      </c>
      <c r="P312" s="7">
        <f>IFERROR(IF(M312="","",IF(M312&lt;0.15,"SAFETY_STOP",IF(M312&lt;=N312,"VL_THRESHOLD",""))),"")</f>
        <v/>
      </c>
      <c r="Q312" s="7">
        <f>IFERROR(IF(I312="","",IF(I312&gt;(0.55+0.05),"+5kg",IF(I312&gt;(0.55+0.02),"+2.5kg",IF(I312&gt;=(0.55-0.05),"保持",IF(I312&gt;=(0.55-0.08),"-2.5kg","-5kg"))))),"")</f>
        <v/>
      </c>
      <c r="R312" s="9" t="n"/>
    </row>
    <row r="313">
      <c r="A313" s="7" t="n">
        <v>5</v>
      </c>
      <c r="B313" s="9" t="n"/>
      <c r="C313" s="9" t="n"/>
      <c r="D313" s="9" t="n"/>
      <c r="E313" s="9" t="n"/>
      <c r="F313" s="9" t="n"/>
      <c r="G313" s="9" t="n"/>
      <c r="H313" s="9" t="n"/>
      <c r="I313" s="7">
        <f>IFERROR(MAX(C313:H313),"")</f>
        <v/>
      </c>
      <c r="J313" s="7">
        <f>IFERROR(MATCH(I313,C313:H313,0),"")</f>
        <v/>
      </c>
      <c r="K313" s="7" t="n">
        <v>22</v>
      </c>
      <c r="L313" s="7">
        <f>IFERROR(I313*(1-(K313/100)),"")</f>
        <v/>
      </c>
      <c r="M313" s="7">
        <f>IFERROR(LOOKUP(9.99E+307,C313:H313),"")</f>
        <v/>
      </c>
      <c r="N313" s="7">
        <f>IFERROR(IF(M313="","",IF(M313&lt;=N313,"停组🛑","继续✓")),"")</f>
        <v/>
      </c>
      <c r="O313" s="7">
        <f>IFERROR(IF(M313="","",IF(M313&lt;0.15,"SAFETY_STOP","")),"")</f>
        <v/>
      </c>
      <c r="P313" s="7">
        <f>IFERROR(IF(M313="","",IF(M313&lt;0.15,"SAFETY_STOP",IF(M313&lt;=N313,"VL_THRESHOLD",""))),"")</f>
        <v/>
      </c>
      <c r="Q313" s="7">
        <f>IFERROR(IF(I313="","",IF(I313&gt;(0.55+0.05),"+5kg",IF(I313&gt;(0.55+0.02),"+2.5kg",IF(I313&gt;=(0.55-0.05),"保持",IF(I313&gt;=(0.55-0.08),"-2.5kg","-5kg"))))),"")</f>
        <v/>
      </c>
      <c r="R313" s="9" t="n"/>
    </row>
    <row r="314">
      <c r="A314" s="7" t="n">
        <v>6</v>
      </c>
      <c r="B314" s="9" t="n"/>
      <c r="C314" s="9" t="n"/>
      <c r="D314" s="9" t="n"/>
      <c r="E314" s="9" t="n"/>
      <c r="F314" s="9" t="n"/>
      <c r="G314" s="9" t="n"/>
      <c r="H314" s="9" t="n"/>
      <c r="I314" s="7">
        <f>IFERROR(MAX(C314:H314),"")</f>
        <v/>
      </c>
      <c r="J314" s="7">
        <f>IFERROR(MATCH(I314,C314:H314,0),"")</f>
        <v/>
      </c>
      <c r="K314" s="7" t="n">
        <v>22</v>
      </c>
      <c r="L314" s="7">
        <f>IFERROR(I314*(1-(K314/100)),"")</f>
        <v/>
      </c>
      <c r="M314" s="7">
        <f>IFERROR(LOOKUP(9.99E+307,C314:H314),"")</f>
        <v/>
      </c>
      <c r="N314" s="7">
        <f>IFERROR(IF(M314="","",IF(M314&lt;=N314,"停组🛑","继续✓")),"")</f>
        <v/>
      </c>
      <c r="O314" s="7">
        <f>IFERROR(IF(M314="","",IF(M314&lt;0.15,"SAFETY_STOP","")),"")</f>
        <v/>
      </c>
      <c r="P314" s="7">
        <f>IFERROR(IF(M314="","",IF(M314&lt;0.15,"SAFETY_STOP",IF(M314&lt;=N314,"VL_THRESHOLD",""))),"")</f>
        <v/>
      </c>
      <c r="Q314" s="7">
        <f>IFERROR(IF(I314="","",IF(I314&gt;(0.55+0.05),"+5kg",IF(I314&gt;(0.55+0.02),"+2.5kg",IF(I314&gt;=(0.55-0.05),"保持",IF(I314&gt;=(0.55-0.08),"-2.5kg","-5kg"))))),"")</f>
        <v/>
      </c>
      <c r="R314" s="9" t="n"/>
    </row>
    <row r="315">
      <c r="A315" s="13" t="inlineStr">
        <is>
          <t>辅助</t>
        </is>
      </c>
      <c r="D315" s="14" t="inlineStr">
        <is>
          <t>RDL</t>
        </is>
      </c>
      <c r="E315" s="14" t="inlineStr">
        <is>
          <t>负荷</t>
        </is>
      </c>
      <c r="F315" s="14" t="inlineStr">
        <is>
          <t>完成</t>
        </is>
      </c>
      <c r="I315" t="inlineStr">
        <is>
          <t>VL</t>
        </is>
      </c>
    </row>
    <row r="316">
      <c r="A316" s="15" t="inlineStr">
        <is>
          <t>训练后</t>
        </is>
      </c>
      <c r="B316" s="15" t="inlineStr">
        <is>
          <t>开始</t>
        </is>
      </c>
      <c r="C316" s="15" t="inlineStr">
        <is>
          <t>结束</t>
        </is>
      </c>
      <c r="D316" s="15" t="inlineStr">
        <is>
          <t>时长min</t>
        </is>
      </c>
      <c r="E316" s="15" t="inlineStr">
        <is>
          <t>sRPE</t>
        </is>
      </c>
      <c r="F316" s="15" t="inlineStr">
        <is>
          <t>load</t>
        </is>
      </c>
      <c r="G316" s="15" t="inlineStr">
        <is>
          <t>不适?</t>
        </is>
      </c>
      <c r="H316" s="15" t="inlineStr">
        <is>
          <t>备注</t>
        </is>
      </c>
      <c r="I316" s="15" t="inlineStr">
        <is>
          <t>签名</t>
        </is>
      </c>
    </row>
    <row r="317">
      <c r="A317" s="7" t="n"/>
      <c r="B317" s="9" t="n"/>
      <c r="C317" s="9" t="n"/>
      <c r="D317" s="11">
        <f>IFERROR((C317-B317)*1440,"")</f>
        <v/>
      </c>
      <c r="E317" s="9" t="n"/>
      <c r="F317" s="11">
        <f>IFERROR(E317*D317,"")</f>
        <v/>
      </c>
      <c r="G317" s="9" t="n"/>
      <c r="H317" s="9" t="n"/>
      <c r="I317" s="9" t="n"/>
    </row>
    <row r="318">
      <c r="A318" s="16" t="inlineStr">
        <is>
          <t>跳跃</t>
        </is>
      </c>
      <c r="B318" s="16" t="inlineStr">
        <is>
          <t>类型</t>
        </is>
      </c>
      <c r="C318" s="16" t="inlineStr">
        <is>
          <t>组×次</t>
        </is>
      </c>
      <c r="D318" s="16" t="inlineStr">
        <is>
          <t>负荷kg</t>
        </is>
      </c>
      <c r="E318" s="16" t="inlineStr">
        <is>
          <t>接触</t>
        </is>
      </c>
    </row>
    <row r="319">
      <c r="B319" t="inlineStr">
        <is>
          <t>CMJ</t>
        </is>
      </c>
      <c r="C319" t="inlineStr">
        <is>
          <t>3×3</t>
        </is>
      </c>
      <c r="D319" t="n">
        <v>0</v>
      </c>
      <c r="E319" t="n">
        <v>9</v>
      </c>
    </row>
    <row r="320">
      <c r="B320" t="inlineStr">
        <is>
          <t>箱跳</t>
        </is>
      </c>
      <c r="C320" t="inlineStr">
        <is>
          <t>2×3</t>
        </is>
      </c>
      <c r="D320" t="n">
        <v>0</v>
      </c>
      <c r="E320" t="n">
        <v>6</v>
      </c>
    </row>
    <row r="321">
      <c r="A321" s="17" t="inlineStr">
        <is>
          <t>▶ 暴露量汇总</t>
        </is>
      </c>
      <c r="B321" s="17" t="inlineStr">
        <is>
          <t>说明</t>
        </is>
      </c>
      <c r="C321" s="17" t="inlineStr">
        <is>
          <t>公式/来源</t>
        </is>
      </c>
      <c r="D321" s="17" t="inlineStr">
        <is>
          <t>数值</t>
        </is>
      </c>
    </row>
    <row r="322">
      <c r="A322" s="18" t="inlineStr">
        <is>
          <t>① 无负荷跳跃接触</t>
        </is>
      </c>
      <c r="B322" s="18" t="inlineStr">
        <is>
          <t>CMJ+SJ+箱跳</t>
        </is>
      </c>
      <c r="C322" s="19">
        <f>IFERROR(E319+E320,2)</f>
        <v/>
      </c>
    </row>
    <row r="323">
      <c r="A323" s="18" t="inlineStr">
        <is>
          <t>② 负重跳跃接触</t>
        </is>
      </c>
      <c r="B323" s="18" t="inlineStr">
        <is>
          <t>负重深蹲跳</t>
        </is>
      </c>
      <c r="C323" s="19">
        <f>IFERROR(E319,"")</f>
        <v/>
      </c>
    </row>
    <row r="324">
      <c r="A324" s="18" t="inlineStr">
        <is>
          <t>③ 跳跃总计</t>
        </is>
      </c>
      <c r="B324" s="18" t="inlineStr">
        <is>
          <t>①+②</t>
        </is>
      </c>
      <c r="C324" s="19">
        <f>IFERROR(B322+B323,"")</f>
        <v/>
      </c>
    </row>
    <row r="325">
      <c r="A325" s="18" t="inlineStr">
        <is>
          <t>④ 热身VL</t>
        </is>
      </c>
      <c r="B325" s="18" t="inlineStr">
        <is>
          <t>20×5+50%×3(+70%×2)</t>
        </is>
      </c>
      <c r="C325" s="19">
        <f>IFERROR(20*5+ROUND(V305*0.5,0)*3+ROUND(V{dr}*0.7,0)*2,"-")</f>
        <v/>
      </c>
    </row>
    <row r="326">
      <c r="A326" s="20" t="inlineStr">
        <is>
          <t>⑤ 主项工作组VL ★</t>
        </is>
      </c>
      <c r="B326" s="20" t="inlineStr">
        <is>
          <t>Σ(负荷×次数)</t>
        </is>
      </c>
      <c r="C326" s="21">
        <f>SUMPRODUCT($B$309:$B$314,$R$309:$R$314)</f>
        <v/>
      </c>
    </row>
    <row r="327">
      <c r="A327" s="18" t="inlineStr">
        <is>
          <t>⑥ 主项总VL</t>
        </is>
      </c>
      <c r="B327" s="18" t="inlineStr">
        <is>
          <t>④+⑤</t>
        </is>
      </c>
      <c r="C327" s="19">
        <f>IFERROR(D322+D323,"")</f>
        <v/>
      </c>
    </row>
    <row r="328">
      <c r="A328" s="18" t="inlineStr">
        <is>
          <t>⑦ 辅助VL</t>
        </is>
      </c>
      <c r="B328" s="18" t="inlineStr">
        <is>
          <t>RDL/保加利亚</t>
        </is>
      </c>
      <c r="C328" s="19">
        <f>IFERROR(I315,"")</f>
        <v/>
      </c>
    </row>
    <row r="329">
      <c r="A329" s="18" t="inlineStr">
        <is>
          <t>⑧ 总外部负荷</t>
        </is>
      </c>
      <c r="B329" s="18" t="inlineStr">
        <is>
          <t>⑥+⑦(+负重跳)</t>
        </is>
      </c>
      <c r="C329" s="19">
        <f>IFERROR(F322+G322,"")</f>
        <v/>
      </c>
    </row>
    <row r="330">
      <c r="A330" s="18" t="inlineStr">
        <is>
          <t>⑨ sRPE load</t>
        </is>
      </c>
      <c r="B330" s="18" t="inlineStr">
        <is>
          <t>sRPE×时长</t>
        </is>
      </c>
      <c r="C330" s="19">
        <f>IFERROR(F317,"")</f>
        <v/>
      </c>
    </row>
    <row r="333">
      <c r="A333" s="5" t="inlineStr">
        <is>
          <t>P009 王宏池  a=1.567 b=-0.0085 1RM=135</t>
        </is>
      </c>
    </row>
    <row r="334">
      <c r="A334" s="6" t="inlineStr">
        <is>
          <t>编号</t>
        </is>
      </c>
      <c r="B334" s="6" t="inlineStr">
        <is>
          <t>姓名</t>
        </is>
      </c>
      <c r="C334" s="6" t="inlineStr">
        <is>
          <t>身高</t>
        </is>
      </c>
      <c r="D334" s="6" t="inlineStr">
        <is>
          <t>1RM</t>
        </is>
      </c>
      <c r="E334" s="6" t="inlineStr">
        <is>
          <t>Hooper睡</t>
        </is>
      </c>
      <c r="F334" s="6" t="inlineStr">
        <is>
          <t>Hooper压</t>
        </is>
      </c>
      <c r="G334" s="6" t="inlineStr">
        <is>
          <t>Hooper疲</t>
        </is>
      </c>
      <c r="H334" s="6" t="inlineStr">
        <is>
          <t>Hooper酸</t>
        </is>
      </c>
      <c r="I334" s="6" t="inlineStr">
        <is>
          <t>H总</t>
        </is>
      </c>
      <c r="J334" s="6" t="inlineStr">
        <is>
          <t>不适?</t>
        </is>
      </c>
      <c r="K334" s="6" t="inlineStr">
        <is>
          <t>说明</t>
        </is>
      </c>
      <c r="L334" s="6" t="inlineStr">
        <is>
          <t>CMJ1</t>
        </is>
      </c>
      <c r="M334" s="6" t="inlineStr">
        <is>
          <t>CMJ2</t>
        </is>
      </c>
      <c r="N334" s="6" t="inlineStr">
        <is>
          <t>CMJ3</t>
        </is>
      </c>
      <c r="O334" s="6" t="inlineStr">
        <is>
          <t>CMJμ</t>
        </is>
      </c>
      <c r="P334" s="6" t="inlineStr">
        <is>
          <t>&lt;95%</t>
        </is>
      </c>
      <c r="Q334" s="6" t="inlineStr">
        <is>
          <t>减组</t>
        </is>
      </c>
      <c r="R334" s="6" t="inlineStr">
        <is>
          <t>组数</t>
        </is>
      </c>
      <c r="S334" s="6" t="inlineStr">
        <is>
          <t>a(V0)</t>
        </is>
      </c>
      <c r="T334" s="6" t="inlineStr">
        <is>
          <t>b</t>
        </is>
      </c>
      <c r="U334" s="6" t="inlineStr">
        <is>
          <t>等级</t>
        </is>
      </c>
      <c r="V334" s="6" t="inlineStr">
        <is>
          <t>预测起始</t>
        </is>
      </c>
    </row>
    <row r="335">
      <c r="A335" s="7" t="inlineStr">
        <is>
          <t>P009</t>
        </is>
      </c>
      <c r="B335" s="7" t="inlineStr">
        <is>
          <t>王宏池</t>
        </is>
      </c>
      <c r="C335" s="7" t="n">
        <v>185</v>
      </c>
      <c r="D335" s="8" t="n">
        <v>135</v>
      </c>
      <c r="E335" s="9" t="n"/>
      <c r="F335" s="9" t="n"/>
      <c r="G335" s="9" t="n"/>
      <c r="H335" s="9" t="n"/>
      <c r="I335" s="7">
        <f>IFERROR(SUM(E335:H335),"")</f>
        <v/>
      </c>
      <c r="J335" s="9" t="n"/>
      <c r="K335" s="9" t="n"/>
      <c r="L335" s="9" t="n"/>
      <c r="M335" s="9" t="n"/>
      <c r="N335" s="9" t="n"/>
      <c r="O335" s="7">
        <f>IFERROR(AVERAGE(L335:N335),"")</f>
        <v/>
      </c>
      <c r="P335" s="7">
        <f>IF(O335="","",IF(O335&lt;54.27,"是⚠","否"))</f>
        <v/>
      </c>
      <c r="Q335" s="7">
        <f>IF(O335="","",IF(O335&lt;54.27,5-1,5))</f>
        <v/>
      </c>
      <c r="R335" s="7" t="n"/>
      <c r="S335" s="8" t="n">
        <v>1.567</v>
      </c>
      <c r="T335" s="8" t="n">
        <v>-0.008500000000000001</v>
      </c>
      <c r="U335" s="7" t="inlineStr">
        <is>
          <t>B</t>
        </is>
      </c>
      <c r="V335" s="8" t="n">
        <v>120</v>
      </c>
    </row>
    <row r="336">
      <c r="A336" s="10" t="inlineStr">
        <is>
          <t>热身校准</t>
        </is>
      </c>
      <c r="B336" s="10" t="inlineStr">
        <is>
          <t>a</t>
        </is>
      </c>
      <c r="C336" s="10" t="inlineStr">
        <is>
          <t>b</t>
        </is>
      </c>
      <c r="D336" s="10" t="inlineStr">
        <is>
          <t>50%热身</t>
        </is>
      </c>
      <c r="E336" s="10" t="inlineStr">
        <is>
          <t>70%热身</t>
        </is>
      </c>
      <c r="F336" s="10" t="inlineStr">
        <is>
          <t>热身负荷</t>
        </is>
      </c>
      <c r="G336" s="10" t="inlineStr">
        <is>
          <t>实测MCV</t>
        </is>
      </c>
      <c r="H336" s="10" t="inlineStr">
        <is>
          <t>预测MCV</t>
        </is>
      </c>
      <c r="I336" s="10" t="inlineStr">
        <is>
          <t>Δv</t>
        </is>
      </c>
      <c r="J336" s="10" t="inlineStr">
        <is>
          <t>调整量</t>
        </is>
      </c>
      <c r="K336" s="10" t="inlineStr">
        <is>
          <t>校准第1组</t>
        </is>
      </c>
    </row>
    <row r="337">
      <c r="A337" s="7" t="n"/>
      <c r="B337" s="11" t="n">
        <v>1.567</v>
      </c>
      <c r="C337" s="11" t="n">
        <v>-0.008500000000000001</v>
      </c>
      <c r="D337" s="11">
        <f>IFERROR(ROUND(V335*0.5/2.5,0)*2.5,"")</f>
        <v/>
      </c>
      <c r="E337" s="11">
        <f>IFERROR(ROUND(V335*0.7/2.5,0)*2.5,"")</f>
        <v/>
      </c>
      <c r="F337" s="11">
        <f>IFERROR(ROUND(V335*0.6/2.5,0)*2.5,"")</f>
        <v/>
      </c>
      <c r="G337" s="9" t="n"/>
      <c r="H337" s="11">
        <f>IFERROR(B337+C337*F337,"")</f>
        <v/>
      </c>
      <c r="I337" s="11">
        <f>IFERROR(G337-H337,"")</f>
        <v/>
      </c>
      <c r="J337" s="11">
        <f>IFERROR(IF(I337&gt;0.08,5,IF(I337&gt;0.04,2.5,IF(I337&gt;=-0.04,0,IF(I337&gt;=-0.08,-2.5,-5)))),"")</f>
        <v/>
      </c>
      <c r="K337" s="11">
        <f>IFERROR(ROUND(V335+J337,0),"")</f>
        <v/>
      </c>
    </row>
    <row r="338">
      <c r="A338" s="12" t="inlineStr">
        <is>
          <t>组</t>
        </is>
      </c>
      <c r="B338" s="12" t="inlineStr">
        <is>
          <t>负荷</t>
        </is>
      </c>
      <c r="C338" s="12" t="inlineStr">
        <is>
          <t>rep1</t>
        </is>
      </c>
      <c r="D338" s="12" t="inlineStr">
        <is>
          <t>rep2</t>
        </is>
      </c>
      <c r="E338" s="12" t="inlineStr">
        <is>
          <t>rep3</t>
        </is>
      </c>
      <c r="F338" s="12" t="inlineStr">
        <is>
          <t>rep4</t>
        </is>
      </c>
      <c r="G338" s="12" t="inlineStr">
        <is>
          <t>rep5</t>
        </is>
      </c>
      <c r="H338" s="12" t="inlineStr">
        <is>
          <t>rep6</t>
        </is>
      </c>
      <c r="I338" s="12" t="inlineStr">
        <is>
          <t>best</t>
        </is>
      </c>
      <c r="J338" s="12" t="inlineStr">
        <is>
          <t>best#</t>
        </is>
      </c>
      <c r="K338" s="12" t="inlineStr">
        <is>
          <t>VL%</t>
        </is>
      </c>
      <c r="L338" s="12" t="inlineStr">
        <is>
          <t>stop_th</t>
        </is>
      </c>
      <c r="M338" s="12" t="inlineStr">
        <is>
          <t>latest</t>
        </is>
      </c>
      <c r="N338" s="12" t="inlineStr">
        <is>
          <t>VL_flag</t>
        </is>
      </c>
      <c r="O338" s="12" t="inlineStr">
        <is>
          <t>safety</t>
        </is>
      </c>
      <c r="P338" s="12" t="inlineStr">
        <is>
          <t>原因</t>
        </is>
      </c>
      <c r="Q338" s="12" t="inlineStr">
        <is>
          <t>建议</t>
        </is>
      </c>
      <c r="R338" s="12" t="inlineStr">
        <is>
          <t>次数</t>
        </is>
      </c>
    </row>
    <row r="339">
      <c r="A339" s="7" t="n">
        <v>1</v>
      </c>
      <c r="B339" s="9">
        <f>IFERROR(K337,"")</f>
        <v/>
      </c>
      <c r="C339" s="9" t="n"/>
      <c r="D339" s="9" t="n"/>
      <c r="E339" s="9" t="n"/>
      <c r="F339" s="9" t="n"/>
      <c r="G339" s="9" t="n"/>
      <c r="H339" s="9" t="n"/>
      <c r="I339" s="7">
        <f>IFERROR(MAX(C339:H339),"")</f>
        <v/>
      </c>
      <c r="J339" s="7">
        <f>IFERROR(MATCH(I339,C339:H339,0),"")</f>
        <v/>
      </c>
      <c r="K339" s="7" t="n">
        <v>22</v>
      </c>
      <c r="L339" s="7">
        <f>IFERROR(I339*(1-(K339/100)),"")</f>
        <v/>
      </c>
      <c r="M339" s="7">
        <f>IFERROR(LOOKUP(9.99E+307,C339:H339),"")</f>
        <v/>
      </c>
      <c r="N339" s="7">
        <f>IFERROR(IF(M339="","",IF(M339&lt;=N339,"停组🛑","继续✓")),"")</f>
        <v/>
      </c>
      <c r="O339" s="7">
        <f>IFERROR(IF(M339="","",IF(M339&lt;0.15,"SAFETY_STOP","")),"")</f>
        <v/>
      </c>
      <c r="P339" s="7">
        <f>IFERROR(IF(M339="","",IF(M339&lt;0.15,"SAFETY_STOP",IF(M339&lt;=N339,"VL_THRESHOLD",""))),"")</f>
        <v/>
      </c>
      <c r="Q339" s="7">
        <f>IFERROR(IF(I339="","",IF(I339&gt;(0.55+0.05),"+5kg",IF(I339&gt;(0.55+0.02),"+2.5kg",IF(I339&gt;=(0.55-0.05),"保持",IF(I339&gt;=(0.55-0.08),"-2.5kg","-5kg"))))),"")</f>
        <v/>
      </c>
      <c r="R339" s="9" t="n"/>
    </row>
    <row r="340">
      <c r="A340" s="7" t="n">
        <v>2</v>
      </c>
      <c r="B340" s="9" t="n"/>
      <c r="C340" s="9" t="n"/>
      <c r="D340" s="9" t="n"/>
      <c r="E340" s="9" t="n"/>
      <c r="F340" s="9" t="n"/>
      <c r="G340" s="9" t="n"/>
      <c r="H340" s="9" t="n"/>
      <c r="I340" s="7">
        <f>IFERROR(MAX(C340:H340),"")</f>
        <v/>
      </c>
      <c r="J340" s="7">
        <f>IFERROR(MATCH(I340,C340:H340,0),"")</f>
        <v/>
      </c>
      <c r="K340" s="7" t="n">
        <v>22</v>
      </c>
      <c r="L340" s="7">
        <f>IFERROR(I340*(1-(K340/100)),"")</f>
        <v/>
      </c>
      <c r="M340" s="7">
        <f>IFERROR(LOOKUP(9.99E+307,C340:H340),"")</f>
        <v/>
      </c>
      <c r="N340" s="7">
        <f>IFERROR(IF(M340="","",IF(M340&lt;=N340,"停组🛑","继续✓")),"")</f>
        <v/>
      </c>
      <c r="O340" s="7">
        <f>IFERROR(IF(M340="","",IF(M340&lt;0.15,"SAFETY_STOP","")),"")</f>
        <v/>
      </c>
      <c r="P340" s="7">
        <f>IFERROR(IF(M340="","",IF(M340&lt;0.15,"SAFETY_STOP",IF(M340&lt;=N340,"VL_THRESHOLD",""))),"")</f>
        <v/>
      </c>
      <c r="Q340" s="7">
        <f>IFERROR(IF(I340="","",IF(I340&gt;(0.55+0.05),"+5kg",IF(I340&gt;(0.55+0.02),"+2.5kg",IF(I340&gt;=(0.55-0.05),"保持",IF(I340&gt;=(0.55-0.08),"-2.5kg","-5kg"))))),"")</f>
        <v/>
      </c>
      <c r="R340" s="9" t="n"/>
    </row>
    <row r="341">
      <c r="A341" s="7" t="n">
        <v>3</v>
      </c>
      <c r="B341" s="9" t="n"/>
      <c r="C341" s="9" t="n"/>
      <c r="D341" s="9" t="n"/>
      <c r="E341" s="9" t="n"/>
      <c r="F341" s="9" t="n"/>
      <c r="G341" s="9" t="n"/>
      <c r="H341" s="9" t="n"/>
      <c r="I341" s="7">
        <f>IFERROR(MAX(C341:H341),"")</f>
        <v/>
      </c>
      <c r="J341" s="7">
        <f>IFERROR(MATCH(I341,C341:H341,0),"")</f>
        <v/>
      </c>
      <c r="K341" s="7" t="n">
        <v>22</v>
      </c>
      <c r="L341" s="7">
        <f>IFERROR(I341*(1-(K341/100)),"")</f>
        <v/>
      </c>
      <c r="M341" s="7">
        <f>IFERROR(LOOKUP(9.99E+307,C341:H341),"")</f>
        <v/>
      </c>
      <c r="N341" s="7">
        <f>IFERROR(IF(M341="","",IF(M341&lt;=N341,"停组🛑","继续✓")),"")</f>
        <v/>
      </c>
      <c r="O341" s="7">
        <f>IFERROR(IF(M341="","",IF(M341&lt;0.15,"SAFETY_STOP","")),"")</f>
        <v/>
      </c>
      <c r="P341" s="7">
        <f>IFERROR(IF(M341="","",IF(M341&lt;0.15,"SAFETY_STOP",IF(M341&lt;=N341,"VL_THRESHOLD",""))),"")</f>
        <v/>
      </c>
      <c r="Q341" s="7">
        <f>IFERROR(IF(I341="","",IF(I341&gt;(0.55+0.05),"+5kg",IF(I341&gt;(0.55+0.02),"+2.5kg",IF(I341&gt;=(0.55-0.05),"保持",IF(I341&gt;=(0.55-0.08),"-2.5kg","-5kg"))))),"")</f>
        <v/>
      </c>
      <c r="R341" s="9" t="n"/>
    </row>
    <row r="342">
      <c r="A342" s="7" t="n">
        <v>4</v>
      </c>
      <c r="B342" s="9" t="n"/>
      <c r="C342" s="9" t="n"/>
      <c r="D342" s="9" t="n"/>
      <c r="E342" s="9" t="n"/>
      <c r="F342" s="9" t="n"/>
      <c r="G342" s="9" t="n"/>
      <c r="H342" s="9" t="n"/>
      <c r="I342" s="7">
        <f>IFERROR(MAX(C342:H342),"")</f>
        <v/>
      </c>
      <c r="J342" s="7">
        <f>IFERROR(MATCH(I342,C342:H342,0),"")</f>
        <v/>
      </c>
      <c r="K342" s="7" t="n">
        <v>22</v>
      </c>
      <c r="L342" s="7">
        <f>IFERROR(I342*(1-(K342/100)),"")</f>
        <v/>
      </c>
      <c r="M342" s="7">
        <f>IFERROR(LOOKUP(9.99E+307,C342:H342),"")</f>
        <v/>
      </c>
      <c r="N342" s="7">
        <f>IFERROR(IF(M342="","",IF(M342&lt;=N342,"停组🛑","继续✓")),"")</f>
        <v/>
      </c>
      <c r="O342" s="7">
        <f>IFERROR(IF(M342="","",IF(M342&lt;0.15,"SAFETY_STOP","")),"")</f>
        <v/>
      </c>
      <c r="P342" s="7">
        <f>IFERROR(IF(M342="","",IF(M342&lt;0.15,"SAFETY_STOP",IF(M342&lt;=N342,"VL_THRESHOLD",""))),"")</f>
        <v/>
      </c>
      <c r="Q342" s="7">
        <f>IFERROR(IF(I342="","",IF(I342&gt;(0.55+0.05),"+5kg",IF(I342&gt;(0.55+0.02),"+2.5kg",IF(I342&gt;=(0.55-0.05),"保持",IF(I342&gt;=(0.55-0.08),"-2.5kg","-5kg"))))),"")</f>
        <v/>
      </c>
      <c r="R342" s="9" t="n"/>
    </row>
    <row r="343">
      <c r="A343" s="7" t="n">
        <v>5</v>
      </c>
      <c r="B343" s="9" t="n"/>
      <c r="C343" s="9" t="n"/>
      <c r="D343" s="9" t="n"/>
      <c r="E343" s="9" t="n"/>
      <c r="F343" s="9" t="n"/>
      <c r="G343" s="9" t="n"/>
      <c r="H343" s="9" t="n"/>
      <c r="I343" s="7">
        <f>IFERROR(MAX(C343:H343),"")</f>
        <v/>
      </c>
      <c r="J343" s="7">
        <f>IFERROR(MATCH(I343,C343:H343,0),"")</f>
        <v/>
      </c>
      <c r="K343" s="7" t="n">
        <v>22</v>
      </c>
      <c r="L343" s="7">
        <f>IFERROR(I343*(1-(K343/100)),"")</f>
        <v/>
      </c>
      <c r="M343" s="7">
        <f>IFERROR(LOOKUP(9.99E+307,C343:H343),"")</f>
        <v/>
      </c>
      <c r="N343" s="7">
        <f>IFERROR(IF(M343="","",IF(M343&lt;=N343,"停组🛑","继续✓")),"")</f>
        <v/>
      </c>
      <c r="O343" s="7">
        <f>IFERROR(IF(M343="","",IF(M343&lt;0.15,"SAFETY_STOP","")),"")</f>
        <v/>
      </c>
      <c r="P343" s="7">
        <f>IFERROR(IF(M343="","",IF(M343&lt;0.15,"SAFETY_STOP",IF(M343&lt;=N343,"VL_THRESHOLD",""))),"")</f>
        <v/>
      </c>
      <c r="Q343" s="7">
        <f>IFERROR(IF(I343="","",IF(I343&gt;(0.55+0.05),"+5kg",IF(I343&gt;(0.55+0.02),"+2.5kg",IF(I343&gt;=(0.55-0.05),"保持",IF(I343&gt;=(0.55-0.08),"-2.5kg","-5kg"))))),"")</f>
        <v/>
      </c>
      <c r="R343" s="9" t="n"/>
    </row>
    <row r="344">
      <c r="A344" s="7" t="n">
        <v>6</v>
      </c>
      <c r="B344" s="9" t="n"/>
      <c r="C344" s="9" t="n"/>
      <c r="D344" s="9" t="n"/>
      <c r="E344" s="9" t="n"/>
      <c r="F344" s="9" t="n"/>
      <c r="G344" s="9" t="n"/>
      <c r="H344" s="9" t="n"/>
      <c r="I344" s="7">
        <f>IFERROR(MAX(C344:H344),"")</f>
        <v/>
      </c>
      <c r="J344" s="7">
        <f>IFERROR(MATCH(I344,C344:H344,0),"")</f>
        <v/>
      </c>
      <c r="K344" s="7" t="n">
        <v>22</v>
      </c>
      <c r="L344" s="7">
        <f>IFERROR(I344*(1-(K344/100)),"")</f>
        <v/>
      </c>
      <c r="M344" s="7">
        <f>IFERROR(LOOKUP(9.99E+307,C344:H344),"")</f>
        <v/>
      </c>
      <c r="N344" s="7">
        <f>IFERROR(IF(M344="","",IF(M344&lt;=N344,"停组🛑","继续✓")),"")</f>
        <v/>
      </c>
      <c r="O344" s="7">
        <f>IFERROR(IF(M344="","",IF(M344&lt;0.15,"SAFETY_STOP","")),"")</f>
        <v/>
      </c>
      <c r="P344" s="7">
        <f>IFERROR(IF(M344="","",IF(M344&lt;0.15,"SAFETY_STOP",IF(M344&lt;=N344,"VL_THRESHOLD",""))),"")</f>
        <v/>
      </c>
      <c r="Q344" s="7">
        <f>IFERROR(IF(I344="","",IF(I344&gt;(0.55+0.05),"+5kg",IF(I344&gt;(0.55+0.02),"+2.5kg",IF(I344&gt;=(0.55-0.05),"保持",IF(I344&gt;=(0.55-0.08),"-2.5kg","-5kg"))))),"")</f>
        <v/>
      </c>
      <c r="R344" s="9" t="n"/>
    </row>
    <row r="345">
      <c r="A345" s="13" t="inlineStr">
        <is>
          <t>辅助</t>
        </is>
      </c>
      <c r="D345" s="14" t="inlineStr">
        <is>
          <t>RDL</t>
        </is>
      </c>
      <c r="E345" s="14" t="inlineStr">
        <is>
          <t>负荷</t>
        </is>
      </c>
      <c r="F345" s="14" t="inlineStr">
        <is>
          <t>完成</t>
        </is>
      </c>
      <c r="I345" t="inlineStr">
        <is>
          <t>VL</t>
        </is>
      </c>
    </row>
    <row r="346">
      <c r="A346" s="15" t="inlineStr">
        <is>
          <t>训练后</t>
        </is>
      </c>
      <c r="B346" s="15" t="inlineStr">
        <is>
          <t>开始</t>
        </is>
      </c>
      <c r="C346" s="15" t="inlineStr">
        <is>
          <t>结束</t>
        </is>
      </c>
      <c r="D346" s="15" t="inlineStr">
        <is>
          <t>时长min</t>
        </is>
      </c>
      <c r="E346" s="15" t="inlineStr">
        <is>
          <t>sRPE</t>
        </is>
      </c>
      <c r="F346" s="15" t="inlineStr">
        <is>
          <t>load</t>
        </is>
      </c>
      <c r="G346" s="15" t="inlineStr">
        <is>
          <t>不适?</t>
        </is>
      </c>
      <c r="H346" s="15" t="inlineStr">
        <is>
          <t>备注</t>
        </is>
      </c>
      <c r="I346" s="15" t="inlineStr">
        <is>
          <t>签名</t>
        </is>
      </c>
    </row>
    <row r="347">
      <c r="A347" s="7" t="n"/>
      <c r="B347" s="9" t="n"/>
      <c r="C347" s="9" t="n"/>
      <c r="D347" s="11">
        <f>IFERROR((C347-B347)*1440,"")</f>
        <v/>
      </c>
      <c r="E347" s="9" t="n"/>
      <c r="F347" s="11">
        <f>IFERROR(E347*D347,"")</f>
        <v/>
      </c>
      <c r="G347" s="9" t="n"/>
      <c r="H347" s="9" t="n"/>
      <c r="I347" s="9" t="n"/>
    </row>
    <row r="348">
      <c r="A348" s="16" t="inlineStr">
        <is>
          <t>跳跃</t>
        </is>
      </c>
      <c r="B348" s="16" t="inlineStr">
        <is>
          <t>类型</t>
        </is>
      </c>
      <c r="C348" s="16" t="inlineStr">
        <is>
          <t>组×次</t>
        </is>
      </c>
      <c r="D348" s="16" t="inlineStr">
        <is>
          <t>负荷kg</t>
        </is>
      </c>
      <c r="E348" s="16" t="inlineStr">
        <is>
          <t>接触</t>
        </is>
      </c>
    </row>
    <row r="349">
      <c r="B349" t="inlineStr">
        <is>
          <t>CMJ</t>
        </is>
      </c>
      <c r="C349" t="inlineStr">
        <is>
          <t>3×3</t>
        </is>
      </c>
      <c r="D349" t="n">
        <v>0</v>
      </c>
      <c r="E349" t="n">
        <v>9</v>
      </c>
    </row>
    <row r="350">
      <c r="B350" t="inlineStr">
        <is>
          <t>箱跳</t>
        </is>
      </c>
      <c r="C350" t="inlineStr">
        <is>
          <t>2×3</t>
        </is>
      </c>
      <c r="D350" t="n">
        <v>0</v>
      </c>
      <c r="E350" t="n">
        <v>6</v>
      </c>
    </row>
    <row r="351">
      <c r="A351" s="17" t="inlineStr">
        <is>
          <t>▶ 暴露量汇总</t>
        </is>
      </c>
      <c r="B351" s="17" t="inlineStr">
        <is>
          <t>说明</t>
        </is>
      </c>
      <c r="C351" s="17" t="inlineStr">
        <is>
          <t>公式/来源</t>
        </is>
      </c>
      <c r="D351" s="17" t="inlineStr">
        <is>
          <t>数值</t>
        </is>
      </c>
    </row>
    <row r="352">
      <c r="A352" s="18" t="inlineStr">
        <is>
          <t>① 无负荷跳跃接触</t>
        </is>
      </c>
      <c r="B352" s="18" t="inlineStr">
        <is>
          <t>CMJ+SJ+箱跳</t>
        </is>
      </c>
      <c r="C352" s="19">
        <f>IFERROR(E349+E350,2)</f>
        <v/>
      </c>
    </row>
    <row r="353">
      <c r="A353" s="18" t="inlineStr">
        <is>
          <t>② 负重跳跃接触</t>
        </is>
      </c>
      <c r="B353" s="18" t="inlineStr">
        <is>
          <t>负重深蹲跳</t>
        </is>
      </c>
      <c r="C353" s="19">
        <f>IFERROR(E349,"")</f>
        <v/>
      </c>
    </row>
    <row r="354">
      <c r="A354" s="18" t="inlineStr">
        <is>
          <t>③ 跳跃总计</t>
        </is>
      </c>
      <c r="B354" s="18" t="inlineStr">
        <is>
          <t>①+②</t>
        </is>
      </c>
      <c r="C354" s="19">
        <f>IFERROR(B352+B353,"")</f>
        <v/>
      </c>
    </row>
    <row r="355">
      <c r="A355" s="18" t="inlineStr">
        <is>
          <t>④ 热身VL</t>
        </is>
      </c>
      <c r="B355" s="18" t="inlineStr">
        <is>
          <t>20×5+50%×3(+70%×2)</t>
        </is>
      </c>
      <c r="C355" s="19">
        <f>IFERROR(20*5+ROUND(V335*0.5,0)*3+ROUND(V{dr}*0.7,0)*2,"-")</f>
        <v/>
      </c>
    </row>
    <row r="356">
      <c r="A356" s="20" t="inlineStr">
        <is>
          <t>⑤ 主项工作组VL ★</t>
        </is>
      </c>
      <c r="B356" s="20" t="inlineStr">
        <is>
          <t>Σ(负荷×次数)</t>
        </is>
      </c>
      <c r="C356" s="21">
        <f>SUMPRODUCT($B$339:$B$344,$R$339:$R$344)</f>
        <v/>
      </c>
    </row>
    <row r="357">
      <c r="A357" s="18" t="inlineStr">
        <is>
          <t>⑥ 主项总VL</t>
        </is>
      </c>
      <c r="B357" s="18" t="inlineStr">
        <is>
          <t>④+⑤</t>
        </is>
      </c>
      <c r="C357" s="19">
        <f>IFERROR(D352+D353,"")</f>
        <v/>
      </c>
    </row>
    <row r="358">
      <c r="A358" s="18" t="inlineStr">
        <is>
          <t>⑦ 辅助VL</t>
        </is>
      </c>
      <c r="B358" s="18" t="inlineStr">
        <is>
          <t>RDL/保加利亚</t>
        </is>
      </c>
      <c r="C358" s="19">
        <f>IFERROR(I345,"")</f>
        <v/>
      </c>
    </row>
    <row r="359">
      <c r="A359" s="18" t="inlineStr">
        <is>
          <t>⑧ 总外部负荷</t>
        </is>
      </c>
      <c r="B359" s="18" t="inlineStr">
        <is>
          <t>⑥+⑦(+负重跳)</t>
        </is>
      </c>
      <c r="C359" s="19">
        <f>IFERROR(F352+G352,"")</f>
        <v/>
      </c>
    </row>
    <row r="360">
      <c r="A360" s="18" t="inlineStr">
        <is>
          <t>⑨ sRPE load</t>
        </is>
      </c>
      <c r="B360" s="18" t="inlineStr">
        <is>
          <t>sRPE×时长</t>
        </is>
      </c>
      <c r="C360" s="19">
        <f>IFERROR(F347,"")</f>
        <v/>
      </c>
    </row>
  </sheetData>
  <mergeCells count="25">
    <mergeCell ref="A213:V213"/>
    <mergeCell ref="A255:C255"/>
    <mergeCell ref="A33:V33"/>
    <mergeCell ref="A75:C75"/>
    <mergeCell ref="A303:V303"/>
    <mergeCell ref="A105:C105"/>
    <mergeCell ref="A285:C285"/>
    <mergeCell ref="A333:V333"/>
    <mergeCell ref="A195:C195"/>
    <mergeCell ref="A63:V63"/>
    <mergeCell ref="A93:V93"/>
    <mergeCell ref="A135:C135"/>
    <mergeCell ref="A165:C165"/>
    <mergeCell ref="A1:V1"/>
    <mergeCell ref="A123:V123"/>
    <mergeCell ref="A153:V153"/>
    <mergeCell ref="A15:C15"/>
    <mergeCell ref="A243:V243"/>
    <mergeCell ref="A183:V183"/>
    <mergeCell ref="A225:C225"/>
    <mergeCell ref="A45:C45"/>
    <mergeCell ref="A273:V273"/>
    <mergeCell ref="A315:C315"/>
    <mergeCell ref="A3:V3"/>
    <mergeCell ref="A345:C3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12" customWidth="1" min="12" max="12"/>
    <col width="10" customWidth="1" min="13" max="13"/>
    <col width="10" customWidth="1" min="14" max="14"/>
    <col width="12" customWidth="1" min="15" max="15"/>
    <col width="18" customWidth="1" min="16" max="16"/>
    <col width="12" customWidth="1" min="17" max="17"/>
    <col width="10" customWidth="1" min="18" max="18"/>
    <col width="12" customWidth="1" min="19" max="19"/>
    <col width="16" customWidth="1" min="20" max="20"/>
    <col width="14" customWidth="1" min="21" max="21"/>
    <col width="14" customWidth="1" min="22" max="22"/>
  </cols>
  <sheetData>
    <row r="1">
      <c r="A1" s="1" t="inlineStr">
        <is>
          <t>研究二AI组 W2_B (B日) MC=0.70-0.80 VL%=12</t>
        </is>
      </c>
    </row>
    <row r="2">
      <c r="A2" s="2" t="inlineStr">
        <is>
          <t>MC区间</t>
        </is>
      </c>
      <c r="B2" s="3" t="inlineStr">
        <is>
          <t>MC中点</t>
        </is>
      </c>
      <c r="C2" s="3" t="inlineStr">
        <is>
          <t>VL%</t>
        </is>
      </c>
      <c r="D2" s="3" t="inlineStr">
        <is>
          <t>安全停止</t>
        </is>
      </c>
      <c r="E2" s="3" t="inlineStr">
        <is>
          <t>组数</t>
        </is>
      </c>
      <c r="F2" s="3" t="inlineStr">
        <is>
          <t>热身</t>
        </is>
      </c>
      <c r="G2" s="4" t="inlineStr">
        <is>
          <t>B</t>
        </is>
      </c>
    </row>
    <row r="3">
      <c r="A3" s="5" t="inlineStr">
        <is>
          <t>P007 陈鑫  a=1.65 b=-0.0125 1RM=110</t>
        </is>
      </c>
    </row>
    <row r="4">
      <c r="A4" s="6" t="inlineStr">
        <is>
          <t>编号</t>
        </is>
      </c>
      <c r="B4" s="6" t="inlineStr">
        <is>
          <t>姓名</t>
        </is>
      </c>
      <c r="C4" s="6" t="inlineStr">
        <is>
          <t>身高</t>
        </is>
      </c>
      <c r="D4" s="6" t="inlineStr">
        <is>
          <t>1RM</t>
        </is>
      </c>
      <c r="E4" s="6" t="inlineStr">
        <is>
          <t>Hooper睡</t>
        </is>
      </c>
      <c r="F4" s="6" t="inlineStr">
        <is>
          <t>Hooper压</t>
        </is>
      </c>
      <c r="G4" s="6" t="inlineStr">
        <is>
          <t>Hooper疲</t>
        </is>
      </c>
      <c r="H4" s="6" t="inlineStr">
        <is>
          <t>Hooper酸</t>
        </is>
      </c>
      <c r="I4" s="6" t="inlineStr">
        <is>
          <t>H总</t>
        </is>
      </c>
      <c r="J4" s="6" t="inlineStr">
        <is>
          <t>不适?</t>
        </is>
      </c>
      <c r="K4" s="6" t="inlineStr">
        <is>
          <t>说明</t>
        </is>
      </c>
      <c r="L4" s="6" t="inlineStr">
        <is>
          <t>CMJ1</t>
        </is>
      </c>
      <c r="M4" s="6" t="inlineStr">
        <is>
          <t>CMJ2</t>
        </is>
      </c>
      <c r="N4" s="6" t="inlineStr">
        <is>
          <t>CMJ3</t>
        </is>
      </c>
      <c r="O4" s="6" t="inlineStr">
        <is>
          <t>CMJμ</t>
        </is>
      </c>
      <c r="P4" s="6" t="inlineStr">
        <is>
          <t>&lt;95%</t>
        </is>
      </c>
      <c r="Q4" s="6" t="inlineStr">
        <is>
          <t>减组</t>
        </is>
      </c>
      <c r="R4" s="6" t="inlineStr">
        <is>
          <t>组数</t>
        </is>
      </c>
      <c r="S4" s="6" t="inlineStr">
        <is>
          <t>a(V0)</t>
        </is>
      </c>
      <c r="T4" s="6" t="inlineStr">
        <is>
          <t>b</t>
        </is>
      </c>
      <c r="U4" s="6" t="inlineStr">
        <is>
          <t>等级</t>
        </is>
      </c>
      <c r="V4" s="6" t="inlineStr">
        <is>
          <t>预测起始</t>
        </is>
      </c>
    </row>
    <row r="5">
      <c r="A5" s="7" t="inlineStr">
        <is>
          <t>P007</t>
        </is>
      </c>
      <c r="B5" s="7" t="inlineStr">
        <is>
          <t>陈鑫</t>
        </is>
      </c>
      <c r="C5" s="7" t="n">
        <v>173</v>
      </c>
      <c r="D5" s="8" t="n">
        <v>110</v>
      </c>
      <c r="E5" s="9" t="n"/>
      <c r="F5" s="9" t="n"/>
      <c r="G5" s="9" t="n"/>
      <c r="H5" s="9" t="n"/>
      <c r="I5" s="7">
        <f>IFERROR(SUM(E5:H5),"")</f>
        <v/>
      </c>
      <c r="J5" s="9" t="n"/>
      <c r="K5" s="9" t="n"/>
      <c r="L5" s="9" t="n"/>
      <c r="M5" s="9" t="n"/>
      <c r="N5" s="9" t="n"/>
      <c r="O5" s="7">
        <f>IFERROR(AVERAGE(L5:N5),"")</f>
        <v/>
      </c>
      <c r="P5" s="7">
        <f>IF(O5="","",IF(O5&lt;63.01,"是⚠","否"))</f>
        <v/>
      </c>
      <c r="Q5" s="7">
        <f>IF(O5="","",IF(O5&lt;63.01,5-1,5))</f>
        <v/>
      </c>
      <c r="R5" s="7" t="n"/>
      <c r="S5" s="8" t="n">
        <v>1.65</v>
      </c>
      <c r="T5" s="8" t="n">
        <v>-0.0125</v>
      </c>
      <c r="U5" s="7" t="inlineStr">
        <is>
          <t>A</t>
        </is>
      </c>
      <c r="V5" s="8" t="n">
        <v>72.5</v>
      </c>
    </row>
    <row r="6">
      <c r="A6" s="10" t="inlineStr">
        <is>
          <t>热身校准</t>
        </is>
      </c>
      <c r="B6" s="10" t="inlineStr">
        <is>
          <t>a</t>
        </is>
      </c>
      <c r="C6" s="10" t="inlineStr">
        <is>
          <t>b</t>
        </is>
      </c>
      <c r="D6" s="10" t="inlineStr">
        <is>
          <t>50%热身</t>
        </is>
      </c>
      <c r="E6" s="10" t="inlineStr">
        <is>
          <t>70%热身</t>
        </is>
      </c>
      <c r="F6" s="10" t="inlineStr">
        <is>
          <t>热身负荷</t>
        </is>
      </c>
      <c r="G6" s="10" t="inlineStr">
        <is>
          <t>实测MCV</t>
        </is>
      </c>
      <c r="H6" s="10" t="inlineStr">
        <is>
          <t>预测MCV</t>
        </is>
      </c>
      <c r="I6" s="10" t="inlineStr">
        <is>
          <t>Δv</t>
        </is>
      </c>
      <c r="J6" s="10" t="inlineStr">
        <is>
          <t>调整量</t>
        </is>
      </c>
      <c r="K6" s="10" t="inlineStr">
        <is>
          <t>校准第1组</t>
        </is>
      </c>
    </row>
    <row r="7">
      <c r="A7" s="7" t="n"/>
      <c r="B7" s="11" t="n">
        <v>1.65</v>
      </c>
      <c r="C7" s="11" t="n">
        <v>-0.0125</v>
      </c>
      <c r="D7" s="11">
        <f>IFERROR(ROUND(V5*0.5/2.5,0)*2.5,"")</f>
        <v/>
      </c>
      <c r="E7" s="11" t="inlineStr"/>
      <c r="F7" s="11">
        <f>IFERROR(ROUND(V5*0.5/2.5,0)*2.5,"")</f>
        <v/>
      </c>
      <c r="G7" s="9" t="n"/>
      <c r="H7" s="11">
        <f>IFERROR(B7+C7*F7,"")</f>
        <v/>
      </c>
      <c r="I7" s="11">
        <f>IFERROR(G7-H7,"")</f>
        <v/>
      </c>
      <c r="J7" s="11">
        <f>IFERROR(IF(I7&gt;0.08,5,IF(I7&gt;0.04,2.5,IF(I7&gt;=-0.04,0,IF(I7&gt;=-0.08,-2.5,-5)))),"")</f>
        <v/>
      </c>
      <c r="K7" s="11">
        <f>IFERROR(ROUND(V5+J7,0),"")</f>
        <v/>
      </c>
    </row>
    <row r="8">
      <c r="A8" s="12" t="inlineStr">
        <is>
          <t>组</t>
        </is>
      </c>
      <c r="B8" s="12" t="inlineStr">
        <is>
          <t>负荷</t>
        </is>
      </c>
      <c r="C8" s="12" t="inlineStr">
        <is>
          <t>rep1</t>
        </is>
      </c>
      <c r="D8" s="12" t="inlineStr">
        <is>
          <t>rep2</t>
        </is>
      </c>
      <c r="E8" s="12" t="inlineStr">
        <is>
          <t>rep3</t>
        </is>
      </c>
      <c r="F8" s="12" t="inlineStr">
        <is>
          <t>rep4</t>
        </is>
      </c>
      <c r="G8" s="12" t="inlineStr">
        <is>
          <t>rep5</t>
        </is>
      </c>
      <c r="H8" s="12" t="inlineStr">
        <is>
          <t>rep6</t>
        </is>
      </c>
      <c r="I8" s="12" t="inlineStr">
        <is>
          <t>best</t>
        </is>
      </c>
      <c r="J8" s="12" t="inlineStr">
        <is>
          <t>best#</t>
        </is>
      </c>
      <c r="K8" s="12" t="inlineStr">
        <is>
          <t>VL%</t>
        </is>
      </c>
      <c r="L8" s="12" t="inlineStr">
        <is>
          <t>stop_th</t>
        </is>
      </c>
      <c r="M8" s="12" t="inlineStr">
        <is>
          <t>latest</t>
        </is>
      </c>
      <c r="N8" s="12" t="inlineStr">
        <is>
          <t>VL_flag</t>
        </is>
      </c>
      <c r="O8" s="12" t="inlineStr">
        <is>
          <t>safety</t>
        </is>
      </c>
      <c r="P8" s="12" t="inlineStr">
        <is>
          <t>原因</t>
        </is>
      </c>
      <c r="Q8" s="12" t="inlineStr">
        <is>
          <t>建议</t>
        </is>
      </c>
      <c r="R8" s="12" t="inlineStr">
        <is>
          <t>次数</t>
        </is>
      </c>
    </row>
    <row r="9">
      <c r="A9" s="7" t="n">
        <v>1</v>
      </c>
      <c r="B9" s="9">
        <f>IFERROR(K7,"")</f>
        <v/>
      </c>
      <c r="C9" s="9" t="n"/>
      <c r="D9" s="9" t="n"/>
      <c r="E9" s="9" t="n"/>
      <c r="F9" s="9" t="n"/>
      <c r="G9" s="9" t="n"/>
      <c r="H9" s="9" t="n"/>
      <c r="I9" s="7">
        <f>IFERROR(MAX(C9:H9),"")</f>
        <v/>
      </c>
      <c r="J9" s="7">
        <f>IFERROR(MATCH(I9,C9:H9,0),"")</f>
        <v/>
      </c>
      <c r="K9" s="7" t="n">
        <v>12</v>
      </c>
      <c r="L9" s="7">
        <f>IFERROR(I9*(1-(K9/100)),"")</f>
        <v/>
      </c>
      <c r="M9" s="7">
        <f>IFERROR(LOOKUP(9.99E+307,C9:H9),"")</f>
        <v/>
      </c>
      <c r="N9" s="7">
        <f>IFERROR(IF(M9="","",IF(M9&lt;=N9,"停组🛑","继续✓")),"")</f>
        <v/>
      </c>
      <c r="O9" s="7">
        <f>IFERROR(IF(M9="","",IF(M9&lt;0.15,"SAFETY_STOP","")),"")</f>
        <v/>
      </c>
      <c r="P9" s="7">
        <f>IFERROR(IF(M9="","",IF(M9&lt;0.15,"SAFETY_STOP",IF(M9&lt;=N9,"VL_THRESHOLD",""))),"")</f>
        <v/>
      </c>
      <c r="Q9" s="7">
        <f>IFERROR(IF(I9="","",IF(I9&gt;(0.75+0.05),"+5kg",IF(I9&gt;(0.75+0.02),"+2.5kg",IF(I9&gt;=(0.75-0.05),"保持",IF(I9&gt;=(0.75-0.08),"-2.5kg","-5kg"))))),"")</f>
        <v/>
      </c>
      <c r="R9" s="9" t="n"/>
    </row>
    <row r="10">
      <c r="A10" s="7" t="n">
        <v>2</v>
      </c>
      <c r="B10" s="9" t="n"/>
      <c r="C10" s="9" t="n"/>
      <c r="D10" s="9" t="n"/>
      <c r="E10" s="9" t="n"/>
      <c r="F10" s="9" t="n"/>
      <c r="G10" s="9" t="n"/>
      <c r="H10" s="9" t="n"/>
      <c r="I10" s="7">
        <f>IFERROR(MAX(C10:H10),"")</f>
        <v/>
      </c>
      <c r="J10" s="7">
        <f>IFERROR(MATCH(I10,C10:H10,0),"")</f>
        <v/>
      </c>
      <c r="K10" s="7" t="n">
        <v>12</v>
      </c>
      <c r="L10" s="7">
        <f>IFERROR(I10*(1-(K10/100)),"")</f>
        <v/>
      </c>
      <c r="M10" s="7">
        <f>IFERROR(LOOKUP(9.99E+307,C10:H10),"")</f>
        <v/>
      </c>
      <c r="N10" s="7">
        <f>IFERROR(IF(M10="","",IF(M10&lt;=N10,"停组🛑","继续✓")),"")</f>
        <v/>
      </c>
      <c r="O10" s="7">
        <f>IFERROR(IF(M10="","",IF(M10&lt;0.15,"SAFETY_STOP","")),"")</f>
        <v/>
      </c>
      <c r="P10" s="7">
        <f>IFERROR(IF(M10="","",IF(M10&lt;0.15,"SAFETY_STOP",IF(M10&lt;=N10,"VL_THRESHOLD",""))),"")</f>
        <v/>
      </c>
      <c r="Q10" s="7">
        <f>IFERROR(IF(I10="","",IF(I10&gt;(0.75+0.05),"+5kg",IF(I10&gt;(0.75+0.02),"+2.5kg",IF(I10&gt;=(0.75-0.05),"保持",IF(I10&gt;=(0.75-0.08),"-2.5kg","-5kg"))))),"")</f>
        <v/>
      </c>
      <c r="R10" s="9" t="n"/>
    </row>
    <row r="11">
      <c r="A11" s="7" t="n">
        <v>3</v>
      </c>
      <c r="B11" s="9" t="n"/>
      <c r="C11" s="9" t="n"/>
      <c r="D11" s="9" t="n"/>
      <c r="E11" s="9" t="n"/>
      <c r="F11" s="9" t="n"/>
      <c r="G11" s="9" t="n"/>
      <c r="H11" s="9" t="n"/>
      <c r="I11" s="7">
        <f>IFERROR(MAX(C11:H11),"")</f>
        <v/>
      </c>
      <c r="J11" s="7">
        <f>IFERROR(MATCH(I11,C11:H11,0),"")</f>
        <v/>
      </c>
      <c r="K11" s="7" t="n">
        <v>12</v>
      </c>
      <c r="L11" s="7">
        <f>IFERROR(I11*(1-(K11/100)),"")</f>
        <v/>
      </c>
      <c r="M11" s="7">
        <f>IFERROR(LOOKUP(9.99E+307,C11:H11),"")</f>
        <v/>
      </c>
      <c r="N11" s="7">
        <f>IFERROR(IF(M11="","",IF(M11&lt;=N11,"停组🛑","继续✓")),"")</f>
        <v/>
      </c>
      <c r="O11" s="7">
        <f>IFERROR(IF(M11="","",IF(M11&lt;0.15,"SAFETY_STOP","")),"")</f>
        <v/>
      </c>
      <c r="P11" s="7">
        <f>IFERROR(IF(M11="","",IF(M11&lt;0.15,"SAFETY_STOP",IF(M11&lt;=N11,"VL_THRESHOLD",""))),"")</f>
        <v/>
      </c>
      <c r="Q11" s="7">
        <f>IFERROR(IF(I11="","",IF(I11&gt;(0.75+0.05),"+5kg",IF(I11&gt;(0.75+0.02),"+2.5kg",IF(I11&gt;=(0.75-0.05),"保持",IF(I11&gt;=(0.75-0.08),"-2.5kg","-5kg"))))),"")</f>
        <v/>
      </c>
      <c r="R11" s="9" t="n"/>
    </row>
    <row r="12">
      <c r="A12" s="7" t="n">
        <v>4</v>
      </c>
      <c r="B12" s="9" t="n"/>
      <c r="C12" s="9" t="n"/>
      <c r="D12" s="9" t="n"/>
      <c r="E12" s="9" t="n"/>
      <c r="F12" s="9" t="n"/>
      <c r="G12" s="9" t="n"/>
      <c r="H12" s="9" t="n"/>
      <c r="I12" s="7">
        <f>IFERROR(MAX(C12:H12),"")</f>
        <v/>
      </c>
      <c r="J12" s="7">
        <f>IFERROR(MATCH(I12,C12:H12,0),"")</f>
        <v/>
      </c>
      <c r="K12" s="7" t="n">
        <v>12</v>
      </c>
      <c r="L12" s="7">
        <f>IFERROR(I12*(1-(K12/100)),"")</f>
        <v/>
      </c>
      <c r="M12" s="7">
        <f>IFERROR(LOOKUP(9.99E+307,C12:H12),"")</f>
        <v/>
      </c>
      <c r="N12" s="7">
        <f>IFERROR(IF(M12="","",IF(M12&lt;=N12,"停组🛑","继续✓")),"")</f>
        <v/>
      </c>
      <c r="O12" s="7">
        <f>IFERROR(IF(M12="","",IF(M12&lt;0.15,"SAFETY_STOP","")),"")</f>
        <v/>
      </c>
      <c r="P12" s="7">
        <f>IFERROR(IF(M12="","",IF(M12&lt;0.15,"SAFETY_STOP",IF(M12&lt;=N12,"VL_THRESHOLD",""))),"")</f>
        <v/>
      </c>
      <c r="Q12" s="7">
        <f>IFERROR(IF(I12="","",IF(I12&gt;(0.75+0.05),"+5kg",IF(I12&gt;(0.75+0.02),"+2.5kg",IF(I12&gt;=(0.75-0.05),"保持",IF(I12&gt;=(0.75-0.08),"-2.5kg","-5kg"))))),"")</f>
        <v/>
      </c>
      <c r="R12" s="9" t="n"/>
    </row>
    <row r="13">
      <c r="A13" s="7" t="n">
        <v>5</v>
      </c>
      <c r="B13" s="9" t="n"/>
      <c r="C13" s="9" t="n"/>
      <c r="D13" s="9" t="n"/>
      <c r="E13" s="9" t="n"/>
      <c r="F13" s="9" t="n"/>
      <c r="G13" s="9" t="n"/>
      <c r="H13" s="9" t="n"/>
      <c r="I13" s="7">
        <f>IFERROR(MAX(C13:H13),"")</f>
        <v/>
      </c>
      <c r="J13" s="7">
        <f>IFERROR(MATCH(I13,C13:H13,0),"")</f>
        <v/>
      </c>
      <c r="K13" s="7" t="n">
        <v>12</v>
      </c>
      <c r="L13" s="7">
        <f>IFERROR(I13*(1-(K13/100)),"")</f>
        <v/>
      </c>
      <c r="M13" s="7">
        <f>IFERROR(LOOKUP(9.99E+307,C13:H13),"")</f>
        <v/>
      </c>
      <c r="N13" s="7">
        <f>IFERROR(IF(M13="","",IF(M13&lt;=N13,"停组🛑","继续✓")),"")</f>
        <v/>
      </c>
      <c r="O13" s="7">
        <f>IFERROR(IF(M13="","",IF(M13&lt;0.15,"SAFETY_STOP","")),"")</f>
        <v/>
      </c>
      <c r="P13" s="7">
        <f>IFERROR(IF(M13="","",IF(M13&lt;0.15,"SAFETY_STOP",IF(M13&lt;=N13,"VL_THRESHOLD",""))),"")</f>
        <v/>
      </c>
      <c r="Q13" s="7">
        <f>IFERROR(IF(I13="","",IF(I13&gt;(0.75+0.05),"+5kg",IF(I13&gt;(0.75+0.02),"+2.5kg",IF(I13&gt;=(0.75-0.05),"保持",IF(I13&gt;=(0.75-0.08),"-2.5kg","-5kg"))))),"")</f>
        <v/>
      </c>
      <c r="R13" s="9" t="n"/>
    </row>
    <row r="14">
      <c r="A14" s="7" t="n">
        <v>6</v>
      </c>
      <c r="B14" s="9" t="n"/>
      <c r="C14" s="9" t="n"/>
      <c r="D14" s="9" t="n"/>
      <c r="E14" s="9" t="n"/>
      <c r="F14" s="9" t="n"/>
      <c r="G14" s="9" t="n"/>
      <c r="H14" s="9" t="n"/>
      <c r="I14" s="7">
        <f>IFERROR(MAX(C14:H14),"")</f>
        <v/>
      </c>
      <c r="J14" s="7">
        <f>IFERROR(MATCH(I14,C14:H14,0),"")</f>
        <v/>
      </c>
      <c r="K14" s="7" t="n">
        <v>12</v>
      </c>
      <c r="L14" s="7">
        <f>IFERROR(I14*(1-(K14/100)),"")</f>
        <v/>
      </c>
      <c r="M14" s="7">
        <f>IFERROR(LOOKUP(9.99E+307,C14:H14),"")</f>
        <v/>
      </c>
      <c r="N14" s="7">
        <f>IFERROR(IF(M14="","",IF(M14&lt;=N14,"停组🛑","继续✓")),"")</f>
        <v/>
      </c>
      <c r="O14" s="7">
        <f>IFERROR(IF(M14="","",IF(M14&lt;0.15,"SAFETY_STOP","")),"")</f>
        <v/>
      </c>
      <c r="P14" s="7">
        <f>IFERROR(IF(M14="","",IF(M14&lt;0.15,"SAFETY_STOP",IF(M14&lt;=N14,"VL_THRESHOLD",""))),"")</f>
        <v/>
      </c>
      <c r="Q14" s="7">
        <f>IFERROR(IF(I14="","",IF(I14&gt;(0.75+0.05),"+5kg",IF(I14&gt;(0.75+0.02),"+2.5kg",IF(I14&gt;=(0.75-0.05),"保持",IF(I14&gt;=(0.75-0.08),"-2.5kg","-5kg"))))),"")</f>
        <v/>
      </c>
      <c r="R14" s="9" t="n"/>
    </row>
    <row r="15">
      <c r="A15" s="13" t="inlineStr">
        <is>
          <t>辅助</t>
        </is>
      </c>
      <c r="D15" s="14" t="inlineStr">
        <is>
          <t>保加利亚单腿蹲</t>
        </is>
      </c>
      <c r="E15" s="14" t="inlineStr">
        <is>
          <t>负荷</t>
        </is>
      </c>
      <c r="F15" s="14" t="inlineStr">
        <is>
          <t>完成</t>
        </is>
      </c>
      <c r="I15" t="inlineStr">
        <is>
          <t>VL</t>
        </is>
      </c>
    </row>
    <row r="16">
      <c r="A16" s="15" t="inlineStr">
        <is>
          <t>训练后</t>
        </is>
      </c>
      <c r="B16" s="15" t="inlineStr">
        <is>
          <t>开始</t>
        </is>
      </c>
      <c r="C16" s="15" t="inlineStr">
        <is>
          <t>结束</t>
        </is>
      </c>
      <c r="D16" s="15" t="inlineStr">
        <is>
          <t>时长min</t>
        </is>
      </c>
      <c r="E16" s="15" t="inlineStr">
        <is>
          <t>sRPE</t>
        </is>
      </c>
      <c r="F16" s="15" t="inlineStr">
        <is>
          <t>load</t>
        </is>
      </c>
      <c r="G16" s="15" t="inlineStr">
        <is>
          <t>不适?</t>
        </is>
      </c>
      <c r="H16" s="15" t="inlineStr">
        <is>
          <t>备注</t>
        </is>
      </c>
      <c r="I16" s="15" t="inlineStr">
        <is>
          <t>签名</t>
        </is>
      </c>
    </row>
    <row r="17">
      <c r="A17" s="7" t="n"/>
      <c r="B17" s="9" t="n"/>
      <c r="C17" s="9" t="n"/>
      <c r="D17" s="11">
        <f>IFERROR((C17-B17)*1440,"")</f>
        <v/>
      </c>
      <c r="E17" s="9" t="n"/>
      <c r="F17" s="11">
        <f>IFERROR(E17*D17,"")</f>
        <v/>
      </c>
      <c r="G17" s="9" t="n"/>
      <c r="H17" s="9" t="n"/>
      <c r="I17" s="9" t="n"/>
    </row>
    <row r="18">
      <c r="A18" s="16" t="inlineStr">
        <is>
          <t>跳跃</t>
        </is>
      </c>
      <c r="B18" s="16" t="inlineStr">
        <is>
          <t>类型</t>
        </is>
      </c>
      <c r="C18" s="16" t="inlineStr">
        <is>
          <t>组×次</t>
        </is>
      </c>
      <c r="D18" s="16" t="inlineStr">
        <is>
          <t>负荷kg</t>
        </is>
      </c>
      <c r="E18" s="16" t="inlineStr">
        <is>
          <t>接触</t>
        </is>
      </c>
    </row>
    <row r="19">
      <c r="B19" t="inlineStr">
        <is>
          <t>SJ</t>
        </is>
      </c>
      <c r="C19" t="inlineStr">
        <is>
          <t>3×3</t>
        </is>
      </c>
      <c r="D19" t="n">
        <v>0</v>
      </c>
      <c r="E19" t="n">
        <v>9</v>
      </c>
    </row>
    <row r="20">
      <c r="B20" t="inlineStr">
        <is>
          <t>负重跳</t>
        </is>
      </c>
      <c r="C20" t="inlineStr">
        <is>
          <t>3×4</t>
        </is>
      </c>
      <c r="D20" s="14" t="n"/>
      <c r="E20" s="14" t="n"/>
    </row>
    <row r="21">
      <c r="A21" s="17" t="inlineStr">
        <is>
          <t>▶ 暴露量汇总</t>
        </is>
      </c>
      <c r="B21" s="17" t="inlineStr">
        <is>
          <t>说明</t>
        </is>
      </c>
      <c r="C21" s="17" t="inlineStr">
        <is>
          <t>公式/来源</t>
        </is>
      </c>
      <c r="D21" s="17" t="inlineStr">
        <is>
          <t>数值</t>
        </is>
      </c>
    </row>
    <row r="22">
      <c r="A22" s="18" t="inlineStr">
        <is>
          <t>① 无负荷跳跃接触</t>
        </is>
      </c>
      <c r="B22" s="18" t="inlineStr">
        <is>
          <t>CMJ+SJ+箱跳</t>
        </is>
      </c>
      <c r="C22" s="19">
        <f>IFERROR(E19+E20,2)</f>
        <v/>
      </c>
    </row>
    <row r="23">
      <c r="A23" s="18" t="inlineStr">
        <is>
          <t>② 负重跳跃接触</t>
        </is>
      </c>
      <c r="B23" s="18" t="inlineStr">
        <is>
          <t>负重深蹲跳</t>
        </is>
      </c>
      <c r="C23" s="19">
        <f>IFERROR(E20,"")</f>
        <v/>
      </c>
    </row>
    <row r="24">
      <c r="A24" s="18" t="inlineStr">
        <is>
          <t>③ 跳跃总计</t>
        </is>
      </c>
      <c r="B24" s="18" t="inlineStr">
        <is>
          <t>①+②</t>
        </is>
      </c>
      <c r="C24" s="19">
        <f>IFERROR(B22+B23,"")</f>
        <v/>
      </c>
    </row>
    <row r="25">
      <c r="A25" s="18" t="inlineStr">
        <is>
          <t>④ 热身VL</t>
        </is>
      </c>
      <c r="B25" s="18" t="inlineStr">
        <is>
          <t>20×5+50%×3(+70%×2)</t>
        </is>
      </c>
      <c r="C25" s="19">
        <f>IFERROR(20*5+ROUND(V5*0.5,0)*3,"-")</f>
        <v/>
      </c>
    </row>
    <row r="26">
      <c r="A26" s="20" t="inlineStr">
        <is>
          <t>⑤ 主项工作组VL ★</t>
        </is>
      </c>
      <c r="B26" s="20" t="inlineStr">
        <is>
          <t>Σ(负荷×次数)</t>
        </is>
      </c>
      <c r="C26" s="21">
        <f>SUMPRODUCT($B$9:$B$14,$R$9:$R$14)</f>
        <v/>
      </c>
    </row>
    <row r="27">
      <c r="A27" s="18" t="inlineStr">
        <is>
          <t>⑥ 主项总VL</t>
        </is>
      </c>
      <c r="B27" s="18" t="inlineStr">
        <is>
          <t>④+⑤</t>
        </is>
      </c>
      <c r="C27" s="19">
        <f>IFERROR(D22+D23,"")</f>
        <v/>
      </c>
    </row>
    <row r="28">
      <c r="A28" s="18" t="inlineStr">
        <is>
          <t>⑦ 辅助VL</t>
        </is>
      </c>
      <c r="B28" s="18" t="inlineStr">
        <is>
          <t>RDL/保加利亚</t>
        </is>
      </c>
      <c r="C28" s="19">
        <f>IFERROR(I15,"")</f>
        <v/>
      </c>
    </row>
    <row r="29">
      <c r="A29" s="18" t="inlineStr">
        <is>
          <t>⑧ 总外部负荷</t>
        </is>
      </c>
      <c r="B29" s="18" t="inlineStr">
        <is>
          <t>⑥+⑦(+负重跳)</t>
        </is>
      </c>
      <c r="C29" s="19">
        <f>IFERROR(F22+G22,"")</f>
        <v/>
      </c>
    </row>
    <row r="30">
      <c r="A30" s="18" t="inlineStr">
        <is>
          <t>⑨ sRPE load</t>
        </is>
      </c>
      <c r="B30" s="18" t="inlineStr">
        <is>
          <t>sRPE×时长</t>
        </is>
      </c>
      <c r="C30" s="19">
        <f>IFERROR(F17,"")</f>
        <v/>
      </c>
    </row>
    <row r="33">
      <c r="A33" s="5" t="inlineStr">
        <is>
          <t>P005 曾庆华  a=1.775 b=-0.00875 1RM=155</t>
        </is>
      </c>
    </row>
    <row r="34">
      <c r="A34" s="6" t="inlineStr">
        <is>
          <t>编号</t>
        </is>
      </c>
      <c r="B34" s="6" t="inlineStr">
        <is>
          <t>姓名</t>
        </is>
      </c>
      <c r="C34" s="6" t="inlineStr">
        <is>
          <t>身高</t>
        </is>
      </c>
      <c r="D34" s="6" t="inlineStr">
        <is>
          <t>1RM</t>
        </is>
      </c>
      <c r="E34" s="6" t="inlineStr">
        <is>
          <t>Hooper睡</t>
        </is>
      </c>
      <c r="F34" s="6" t="inlineStr">
        <is>
          <t>Hooper压</t>
        </is>
      </c>
      <c r="G34" s="6" t="inlineStr">
        <is>
          <t>Hooper疲</t>
        </is>
      </c>
      <c r="H34" s="6" t="inlineStr">
        <is>
          <t>Hooper酸</t>
        </is>
      </c>
      <c r="I34" s="6" t="inlineStr">
        <is>
          <t>H总</t>
        </is>
      </c>
      <c r="J34" s="6" t="inlineStr">
        <is>
          <t>不适?</t>
        </is>
      </c>
      <c r="K34" s="6" t="inlineStr">
        <is>
          <t>说明</t>
        </is>
      </c>
      <c r="L34" s="6" t="inlineStr">
        <is>
          <t>CMJ1</t>
        </is>
      </c>
      <c r="M34" s="6" t="inlineStr">
        <is>
          <t>CMJ2</t>
        </is>
      </c>
      <c r="N34" s="6" t="inlineStr">
        <is>
          <t>CMJ3</t>
        </is>
      </c>
      <c r="O34" s="6" t="inlineStr">
        <is>
          <t>CMJμ</t>
        </is>
      </c>
      <c r="P34" s="6" t="inlineStr">
        <is>
          <t>&lt;95%</t>
        </is>
      </c>
      <c r="Q34" s="6" t="inlineStr">
        <is>
          <t>减组</t>
        </is>
      </c>
      <c r="R34" s="6" t="inlineStr">
        <is>
          <t>组数</t>
        </is>
      </c>
      <c r="S34" s="6" t="inlineStr">
        <is>
          <t>a(V0)</t>
        </is>
      </c>
      <c r="T34" s="6" t="inlineStr">
        <is>
          <t>b</t>
        </is>
      </c>
      <c r="U34" s="6" t="inlineStr">
        <is>
          <t>等级</t>
        </is>
      </c>
      <c r="V34" s="6" t="inlineStr">
        <is>
          <t>预测起始</t>
        </is>
      </c>
    </row>
    <row r="35">
      <c r="A35" s="7" t="inlineStr">
        <is>
          <t>P005</t>
        </is>
      </c>
      <c r="B35" s="7" t="inlineStr">
        <is>
          <t>曾庆华</t>
        </is>
      </c>
      <c r="C35" s="7" t="n">
        <v>177</v>
      </c>
      <c r="D35" s="8" t="n">
        <v>155</v>
      </c>
      <c r="E35" s="9" t="n"/>
      <c r="F35" s="9" t="n"/>
      <c r="G35" s="9" t="n"/>
      <c r="H35" s="9" t="n"/>
      <c r="I35" s="7">
        <f>IFERROR(SUM(E35:H35),"")</f>
        <v/>
      </c>
      <c r="J35" s="9" t="n"/>
      <c r="K35" s="9" t="n"/>
      <c r="L35" s="9" t="n"/>
      <c r="M35" s="9" t="n"/>
      <c r="N35" s="9" t="n"/>
      <c r="O35" s="7">
        <f>IFERROR(AVERAGE(L35:N35),"")</f>
        <v/>
      </c>
      <c r="P35" s="7">
        <f>IF(O35="","",IF(O35&lt;57.57,"是⚠","否"))</f>
        <v/>
      </c>
      <c r="Q35" s="7">
        <f>IF(O35="","",IF(O35&lt;57.57,5-1,5))</f>
        <v/>
      </c>
      <c r="R35" s="7" t="n"/>
      <c r="S35" s="8" t="n">
        <v>1.775</v>
      </c>
      <c r="T35" s="8" t="n">
        <v>-0.008750000000000001</v>
      </c>
      <c r="U35" s="7" t="inlineStr">
        <is>
          <t>B</t>
        </is>
      </c>
      <c r="V35" s="8" t="n">
        <v>117.5</v>
      </c>
    </row>
    <row r="36">
      <c r="A36" s="10" t="inlineStr">
        <is>
          <t>热身校准</t>
        </is>
      </c>
      <c r="B36" s="10" t="inlineStr">
        <is>
          <t>a</t>
        </is>
      </c>
      <c r="C36" s="10" t="inlineStr">
        <is>
          <t>b</t>
        </is>
      </c>
      <c r="D36" s="10" t="inlineStr">
        <is>
          <t>50%热身</t>
        </is>
      </c>
      <c r="E36" s="10" t="inlineStr">
        <is>
          <t>70%热身</t>
        </is>
      </c>
      <c r="F36" s="10" t="inlineStr">
        <is>
          <t>热身负荷</t>
        </is>
      </c>
      <c r="G36" s="10" t="inlineStr">
        <is>
          <t>实测MCV</t>
        </is>
      </c>
      <c r="H36" s="10" t="inlineStr">
        <is>
          <t>预测MCV</t>
        </is>
      </c>
      <c r="I36" s="10" t="inlineStr">
        <is>
          <t>Δv</t>
        </is>
      </c>
      <c r="J36" s="10" t="inlineStr">
        <is>
          <t>调整量</t>
        </is>
      </c>
      <c r="K36" s="10" t="inlineStr">
        <is>
          <t>校准第1组</t>
        </is>
      </c>
    </row>
    <row r="37">
      <c r="A37" s="7" t="n"/>
      <c r="B37" s="11" t="n">
        <v>1.775</v>
      </c>
      <c r="C37" s="11" t="n">
        <v>-0.008750000000000001</v>
      </c>
      <c r="D37" s="11">
        <f>IFERROR(ROUND(V35*0.5/2.5,0)*2.5,"")</f>
        <v/>
      </c>
      <c r="E37" s="11" t="inlineStr"/>
      <c r="F37" s="11">
        <f>IFERROR(ROUND(V35*0.5/2.5,0)*2.5,"")</f>
        <v/>
      </c>
      <c r="G37" s="9" t="n"/>
      <c r="H37" s="11">
        <f>IFERROR(B37+C37*F37,"")</f>
        <v/>
      </c>
      <c r="I37" s="11">
        <f>IFERROR(G37-H37,"")</f>
        <v/>
      </c>
      <c r="J37" s="11">
        <f>IFERROR(IF(I37&gt;0.08,5,IF(I37&gt;0.04,2.5,IF(I37&gt;=-0.04,0,IF(I37&gt;=-0.08,-2.5,-5)))),"")</f>
        <v/>
      </c>
      <c r="K37" s="11">
        <f>IFERROR(ROUND(V35+J37,0),"")</f>
        <v/>
      </c>
    </row>
    <row r="38">
      <c r="A38" s="12" t="inlineStr">
        <is>
          <t>组</t>
        </is>
      </c>
      <c r="B38" s="12" t="inlineStr">
        <is>
          <t>负荷</t>
        </is>
      </c>
      <c r="C38" s="12" t="inlineStr">
        <is>
          <t>rep1</t>
        </is>
      </c>
      <c r="D38" s="12" t="inlineStr">
        <is>
          <t>rep2</t>
        </is>
      </c>
      <c r="E38" s="12" t="inlineStr">
        <is>
          <t>rep3</t>
        </is>
      </c>
      <c r="F38" s="12" t="inlineStr">
        <is>
          <t>rep4</t>
        </is>
      </c>
      <c r="G38" s="12" t="inlineStr">
        <is>
          <t>rep5</t>
        </is>
      </c>
      <c r="H38" s="12" t="inlineStr">
        <is>
          <t>rep6</t>
        </is>
      </c>
      <c r="I38" s="12" t="inlineStr">
        <is>
          <t>best</t>
        </is>
      </c>
      <c r="J38" s="12" t="inlineStr">
        <is>
          <t>best#</t>
        </is>
      </c>
      <c r="K38" s="12" t="inlineStr">
        <is>
          <t>VL%</t>
        </is>
      </c>
      <c r="L38" s="12" t="inlineStr">
        <is>
          <t>stop_th</t>
        </is>
      </c>
      <c r="M38" s="12" t="inlineStr">
        <is>
          <t>latest</t>
        </is>
      </c>
      <c r="N38" s="12" t="inlineStr">
        <is>
          <t>VL_flag</t>
        </is>
      </c>
      <c r="O38" s="12" t="inlineStr">
        <is>
          <t>safety</t>
        </is>
      </c>
      <c r="P38" s="12" t="inlineStr">
        <is>
          <t>原因</t>
        </is>
      </c>
      <c r="Q38" s="12" t="inlineStr">
        <is>
          <t>建议</t>
        </is>
      </c>
      <c r="R38" s="12" t="inlineStr">
        <is>
          <t>次数</t>
        </is>
      </c>
    </row>
    <row r="39">
      <c r="A39" s="7" t="n">
        <v>1</v>
      </c>
      <c r="B39" s="9">
        <f>IFERROR(K37,"")</f>
        <v/>
      </c>
      <c r="C39" s="9" t="n"/>
      <c r="D39" s="9" t="n"/>
      <c r="E39" s="9" t="n"/>
      <c r="F39" s="9" t="n"/>
      <c r="G39" s="9" t="n"/>
      <c r="H39" s="9" t="n"/>
      <c r="I39" s="7">
        <f>IFERROR(MAX(C39:H39),"")</f>
        <v/>
      </c>
      <c r="J39" s="7">
        <f>IFERROR(MATCH(I39,C39:H39,0),"")</f>
        <v/>
      </c>
      <c r="K39" s="7" t="n">
        <v>12</v>
      </c>
      <c r="L39" s="7">
        <f>IFERROR(I39*(1-(K39/100)),"")</f>
        <v/>
      </c>
      <c r="M39" s="7">
        <f>IFERROR(LOOKUP(9.99E+307,C39:H39),"")</f>
        <v/>
      </c>
      <c r="N39" s="7">
        <f>IFERROR(IF(M39="","",IF(M39&lt;=N39,"停组🛑","继续✓")),"")</f>
        <v/>
      </c>
      <c r="O39" s="7">
        <f>IFERROR(IF(M39="","",IF(M39&lt;0.15,"SAFETY_STOP","")),"")</f>
        <v/>
      </c>
      <c r="P39" s="7">
        <f>IFERROR(IF(M39="","",IF(M39&lt;0.15,"SAFETY_STOP",IF(M39&lt;=N39,"VL_THRESHOLD",""))),"")</f>
        <v/>
      </c>
      <c r="Q39" s="7">
        <f>IFERROR(IF(I39="","",IF(I39&gt;(0.75+0.05),"+5kg",IF(I39&gt;(0.75+0.02),"+2.5kg",IF(I39&gt;=(0.75-0.05),"保持",IF(I39&gt;=(0.75-0.08),"-2.5kg","-5kg"))))),"")</f>
        <v/>
      </c>
      <c r="R39" s="9" t="n"/>
    </row>
    <row r="40">
      <c r="A40" s="7" t="n">
        <v>2</v>
      </c>
      <c r="B40" s="9" t="n"/>
      <c r="C40" s="9" t="n"/>
      <c r="D40" s="9" t="n"/>
      <c r="E40" s="9" t="n"/>
      <c r="F40" s="9" t="n"/>
      <c r="G40" s="9" t="n"/>
      <c r="H40" s="9" t="n"/>
      <c r="I40" s="7">
        <f>IFERROR(MAX(C40:H40),"")</f>
        <v/>
      </c>
      <c r="J40" s="7">
        <f>IFERROR(MATCH(I40,C40:H40,0),"")</f>
        <v/>
      </c>
      <c r="K40" s="7" t="n">
        <v>12</v>
      </c>
      <c r="L40" s="7">
        <f>IFERROR(I40*(1-(K40/100)),"")</f>
        <v/>
      </c>
      <c r="M40" s="7">
        <f>IFERROR(LOOKUP(9.99E+307,C40:H40),"")</f>
        <v/>
      </c>
      <c r="N40" s="7">
        <f>IFERROR(IF(M40="","",IF(M40&lt;=N40,"停组🛑","继续✓")),"")</f>
        <v/>
      </c>
      <c r="O40" s="7">
        <f>IFERROR(IF(M40="","",IF(M40&lt;0.15,"SAFETY_STOP","")),"")</f>
        <v/>
      </c>
      <c r="P40" s="7">
        <f>IFERROR(IF(M40="","",IF(M40&lt;0.15,"SAFETY_STOP",IF(M40&lt;=N40,"VL_THRESHOLD",""))),"")</f>
        <v/>
      </c>
      <c r="Q40" s="7">
        <f>IFERROR(IF(I40="","",IF(I40&gt;(0.75+0.05),"+5kg",IF(I40&gt;(0.75+0.02),"+2.5kg",IF(I40&gt;=(0.75-0.05),"保持",IF(I40&gt;=(0.75-0.08),"-2.5kg","-5kg"))))),"")</f>
        <v/>
      </c>
      <c r="R40" s="9" t="n"/>
    </row>
    <row r="41">
      <c r="A41" s="7" t="n">
        <v>3</v>
      </c>
      <c r="B41" s="9" t="n"/>
      <c r="C41" s="9" t="n"/>
      <c r="D41" s="9" t="n"/>
      <c r="E41" s="9" t="n"/>
      <c r="F41" s="9" t="n"/>
      <c r="G41" s="9" t="n"/>
      <c r="H41" s="9" t="n"/>
      <c r="I41" s="7">
        <f>IFERROR(MAX(C41:H41),"")</f>
        <v/>
      </c>
      <c r="J41" s="7">
        <f>IFERROR(MATCH(I41,C41:H41,0),"")</f>
        <v/>
      </c>
      <c r="K41" s="7" t="n">
        <v>12</v>
      </c>
      <c r="L41" s="7">
        <f>IFERROR(I41*(1-(K41/100)),"")</f>
        <v/>
      </c>
      <c r="M41" s="7">
        <f>IFERROR(LOOKUP(9.99E+307,C41:H41),"")</f>
        <v/>
      </c>
      <c r="N41" s="7">
        <f>IFERROR(IF(M41="","",IF(M41&lt;=N41,"停组🛑","继续✓")),"")</f>
        <v/>
      </c>
      <c r="O41" s="7">
        <f>IFERROR(IF(M41="","",IF(M41&lt;0.15,"SAFETY_STOP","")),"")</f>
        <v/>
      </c>
      <c r="P41" s="7">
        <f>IFERROR(IF(M41="","",IF(M41&lt;0.15,"SAFETY_STOP",IF(M41&lt;=N41,"VL_THRESHOLD",""))),"")</f>
        <v/>
      </c>
      <c r="Q41" s="7">
        <f>IFERROR(IF(I41="","",IF(I41&gt;(0.75+0.05),"+5kg",IF(I41&gt;(0.75+0.02),"+2.5kg",IF(I41&gt;=(0.75-0.05),"保持",IF(I41&gt;=(0.75-0.08),"-2.5kg","-5kg"))))),"")</f>
        <v/>
      </c>
      <c r="R41" s="9" t="n"/>
    </row>
    <row r="42">
      <c r="A42" s="7" t="n">
        <v>4</v>
      </c>
      <c r="B42" s="9" t="n"/>
      <c r="C42" s="9" t="n"/>
      <c r="D42" s="9" t="n"/>
      <c r="E42" s="9" t="n"/>
      <c r="F42" s="9" t="n"/>
      <c r="G42" s="9" t="n"/>
      <c r="H42" s="9" t="n"/>
      <c r="I42" s="7">
        <f>IFERROR(MAX(C42:H42),"")</f>
        <v/>
      </c>
      <c r="J42" s="7">
        <f>IFERROR(MATCH(I42,C42:H42,0),"")</f>
        <v/>
      </c>
      <c r="K42" s="7" t="n">
        <v>12</v>
      </c>
      <c r="L42" s="7">
        <f>IFERROR(I42*(1-(K42/100)),"")</f>
        <v/>
      </c>
      <c r="M42" s="7">
        <f>IFERROR(LOOKUP(9.99E+307,C42:H42),"")</f>
        <v/>
      </c>
      <c r="N42" s="7">
        <f>IFERROR(IF(M42="","",IF(M42&lt;=N42,"停组🛑","继续✓")),"")</f>
        <v/>
      </c>
      <c r="O42" s="7">
        <f>IFERROR(IF(M42="","",IF(M42&lt;0.15,"SAFETY_STOP","")),"")</f>
        <v/>
      </c>
      <c r="P42" s="7">
        <f>IFERROR(IF(M42="","",IF(M42&lt;0.15,"SAFETY_STOP",IF(M42&lt;=N42,"VL_THRESHOLD",""))),"")</f>
        <v/>
      </c>
      <c r="Q42" s="7">
        <f>IFERROR(IF(I42="","",IF(I42&gt;(0.75+0.05),"+5kg",IF(I42&gt;(0.75+0.02),"+2.5kg",IF(I42&gt;=(0.75-0.05),"保持",IF(I42&gt;=(0.75-0.08),"-2.5kg","-5kg"))))),"")</f>
        <v/>
      </c>
      <c r="R42" s="9" t="n"/>
    </row>
    <row r="43">
      <c r="A43" s="7" t="n">
        <v>5</v>
      </c>
      <c r="B43" s="9" t="n"/>
      <c r="C43" s="9" t="n"/>
      <c r="D43" s="9" t="n"/>
      <c r="E43" s="9" t="n"/>
      <c r="F43" s="9" t="n"/>
      <c r="G43" s="9" t="n"/>
      <c r="H43" s="9" t="n"/>
      <c r="I43" s="7">
        <f>IFERROR(MAX(C43:H43),"")</f>
        <v/>
      </c>
      <c r="J43" s="7">
        <f>IFERROR(MATCH(I43,C43:H43,0),"")</f>
        <v/>
      </c>
      <c r="K43" s="7" t="n">
        <v>12</v>
      </c>
      <c r="L43" s="7">
        <f>IFERROR(I43*(1-(K43/100)),"")</f>
        <v/>
      </c>
      <c r="M43" s="7">
        <f>IFERROR(LOOKUP(9.99E+307,C43:H43),"")</f>
        <v/>
      </c>
      <c r="N43" s="7">
        <f>IFERROR(IF(M43="","",IF(M43&lt;=N43,"停组🛑","继续✓")),"")</f>
        <v/>
      </c>
      <c r="O43" s="7">
        <f>IFERROR(IF(M43="","",IF(M43&lt;0.15,"SAFETY_STOP","")),"")</f>
        <v/>
      </c>
      <c r="P43" s="7">
        <f>IFERROR(IF(M43="","",IF(M43&lt;0.15,"SAFETY_STOP",IF(M43&lt;=N43,"VL_THRESHOLD",""))),"")</f>
        <v/>
      </c>
      <c r="Q43" s="7">
        <f>IFERROR(IF(I43="","",IF(I43&gt;(0.75+0.05),"+5kg",IF(I43&gt;(0.75+0.02),"+2.5kg",IF(I43&gt;=(0.75-0.05),"保持",IF(I43&gt;=(0.75-0.08),"-2.5kg","-5kg"))))),"")</f>
        <v/>
      </c>
      <c r="R43" s="9" t="n"/>
    </row>
    <row r="44">
      <c r="A44" s="7" t="n">
        <v>6</v>
      </c>
      <c r="B44" s="9" t="n"/>
      <c r="C44" s="9" t="n"/>
      <c r="D44" s="9" t="n"/>
      <c r="E44" s="9" t="n"/>
      <c r="F44" s="9" t="n"/>
      <c r="G44" s="9" t="n"/>
      <c r="H44" s="9" t="n"/>
      <c r="I44" s="7">
        <f>IFERROR(MAX(C44:H44),"")</f>
        <v/>
      </c>
      <c r="J44" s="7">
        <f>IFERROR(MATCH(I44,C44:H44,0),"")</f>
        <v/>
      </c>
      <c r="K44" s="7" t="n">
        <v>12</v>
      </c>
      <c r="L44" s="7">
        <f>IFERROR(I44*(1-(K44/100)),"")</f>
        <v/>
      </c>
      <c r="M44" s="7">
        <f>IFERROR(LOOKUP(9.99E+307,C44:H44),"")</f>
        <v/>
      </c>
      <c r="N44" s="7">
        <f>IFERROR(IF(M44="","",IF(M44&lt;=N44,"停组🛑","继续✓")),"")</f>
        <v/>
      </c>
      <c r="O44" s="7">
        <f>IFERROR(IF(M44="","",IF(M44&lt;0.15,"SAFETY_STOP","")),"")</f>
        <v/>
      </c>
      <c r="P44" s="7">
        <f>IFERROR(IF(M44="","",IF(M44&lt;0.15,"SAFETY_STOP",IF(M44&lt;=N44,"VL_THRESHOLD",""))),"")</f>
        <v/>
      </c>
      <c r="Q44" s="7">
        <f>IFERROR(IF(I44="","",IF(I44&gt;(0.75+0.05),"+5kg",IF(I44&gt;(0.75+0.02),"+2.5kg",IF(I44&gt;=(0.75-0.05),"保持",IF(I44&gt;=(0.75-0.08),"-2.5kg","-5kg"))))),"")</f>
        <v/>
      </c>
      <c r="R44" s="9" t="n"/>
    </row>
    <row r="45">
      <c r="A45" s="13" t="inlineStr">
        <is>
          <t>辅助</t>
        </is>
      </c>
      <c r="D45" s="14" t="inlineStr">
        <is>
          <t>保加利亚单腿蹲</t>
        </is>
      </c>
      <c r="E45" s="14" t="inlineStr">
        <is>
          <t>负荷</t>
        </is>
      </c>
      <c r="F45" s="14" t="inlineStr">
        <is>
          <t>完成</t>
        </is>
      </c>
      <c r="I45" t="inlineStr">
        <is>
          <t>VL</t>
        </is>
      </c>
    </row>
    <row r="46">
      <c r="A46" s="15" t="inlineStr">
        <is>
          <t>训练后</t>
        </is>
      </c>
      <c r="B46" s="15" t="inlineStr">
        <is>
          <t>开始</t>
        </is>
      </c>
      <c r="C46" s="15" t="inlineStr">
        <is>
          <t>结束</t>
        </is>
      </c>
      <c r="D46" s="15" t="inlineStr">
        <is>
          <t>时长min</t>
        </is>
      </c>
      <c r="E46" s="15" t="inlineStr">
        <is>
          <t>sRPE</t>
        </is>
      </c>
      <c r="F46" s="15" t="inlineStr">
        <is>
          <t>load</t>
        </is>
      </c>
      <c r="G46" s="15" t="inlineStr">
        <is>
          <t>不适?</t>
        </is>
      </c>
      <c r="H46" s="15" t="inlineStr">
        <is>
          <t>备注</t>
        </is>
      </c>
      <c r="I46" s="15" t="inlineStr">
        <is>
          <t>签名</t>
        </is>
      </c>
    </row>
    <row r="47">
      <c r="A47" s="7" t="n"/>
      <c r="B47" s="9" t="n"/>
      <c r="C47" s="9" t="n"/>
      <c r="D47" s="11">
        <f>IFERROR((C47-B47)*1440,"")</f>
        <v/>
      </c>
      <c r="E47" s="9" t="n"/>
      <c r="F47" s="11">
        <f>IFERROR(E47*D47,"")</f>
        <v/>
      </c>
      <c r="G47" s="9" t="n"/>
      <c r="H47" s="9" t="n"/>
      <c r="I47" s="9" t="n"/>
    </row>
    <row r="48">
      <c r="A48" s="16" t="inlineStr">
        <is>
          <t>跳跃</t>
        </is>
      </c>
      <c r="B48" s="16" t="inlineStr">
        <is>
          <t>类型</t>
        </is>
      </c>
      <c r="C48" s="16" t="inlineStr">
        <is>
          <t>组×次</t>
        </is>
      </c>
      <c r="D48" s="16" t="inlineStr">
        <is>
          <t>负荷kg</t>
        </is>
      </c>
      <c r="E48" s="16" t="inlineStr">
        <is>
          <t>接触</t>
        </is>
      </c>
    </row>
    <row r="49">
      <c r="B49" t="inlineStr">
        <is>
          <t>SJ</t>
        </is>
      </c>
      <c r="C49" t="inlineStr">
        <is>
          <t>3×3</t>
        </is>
      </c>
      <c r="D49" t="n">
        <v>0</v>
      </c>
      <c r="E49" t="n">
        <v>9</v>
      </c>
    </row>
    <row r="50">
      <c r="B50" t="inlineStr">
        <is>
          <t>负重跳</t>
        </is>
      </c>
      <c r="C50" t="inlineStr">
        <is>
          <t>3×4</t>
        </is>
      </c>
      <c r="D50" s="14" t="n"/>
      <c r="E50" s="14" t="n"/>
    </row>
    <row r="51">
      <c r="A51" s="17" t="inlineStr">
        <is>
          <t>▶ 暴露量汇总</t>
        </is>
      </c>
      <c r="B51" s="17" t="inlineStr">
        <is>
          <t>说明</t>
        </is>
      </c>
      <c r="C51" s="17" t="inlineStr">
        <is>
          <t>公式/来源</t>
        </is>
      </c>
      <c r="D51" s="17" t="inlineStr">
        <is>
          <t>数值</t>
        </is>
      </c>
    </row>
    <row r="52">
      <c r="A52" s="18" t="inlineStr">
        <is>
          <t>① 无负荷跳跃接触</t>
        </is>
      </c>
      <c r="B52" s="18" t="inlineStr">
        <is>
          <t>CMJ+SJ+箱跳</t>
        </is>
      </c>
      <c r="C52" s="19">
        <f>IFERROR(E49+E50,2)</f>
        <v/>
      </c>
    </row>
    <row r="53">
      <c r="A53" s="18" t="inlineStr">
        <is>
          <t>② 负重跳跃接触</t>
        </is>
      </c>
      <c r="B53" s="18" t="inlineStr">
        <is>
          <t>负重深蹲跳</t>
        </is>
      </c>
      <c r="C53" s="19">
        <f>IFERROR(E50,"")</f>
        <v/>
      </c>
    </row>
    <row r="54">
      <c r="A54" s="18" t="inlineStr">
        <is>
          <t>③ 跳跃总计</t>
        </is>
      </c>
      <c r="B54" s="18" t="inlineStr">
        <is>
          <t>①+②</t>
        </is>
      </c>
      <c r="C54" s="19">
        <f>IFERROR(B52+B53,"")</f>
        <v/>
      </c>
    </row>
    <row r="55">
      <c r="A55" s="18" t="inlineStr">
        <is>
          <t>④ 热身VL</t>
        </is>
      </c>
      <c r="B55" s="18" t="inlineStr">
        <is>
          <t>20×5+50%×3(+70%×2)</t>
        </is>
      </c>
      <c r="C55" s="19">
        <f>IFERROR(20*5+ROUND(V35*0.5,0)*3,"-")</f>
        <v/>
      </c>
    </row>
    <row r="56">
      <c r="A56" s="20" t="inlineStr">
        <is>
          <t>⑤ 主项工作组VL ★</t>
        </is>
      </c>
      <c r="B56" s="20" t="inlineStr">
        <is>
          <t>Σ(负荷×次数)</t>
        </is>
      </c>
      <c r="C56" s="21">
        <f>SUMPRODUCT($B$39:$B$44,$R$39:$R$44)</f>
        <v/>
      </c>
    </row>
    <row r="57">
      <c r="A57" s="18" t="inlineStr">
        <is>
          <t>⑥ 主项总VL</t>
        </is>
      </c>
      <c r="B57" s="18" t="inlineStr">
        <is>
          <t>④+⑤</t>
        </is>
      </c>
      <c r="C57" s="19">
        <f>IFERROR(D52+D53,"")</f>
        <v/>
      </c>
    </row>
    <row r="58">
      <c r="A58" s="18" t="inlineStr">
        <is>
          <t>⑦ 辅助VL</t>
        </is>
      </c>
      <c r="B58" s="18" t="inlineStr">
        <is>
          <t>RDL/保加利亚</t>
        </is>
      </c>
      <c r="C58" s="19">
        <f>IFERROR(I45,"")</f>
        <v/>
      </c>
    </row>
    <row r="59">
      <c r="A59" s="18" t="inlineStr">
        <is>
          <t>⑧ 总外部负荷</t>
        </is>
      </c>
      <c r="B59" s="18" t="inlineStr">
        <is>
          <t>⑥+⑦(+负重跳)</t>
        </is>
      </c>
      <c r="C59" s="19">
        <f>IFERROR(F52+G52,"")</f>
        <v/>
      </c>
    </row>
    <row r="60">
      <c r="A60" s="18" t="inlineStr">
        <is>
          <t>⑨ sRPE load</t>
        </is>
      </c>
      <c r="B60" s="18" t="inlineStr">
        <is>
          <t>sRPE×时长</t>
        </is>
      </c>
      <c r="C60" s="19">
        <f>IFERROR(F47,"")</f>
        <v/>
      </c>
    </row>
    <row r="63">
      <c r="A63" s="5" t="inlineStr">
        <is>
          <t>P002 何天元  a=1.487 b=-0.0054 1RM=150</t>
        </is>
      </c>
    </row>
    <row r="64">
      <c r="A64" s="6" t="inlineStr">
        <is>
          <t>编号</t>
        </is>
      </c>
      <c r="B64" s="6" t="inlineStr">
        <is>
          <t>姓名</t>
        </is>
      </c>
      <c r="C64" s="6" t="inlineStr">
        <is>
          <t>身高</t>
        </is>
      </c>
      <c r="D64" s="6" t="inlineStr">
        <is>
          <t>1RM</t>
        </is>
      </c>
      <c r="E64" s="6" t="inlineStr">
        <is>
          <t>Hooper睡</t>
        </is>
      </c>
      <c r="F64" s="6" t="inlineStr">
        <is>
          <t>Hooper压</t>
        </is>
      </c>
      <c r="G64" s="6" t="inlineStr">
        <is>
          <t>Hooper疲</t>
        </is>
      </c>
      <c r="H64" s="6" t="inlineStr">
        <is>
          <t>Hooper酸</t>
        </is>
      </c>
      <c r="I64" s="6" t="inlineStr">
        <is>
          <t>H总</t>
        </is>
      </c>
      <c r="J64" s="6" t="inlineStr">
        <is>
          <t>不适?</t>
        </is>
      </c>
      <c r="K64" s="6" t="inlineStr">
        <is>
          <t>说明</t>
        </is>
      </c>
      <c r="L64" s="6" t="inlineStr">
        <is>
          <t>CMJ1</t>
        </is>
      </c>
      <c r="M64" s="6" t="inlineStr">
        <is>
          <t>CMJ2</t>
        </is>
      </c>
      <c r="N64" s="6" t="inlineStr">
        <is>
          <t>CMJ3</t>
        </is>
      </c>
      <c r="O64" s="6" t="inlineStr">
        <is>
          <t>CMJμ</t>
        </is>
      </c>
      <c r="P64" s="6" t="inlineStr">
        <is>
          <t>&lt;95%</t>
        </is>
      </c>
      <c r="Q64" s="6" t="inlineStr">
        <is>
          <t>减组</t>
        </is>
      </c>
      <c r="R64" s="6" t="inlineStr">
        <is>
          <t>组数</t>
        </is>
      </c>
      <c r="S64" s="6" t="inlineStr">
        <is>
          <t>a(V0)</t>
        </is>
      </c>
      <c r="T64" s="6" t="inlineStr">
        <is>
          <t>b</t>
        </is>
      </c>
      <c r="U64" s="6" t="inlineStr">
        <is>
          <t>等级</t>
        </is>
      </c>
      <c r="V64" s="6" t="inlineStr">
        <is>
          <t>预测起始</t>
        </is>
      </c>
    </row>
    <row r="65">
      <c r="A65" s="7" t="inlineStr">
        <is>
          <t>P002</t>
        </is>
      </c>
      <c r="B65" s="7" t="inlineStr">
        <is>
          <t>何天元</t>
        </is>
      </c>
      <c r="C65" s="7" t="n">
        <v>178</v>
      </c>
      <c r="D65" s="8" t="n">
        <v>150</v>
      </c>
      <c r="E65" s="9" t="n"/>
      <c r="F65" s="9" t="n"/>
      <c r="G65" s="9" t="n"/>
      <c r="H65" s="9" t="n"/>
      <c r="I65" s="7">
        <f>IFERROR(SUM(E65:H65),"")</f>
        <v/>
      </c>
      <c r="J65" s="9" t="n"/>
      <c r="K65" s="9" t="n"/>
      <c r="L65" s="9" t="n"/>
      <c r="M65" s="9" t="n"/>
      <c r="N65" s="9" t="n"/>
      <c r="O65" s="7">
        <f>IFERROR(AVERAGE(L65:N65),"")</f>
        <v/>
      </c>
      <c r="P65" s="7">
        <f>IF(O65="","",IF(O65&lt;60.54,"是⚠","否"))</f>
        <v/>
      </c>
      <c r="Q65" s="7">
        <f>IF(O65="","",IF(O65&lt;60.54,5-1,5))</f>
        <v/>
      </c>
      <c r="R65" s="7" t="n"/>
      <c r="S65" s="8" t="n">
        <v>1.487</v>
      </c>
      <c r="T65" s="8" t="n">
        <v>-0.0054</v>
      </c>
      <c r="U65" s="7" t="inlineStr">
        <is>
          <t>B</t>
        </is>
      </c>
      <c r="V65" s="8" t="n">
        <v>137.5</v>
      </c>
    </row>
    <row r="66">
      <c r="A66" s="10" t="inlineStr">
        <is>
          <t>热身校准</t>
        </is>
      </c>
      <c r="B66" s="10" t="inlineStr">
        <is>
          <t>a</t>
        </is>
      </c>
      <c r="C66" s="10" t="inlineStr">
        <is>
          <t>b</t>
        </is>
      </c>
      <c r="D66" s="10" t="inlineStr">
        <is>
          <t>50%热身</t>
        </is>
      </c>
      <c r="E66" s="10" t="inlineStr">
        <is>
          <t>70%热身</t>
        </is>
      </c>
      <c r="F66" s="10" t="inlineStr">
        <is>
          <t>热身负荷</t>
        </is>
      </c>
      <c r="G66" s="10" t="inlineStr">
        <is>
          <t>实测MCV</t>
        </is>
      </c>
      <c r="H66" s="10" t="inlineStr">
        <is>
          <t>预测MCV</t>
        </is>
      </c>
      <c r="I66" s="10" t="inlineStr">
        <is>
          <t>Δv</t>
        </is>
      </c>
      <c r="J66" s="10" t="inlineStr">
        <is>
          <t>调整量</t>
        </is>
      </c>
      <c r="K66" s="10" t="inlineStr">
        <is>
          <t>校准第1组</t>
        </is>
      </c>
    </row>
    <row r="67">
      <c r="A67" s="7" t="n"/>
      <c r="B67" s="11" t="n">
        <v>1.487</v>
      </c>
      <c r="C67" s="11" t="n">
        <v>-0.0054</v>
      </c>
      <c r="D67" s="11">
        <f>IFERROR(ROUND(V65*0.5/2.5,0)*2.5,"")</f>
        <v/>
      </c>
      <c r="E67" s="11" t="inlineStr"/>
      <c r="F67" s="11">
        <f>IFERROR(ROUND(V65*0.5/2.5,0)*2.5,"")</f>
        <v/>
      </c>
      <c r="G67" s="9" t="n"/>
      <c r="H67" s="11">
        <f>IFERROR(B67+C67*F67,"")</f>
        <v/>
      </c>
      <c r="I67" s="11">
        <f>IFERROR(G67-H67,"")</f>
        <v/>
      </c>
      <c r="J67" s="11">
        <f>IFERROR(IF(I67&gt;0.08,5,IF(I67&gt;0.04,2.5,IF(I67&gt;=-0.04,0,IF(I67&gt;=-0.08,-2.5,-5)))),"")</f>
        <v/>
      </c>
      <c r="K67" s="11">
        <f>IFERROR(ROUND(V65+J67,0),"")</f>
        <v/>
      </c>
    </row>
    <row r="68">
      <c r="A68" s="12" t="inlineStr">
        <is>
          <t>组</t>
        </is>
      </c>
      <c r="B68" s="12" t="inlineStr">
        <is>
          <t>负荷</t>
        </is>
      </c>
      <c r="C68" s="12" t="inlineStr">
        <is>
          <t>rep1</t>
        </is>
      </c>
      <c r="D68" s="12" t="inlineStr">
        <is>
          <t>rep2</t>
        </is>
      </c>
      <c r="E68" s="12" t="inlineStr">
        <is>
          <t>rep3</t>
        </is>
      </c>
      <c r="F68" s="12" t="inlineStr">
        <is>
          <t>rep4</t>
        </is>
      </c>
      <c r="G68" s="12" t="inlineStr">
        <is>
          <t>rep5</t>
        </is>
      </c>
      <c r="H68" s="12" t="inlineStr">
        <is>
          <t>rep6</t>
        </is>
      </c>
      <c r="I68" s="12" t="inlineStr">
        <is>
          <t>best</t>
        </is>
      </c>
      <c r="J68" s="12" t="inlineStr">
        <is>
          <t>best#</t>
        </is>
      </c>
      <c r="K68" s="12" t="inlineStr">
        <is>
          <t>VL%</t>
        </is>
      </c>
      <c r="L68" s="12" t="inlineStr">
        <is>
          <t>stop_th</t>
        </is>
      </c>
      <c r="M68" s="12" t="inlineStr">
        <is>
          <t>latest</t>
        </is>
      </c>
      <c r="N68" s="12" t="inlineStr">
        <is>
          <t>VL_flag</t>
        </is>
      </c>
      <c r="O68" s="12" t="inlineStr">
        <is>
          <t>safety</t>
        </is>
      </c>
      <c r="P68" s="12" t="inlineStr">
        <is>
          <t>原因</t>
        </is>
      </c>
      <c r="Q68" s="12" t="inlineStr">
        <is>
          <t>建议</t>
        </is>
      </c>
      <c r="R68" s="12" t="inlineStr">
        <is>
          <t>次数</t>
        </is>
      </c>
    </row>
    <row r="69">
      <c r="A69" s="7" t="n">
        <v>1</v>
      </c>
      <c r="B69" s="9">
        <f>IFERROR(K67,"")</f>
        <v/>
      </c>
      <c r="C69" s="9" t="n"/>
      <c r="D69" s="9" t="n"/>
      <c r="E69" s="9" t="n"/>
      <c r="F69" s="9" t="n"/>
      <c r="G69" s="9" t="n"/>
      <c r="H69" s="9" t="n"/>
      <c r="I69" s="7">
        <f>IFERROR(MAX(C69:H69),"")</f>
        <v/>
      </c>
      <c r="J69" s="7">
        <f>IFERROR(MATCH(I69,C69:H69,0),"")</f>
        <v/>
      </c>
      <c r="K69" s="7" t="n">
        <v>12</v>
      </c>
      <c r="L69" s="7">
        <f>IFERROR(I69*(1-(K69/100)),"")</f>
        <v/>
      </c>
      <c r="M69" s="7">
        <f>IFERROR(LOOKUP(9.99E+307,C69:H69),"")</f>
        <v/>
      </c>
      <c r="N69" s="7">
        <f>IFERROR(IF(M69="","",IF(M69&lt;=N69,"停组🛑","继续✓")),"")</f>
        <v/>
      </c>
      <c r="O69" s="7">
        <f>IFERROR(IF(M69="","",IF(M69&lt;0.15,"SAFETY_STOP","")),"")</f>
        <v/>
      </c>
      <c r="P69" s="7">
        <f>IFERROR(IF(M69="","",IF(M69&lt;0.15,"SAFETY_STOP",IF(M69&lt;=N69,"VL_THRESHOLD",""))),"")</f>
        <v/>
      </c>
      <c r="Q69" s="7">
        <f>IFERROR(IF(I69="","",IF(I69&gt;(0.75+0.05),"+5kg",IF(I69&gt;(0.75+0.02),"+2.5kg",IF(I69&gt;=(0.75-0.05),"保持",IF(I69&gt;=(0.75-0.08),"-2.5kg","-5kg"))))),"")</f>
        <v/>
      </c>
      <c r="R69" s="9" t="n"/>
    </row>
    <row r="70">
      <c r="A70" s="7" t="n">
        <v>2</v>
      </c>
      <c r="B70" s="9" t="n"/>
      <c r="C70" s="9" t="n"/>
      <c r="D70" s="9" t="n"/>
      <c r="E70" s="9" t="n"/>
      <c r="F70" s="9" t="n"/>
      <c r="G70" s="9" t="n"/>
      <c r="H70" s="9" t="n"/>
      <c r="I70" s="7">
        <f>IFERROR(MAX(C70:H70),"")</f>
        <v/>
      </c>
      <c r="J70" s="7">
        <f>IFERROR(MATCH(I70,C70:H70,0),"")</f>
        <v/>
      </c>
      <c r="K70" s="7" t="n">
        <v>12</v>
      </c>
      <c r="L70" s="7">
        <f>IFERROR(I70*(1-(K70/100)),"")</f>
        <v/>
      </c>
      <c r="M70" s="7">
        <f>IFERROR(LOOKUP(9.99E+307,C70:H70),"")</f>
        <v/>
      </c>
      <c r="N70" s="7">
        <f>IFERROR(IF(M70="","",IF(M70&lt;=N70,"停组🛑","继续✓")),"")</f>
        <v/>
      </c>
      <c r="O70" s="7">
        <f>IFERROR(IF(M70="","",IF(M70&lt;0.15,"SAFETY_STOP","")),"")</f>
        <v/>
      </c>
      <c r="P70" s="7">
        <f>IFERROR(IF(M70="","",IF(M70&lt;0.15,"SAFETY_STOP",IF(M70&lt;=N70,"VL_THRESHOLD",""))),"")</f>
        <v/>
      </c>
      <c r="Q70" s="7">
        <f>IFERROR(IF(I70="","",IF(I70&gt;(0.75+0.05),"+5kg",IF(I70&gt;(0.75+0.02),"+2.5kg",IF(I70&gt;=(0.75-0.05),"保持",IF(I70&gt;=(0.75-0.08),"-2.5kg","-5kg"))))),"")</f>
        <v/>
      </c>
      <c r="R70" s="9" t="n"/>
    </row>
    <row r="71">
      <c r="A71" s="7" t="n">
        <v>3</v>
      </c>
      <c r="B71" s="9" t="n"/>
      <c r="C71" s="9" t="n"/>
      <c r="D71" s="9" t="n"/>
      <c r="E71" s="9" t="n"/>
      <c r="F71" s="9" t="n"/>
      <c r="G71" s="9" t="n"/>
      <c r="H71" s="9" t="n"/>
      <c r="I71" s="7">
        <f>IFERROR(MAX(C71:H71),"")</f>
        <v/>
      </c>
      <c r="J71" s="7">
        <f>IFERROR(MATCH(I71,C71:H71,0),"")</f>
        <v/>
      </c>
      <c r="K71" s="7" t="n">
        <v>12</v>
      </c>
      <c r="L71" s="7">
        <f>IFERROR(I71*(1-(K71/100)),"")</f>
        <v/>
      </c>
      <c r="M71" s="7">
        <f>IFERROR(LOOKUP(9.99E+307,C71:H71),"")</f>
        <v/>
      </c>
      <c r="N71" s="7">
        <f>IFERROR(IF(M71="","",IF(M71&lt;=N71,"停组🛑","继续✓")),"")</f>
        <v/>
      </c>
      <c r="O71" s="7">
        <f>IFERROR(IF(M71="","",IF(M71&lt;0.15,"SAFETY_STOP","")),"")</f>
        <v/>
      </c>
      <c r="P71" s="7">
        <f>IFERROR(IF(M71="","",IF(M71&lt;0.15,"SAFETY_STOP",IF(M71&lt;=N71,"VL_THRESHOLD",""))),"")</f>
        <v/>
      </c>
      <c r="Q71" s="7">
        <f>IFERROR(IF(I71="","",IF(I71&gt;(0.75+0.05),"+5kg",IF(I71&gt;(0.75+0.02),"+2.5kg",IF(I71&gt;=(0.75-0.05),"保持",IF(I71&gt;=(0.75-0.08),"-2.5kg","-5kg"))))),"")</f>
        <v/>
      </c>
      <c r="R71" s="9" t="n"/>
    </row>
    <row r="72">
      <c r="A72" s="7" t="n">
        <v>4</v>
      </c>
      <c r="B72" s="9" t="n"/>
      <c r="C72" s="9" t="n"/>
      <c r="D72" s="9" t="n"/>
      <c r="E72" s="9" t="n"/>
      <c r="F72" s="9" t="n"/>
      <c r="G72" s="9" t="n"/>
      <c r="H72" s="9" t="n"/>
      <c r="I72" s="7">
        <f>IFERROR(MAX(C72:H72),"")</f>
        <v/>
      </c>
      <c r="J72" s="7">
        <f>IFERROR(MATCH(I72,C72:H72,0),"")</f>
        <v/>
      </c>
      <c r="K72" s="7" t="n">
        <v>12</v>
      </c>
      <c r="L72" s="7">
        <f>IFERROR(I72*(1-(K72/100)),"")</f>
        <v/>
      </c>
      <c r="M72" s="7">
        <f>IFERROR(LOOKUP(9.99E+307,C72:H72),"")</f>
        <v/>
      </c>
      <c r="N72" s="7">
        <f>IFERROR(IF(M72="","",IF(M72&lt;=N72,"停组🛑","继续✓")),"")</f>
        <v/>
      </c>
      <c r="O72" s="7">
        <f>IFERROR(IF(M72="","",IF(M72&lt;0.15,"SAFETY_STOP","")),"")</f>
        <v/>
      </c>
      <c r="P72" s="7">
        <f>IFERROR(IF(M72="","",IF(M72&lt;0.15,"SAFETY_STOP",IF(M72&lt;=N72,"VL_THRESHOLD",""))),"")</f>
        <v/>
      </c>
      <c r="Q72" s="7">
        <f>IFERROR(IF(I72="","",IF(I72&gt;(0.75+0.05),"+5kg",IF(I72&gt;(0.75+0.02),"+2.5kg",IF(I72&gt;=(0.75-0.05),"保持",IF(I72&gt;=(0.75-0.08),"-2.5kg","-5kg"))))),"")</f>
        <v/>
      </c>
      <c r="R72" s="9" t="n"/>
    </row>
    <row r="73">
      <c r="A73" s="7" t="n">
        <v>5</v>
      </c>
      <c r="B73" s="9" t="n"/>
      <c r="C73" s="9" t="n"/>
      <c r="D73" s="9" t="n"/>
      <c r="E73" s="9" t="n"/>
      <c r="F73" s="9" t="n"/>
      <c r="G73" s="9" t="n"/>
      <c r="H73" s="9" t="n"/>
      <c r="I73" s="7">
        <f>IFERROR(MAX(C73:H73),"")</f>
        <v/>
      </c>
      <c r="J73" s="7">
        <f>IFERROR(MATCH(I73,C73:H73,0),"")</f>
        <v/>
      </c>
      <c r="K73" s="7" t="n">
        <v>12</v>
      </c>
      <c r="L73" s="7">
        <f>IFERROR(I73*(1-(K73/100)),"")</f>
        <v/>
      </c>
      <c r="M73" s="7">
        <f>IFERROR(LOOKUP(9.99E+307,C73:H73),"")</f>
        <v/>
      </c>
      <c r="N73" s="7">
        <f>IFERROR(IF(M73="","",IF(M73&lt;=N73,"停组🛑","继续✓")),"")</f>
        <v/>
      </c>
      <c r="O73" s="7">
        <f>IFERROR(IF(M73="","",IF(M73&lt;0.15,"SAFETY_STOP","")),"")</f>
        <v/>
      </c>
      <c r="P73" s="7">
        <f>IFERROR(IF(M73="","",IF(M73&lt;0.15,"SAFETY_STOP",IF(M73&lt;=N73,"VL_THRESHOLD",""))),"")</f>
        <v/>
      </c>
      <c r="Q73" s="7">
        <f>IFERROR(IF(I73="","",IF(I73&gt;(0.75+0.05),"+5kg",IF(I73&gt;(0.75+0.02),"+2.5kg",IF(I73&gt;=(0.75-0.05),"保持",IF(I73&gt;=(0.75-0.08),"-2.5kg","-5kg"))))),"")</f>
        <v/>
      </c>
      <c r="R73" s="9" t="n"/>
    </row>
    <row r="74">
      <c r="A74" s="7" t="n">
        <v>6</v>
      </c>
      <c r="B74" s="9" t="n"/>
      <c r="C74" s="9" t="n"/>
      <c r="D74" s="9" t="n"/>
      <c r="E74" s="9" t="n"/>
      <c r="F74" s="9" t="n"/>
      <c r="G74" s="9" t="n"/>
      <c r="H74" s="9" t="n"/>
      <c r="I74" s="7">
        <f>IFERROR(MAX(C74:H74),"")</f>
        <v/>
      </c>
      <c r="J74" s="7">
        <f>IFERROR(MATCH(I74,C74:H74,0),"")</f>
        <v/>
      </c>
      <c r="K74" s="7" t="n">
        <v>12</v>
      </c>
      <c r="L74" s="7">
        <f>IFERROR(I74*(1-(K74/100)),"")</f>
        <v/>
      </c>
      <c r="M74" s="7">
        <f>IFERROR(LOOKUP(9.99E+307,C74:H74),"")</f>
        <v/>
      </c>
      <c r="N74" s="7">
        <f>IFERROR(IF(M74="","",IF(M74&lt;=N74,"停组🛑","继续✓")),"")</f>
        <v/>
      </c>
      <c r="O74" s="7">
        <f>IFERROR(IF(M74="","",IF(M74&lt;0.15,"SAFETY_STOP","")),"")</f>
        <v/>
      </c>
      <c r="P74" s="7">
        <f>IFERROR(IF(M74="","",IF(M74&lt;0.15,"SAFETY_STOP",IF(M74&lt;=N74,"VL_THRESHOLD",""))),"")</f>
        <v/>
      </c>
      <c r="Q74" s="7">
        <f>IFERROR(IF(I74="","",IF(I74&gt;(0.75+0.05),"+5kg",IF(I74&gt;(0.75+0.02),"+2.5kg",IF(I74&gt;=(0.75-0.05),"保持",IF(I74&gt;=(0.75-0.08),"-2.5kg","-5kg"))))),"")</f>
        <v/>
      </c>
      <c r="R74" s="9" t="n"/>
    </row>
    <row r="75">
      <c r="A75" s="13" t="inlineStr">
        <is>
          <t>辅助</t>
        </is>
      </c>
      <c r="D75" s="14" t="inlineStr">
        <is>
          <t>保加利亚单腿蹲</t>
        </is>
      </c>
      <c r="E75" s="14" t="inlineStr">
        <is>
          <t>负荷</t>
        </is>
      </c>
      <c r="F75" s="14" t="inlineStr">
        <is>
          <t>完成</t>
        </is>
      </c>
      <c r="I75" t="inlineStr">
        <is>
          <t>VL</t>
        </is>
      </c>
    </row>
    <row r="76">
      <c r="A76" s="15" t="inlineStr">
        <is>
          <t>训练后</t>
        </is>
      </c>
      <c r="B76" s="15" t="inlineStr">
        <is>
          <t>开始</t>
        </is>
      </c>
      <c r="C76" s="15" t="inlineStr">
        <is>
          <t>结束</t>
        </is>
      </c>
      <c r="D76" s="15" t="inlineStr">
        <is>
          <t>时长min</t>
        </is>
      </c>
      <c r="E76" s="15" t="inlineStr">
        <is>
          <t>sRPE</t>
        </is>
      </c>
      <c r="F76" s="15" t="inlineStr">
        <is>
          <t>load</t>
        </is>
      </c>
      <c r="G76" s="15" t="inlineStr">
        <is>
          <t>不适?</t>
        </is>
      </c>
      <c r="H76" s="15" t="inlineStr">
        <is>
          <t>备注</t>
        </is>
      </c>
      <c r="I76" s="15" t="inlineStr">
        <is>
          <t>签名</t>
        </is>
      </c>
    </row>
    <row r="77">
      <c r="A77" s="7" t="n"/>
      <c r="B77" s="9" t="n"/>
      <c r="C77" s="9" t="n"/>
      <c r="D77" s="11">
        <f>IFERROR((C77-B77)*1440,"")</f>
        <v/>
      </c>
      <c r="E77" s="9" t="n"/>
      <c r="F77" s="11">
        <f>IFERROR(E77*D77,"")</f>
        <v/>
      </c>
      <c r="G77" s="9" t="n"/>
      <c r="H77" s="9" t="n"/>
      <c r="I77" s="9" t="n"/>
    </row>
    <row r="78">
      <c r="A78" s="16" t="inlineStr">
        <is>
          <t>跳跃</t>
        </is>
      </c>
      <c r="B78" s="16" t="inlineStr">
        <is>
          <t>类型</t>
        </is>
      </c>
      <c r="C78" s="16" t="inlineStr">
        <is>
          <t>组×次</t>
        </is>
      </c>
      <c r="D78" s="16" t="inlineStr">
        <is>
          <t>负荷kg</t>
        </is>
      </c>
      <c r="E78" s="16" t="inlineStr">
        <is>
          <t>接触</t>
        </is>
      </c>
    </row>
    <row r="79">
      <c r="B79" t="inlineStr">
        <is>
          <t>SJ</t>
        </is>
      </c>
      <c r="C79" t="inlineStr">
        <is>
          <t>3×3</t>
        </is>
      </c>
      <c r="D79" t="n">
        <v>0</v>
      </c>
      <c r="E79" t="n">
        <v>9</v>
      </c>
    </row>
    <row r="80">
      <c r="B80" t="inlineStr">
        <is>
          <t>负重跳</t>
        </is>
      </c>
      <c r="C80" t="inlineStr">
        <is>
          <t>3×4</t>
        </is>
      </c>
      <c r="D80" s="14" t="n"/>
      <c r="E80" s="14" t="n"/>
    </row>
    <row r="81">
      <c r="A81" s="17" t="inlineStr">
        <is>
          <t>▶ 暴露量汇总</t>
        </is>
      </c>
      <c r="B81" s="17" t="inlineStr">
        <is>
          <t>说明</t>
        </is>
      </c>
      <c r="C81" s="17" t="inlineStr">
        <is>
          <t>公式/来源</t>
        </is>
      </c>
      <c r="D81" s="17" t="inlineStr">
        <is>
          <t>数值</t>
        </is>
      </c>
    </row>
    <row r="82">
      <c r="A82" s="18" t="inlineStr">
        <is>
          <t>① 无负荷跳跃接触</t>
        </is>
      </c>
      <c r="B82" s="18" t="inlineStr">
        <is>
          <t>CMJ+SJ+箱跳</t>
        </is>
      </c>
      <c r="C82" s="19">
        <f>IFERROR(E79+E80,2)</f>
        <v/>
      </c>
    </row>
    <row r="83">
      <c r="A83" s="18" t="inlineStr">
        <is>
          <t>② 负重跳跃接触</t>
        </is>
      </c>
      <c r="B83" s="18" t="inlineStr">
        <is>
          <t>负重深蹲跳</t>
        </is>
      </c>
      <c r="C83" s="19">
        <f>IFERROR(E80,"")</f>
        <v/>
      </c>
    </row>
    <row r="84">
      <c r="A84" s="18" t="inlineStr">
        <is>
          <t>③ 跳跃总计</t>
        </is>
      </c>
      <c r="B84" s="18" t="inlineStr">
        <is>
          <t>①+②</t>
        </is>
      </c>
      <c r="C84" s="19">
        <f>IFERROR(B82+B83,"")</f>
        <v/>
      </c>
    </row>
    <row r="85">
      <c r="A85" s="18" t="inlineStr">
        <is>
          <t>④ 热身VL</t>
        </is>
      </c>
      <c r="B85" s="18" t="inlineStr">
        <is>
          <t>20×5+50%×3(+70%×2)</t>
        </is>
      </c>
      <c r="C85" s="19">
        <f>IFERROR(20*5+ROUND(V65*0.5,0)*3,"-")</f>
        <v/>
      </c>
    </row>
    <row r="86">
      <c r="A86" s="20" t="inlineStr">
        <is>
          <t>⑤ 主项工作组VL ★</t>
        </is>
      </c>
      <c r="B86" s="20" t="inlineStr">
        <is>
          <t>Σ(负荷×次数)</t>
        </is>
      </c>
      <c r="C86" s="21">
        <f>SUMPRODUCT($B$69:$B$74,$R$69:$R$74)</f>
        <v/>
      </c>
    </row>
    <row r="87">
      <c r="A87" s="18" t="inlineStr">
        <is>
          <t>⑥ 主项总VL</t>
        </is>
      </c>
      <c r="B87" s="18" t="inlineStr">
        <is>
          <t>④+⑤</t>
        </is>
      </c>
      <c r="C87" s="19">
        <f>IFERROR(D82+D83,"")</f>
        <v/>
      </c>
    </row>
    <row r="88">
      <c r="A88" s="18" t="inlineStr">
        <is>
          <t>⑦ 辅助VL</t>
        </is>
      </c>
      <c r="B88" s="18" t="inlineStr">
        <is>
          <t>RDL/保加利亚</t>
        </is>
      </c>
      <c r="C88" s="19">
        <f>IFERROR(I75,"")</f>
        <v/>
      </c>
    </row>
    <row r="89">
      <c r="A89" s="18" t="inlineStr">
        <is>
          <t>⑧ 总外部负荷</t>
        </is>
      </c>
      <c r="B89" s="18" t="inlineStr">
        <is>
          <t>⑥+⑦(+负重跳)</t>
        </is>
      </c>
      <c r="C89" s="19">
        <f>IFERROR(F82+G82,"")</f>
        <v/>
      </c>
    </row>
    <row r="90">
      <c r="A90" s="18" t="inlineStr">
        <is>
          <t>⑨ sRPE load</t>
        </is>
      </c>
      <c r="B90" s="18" t="inlineStr">
        <is>
          <t>sRPE×时长</t>
        </is>
      </c>
      <c r="C90" s="19">
        <f>IFERROR(F77,"")</f>
        <v/>
      </c>
    </row>
    <row r="93">
      <c r="A93" s="5" t="inlineStr">
        <is>
          <t>P006 陈镕垚  a=1.694 b=-0.01015 1RM=145</t>
        </is>
      </c>
    </row>
    <row r="94">
      <c r="A94" s="6" t="inlineStr">
        <is>
          <t>编号</t>
        </is>
      </c>
      <c r="B94" s="6" t="inlineStr">
        <is>
          <t>姓名</t>
        </is>
      </c>
      <c r="C94" s="6" t="inlineStr">
        <is>
          <t>身高</t>
        </is>
      </c>
      <c r="D94" s="6" t="inlineStr">
        <is>
          <t>1RM</t>
        </is>
      </c>
      <c r="E94" s="6" t="inlineStr">
        <is>
          <t>Hooper睡</t>
        </is>
      </c>
      <c r="F94" s="6" t="inlineStr">
        <is>
          <t>Hooper压</t>
        </is>
      </c>
      <c r="G94" s="6" t="inlineStr">
        <is>
          <t>Hooper疲</t>
        </is>
      </c>
      <c r="H94" s="6" t="inlineStr">
        <is>
          <t>Hooper酸</t>
        </is>
      </c>
      <c r="I94" s="6" t="inlineStr">
        <is>
          <t>H总</t>
        </is>
      </c>
      <c r="J94" s="6" t="inlineStr">
        <is>
          <t>不适?</t>
        </is>
      </c>
      <c r="K94" s="6" t="inlineStr">
        <is>
          <t>说明</t>
        </is>
      </c>
      <c r="L94" s="6" t="inlineStr">
        <is>
          <t>CMJ1</t>
        </is>
      </c>
      <c r="M94" s="6" t="inlineStr">
        <is>
          <t>CMJ2</t>
        </is>
      </c>
      <c r="N94" s="6" t="inlineStr">
        <is>
          <t>CMJ3</t>
        </is>
      </c>
      <c r="O94" s="6" t="inlineStr">
        <is>
          <t>CMJμ</t>
        </is>
      </c>
      <c r="P94" s="6" t="inlineStr">
        <is>
          <t>&lt;95%</t>
        </is>
      </c>
      <c r="Q94" s="6" t="inlineStr">
        <is>
          <t>减组</t>
        </is>
      </c>
      <c r="R94" s="6" t="inlineStr">
        <is>
          <t>组数</t>
        </is>
      </c>
      <c r="S94" s="6" t="inlineStr">
        <is>
          <t>a(V0)</t>
        </is>
      </c>
      <c r="T94" s="6" t="inlineStr">
        <is>
          <t>b</t>
        </is>
      </c>
      <c r="U94" s="6" t="inlineStr">
        <is>
          <t>等级</t>
        </is>
      </c>
      <c r="V94" s="6" t="inlineStr">
        <is>
          <t>预测起始</t>
        </is>
      </c>
    </row>
    <row r="95">
      <c r="A95" s="7" t="inlineStr">
        <is>
          <t>P006</t>
        </is>
      </c>
      <c r="B95" s="7" t="inlineStr">
        <is>
          <t>陈镕垚</t>
        </is>
      </c>
      <c r="C95" s="7" t="n">
        <v>181</v>
      </c>
      <c r="D95" s="8" t="n">
        <v>145</v>
      </c>
      <c r="E95" s="9" t="n"/>
      <c r="F95" s="9" t="n"/>
      <c r="G95" s="9" t="n"/>
      <c r="H95" s="9" t="n"/>
      <c r="I95" s="7">
        <f>IFERROR(SUM(E95:H95),"")</f>
        <v/>
      </c>
      <c r="J95" s="9" t="n"/>
      <c r="K95" s="9" t="n"/>
      <c r="L95" s="9" t="n"/>
      <c r="M95" s="9" t="n"/>
      <c r="N95" s="9" t="n"/>
      <c r="O95" s="7">
        <f>IFERROR(AVERAGE(L95:N95),"")</f>
        <v/>
      </c>
      <c r="P95" s="7">
        <f>IF(O95="","",IF(O95&lt;59.06,"是⚠","否"))</f>
        <v/>
      </c>
      <c r="Q95" s="7">
        <f>IF(O95="","",IF(O95&lt;59.06,5-1,5))</f>
        <v/>
      </c>
      <c r="R95" s="7" t="n"/>
      <c r="S95" s="8" t="n">
        <v>1.694</v>
      </c>
      <c r="T95" s="8" t="n">
        <v>-0.01015</v>
      </c>
      <c r="U95" s="7" t="inlineStr">
        <is>
          <t>A</t>
        </is>
      </c>
      <c r="V95" s="8" t="n">
        <v>92.5</v>
      </c>
    </row>
    <row r="96">
      <c r="A96" s="10" t="inlineStr">
        <is>
          <t>热身校准</t>
        </is>
      </c>
      <c r="B96" s="10" t="inlineStr">
        <is>
          <t>a</t>
        </is>
      </c>
      <c r="C96" s="10" t="inlineStr">
        <is>
          <t>b</t>
        </is>
      </c>
      <c r="D96" s="10" t="inlineStr">
        <is>
          <t>50%热身</t>
        </is>
      </c>
      <c r="E96" s="10" t="inlineStr">
        <is>
          <t>70%热身</t>
        </is>
      </c>
      <c r="F96" s="10" t="inlineStr">
        <is>
          <t>热身负荷</t>
        </is>
      </c>
      <c r="G96" s="10" t="inlineStr">
        <is>
          <t>实测MCV</t>
        </is>
      </c>
      <c r="H96" s="10" t="inlineStr">
        <is>
          <t>预测MCV</t>
        </is>
      </c>
      <c r="I96" s="10" t="inlineStr">
        <is>
          <t>Δv</t>
        </is>
      </c>
      <c r="J96" s="10" t="inlineStr">
        <is>
          <t>调整量</t>
        </is>
      </c>
      <c r="K96" s="10" t="inlineStr">
        <is>
          <t>校准第1组</t>
        </is>
      </c>
    </row>
    <row r="97">
      <c r="A97" s="7" t="n"/>
      <c r="B97" s="11" t="n">
        <v>1.694</v>
      </c>
      <c r="C97" s="11" t="n">
        <v>-0.01015</v>
      </c>
      <c r="D97" s="11">
        <f>IFERROR(ROUND(V95*0.5/2.5,0)*2.5,"")</f>
        <v/>
      </c>
      <c r="E97" s="11" t="inlineStr"/>
      <c r="F97" s="11">
        <f>IFERROR(ROUND(V95*0.5/2.5,0)*2.5,"")</f>
        <v/>
      </c>
      <c r="G97" s="9" t="n"/>
      <c r="H97" s="11">
        <f>IFERROR(B97+C97*F97,"")</f>
        <v/>
      </c>
      <c r="I97" s="11">
        <f>IFERROR(G97-H97,"")</f>
        <v/>
      </c>
      <c r="J97" s="11">
        <f>IFERROR(IF(I97&gt;0.08,5,IF(I97&gt;0.04,2.5,IF(I97&gt;=-0.04,0,IF(I97&gt;=-0.08,-2.5,-5)))),"")</f>
        <v/>
      </c>
      <c r="K97" s="11">
        <f>IFERROR(ROUND(V95+J97,0),"")</f>
        <v/>
      </c>
    </row>
    <row r="98">
      <c r="A98" s="12" t="inlineStr">
        <is>
          <t>组</t>
        </is>
      </c>
      <c r="B98" s="12" t="inlineStr">
        <is>
          <t>负荷</t>
        </is>
      </c>
      <c r="C98" s="12" t="inlineStr">
        <is>
          <t>rep1</t>
        </is>
      </c>
      <c r="D98" s="12" t="inlineStr">
        <is>
          <t>rep2</t>
        </is>
      </c>
      <c r="E98" s="12" t="inlineStr">
        <is>
          <t>rep3</t>
        </is>
      </c>
      <c r="F98" s="12" t="inlineStr">
        <is>
          <t>rep4</t>
        </is>
      </c>
      <c r="G98" s="12" t="inlineStr">
        <is>
          <t>rep5</t>
        </is>
      </c>
      <c r="H98" s="12" t="inlineStr">
        <is>
          <t>rep6</t>
        </is>
      </c>
      <c r="I98" s="12" t="inlineStr">
        <is>
          <t>best</t>
        </is>
      </c>
      <c r="J98" s="12" t="inlineStr">
        <is>
          <t>best#</t>
        </is>
      </c>
      <c r="K98" s="12" t="inlineStr">
        <is>
          <t>VL%</t>
        </is>
      </c>
      <c r="L98" s="12" t="inlineStr">
        <is>
          <t>stop_th</t>
        </is>
      </c>
      <c r="M98" s="12" t="inlineStr">
        <is>
          <t>latest</t>
        </is>
      </c>
      <c r="N98" s="12" t="inlineStr">
        <is>
          <t>VL_flag</t>
        </is>
      </c>
      <c r="O98" s="12" t="inlineStr">
        <is>
          <t>safety</t>
        </is>
      </c>
      <c r="P98" s="12" t="inlineStr">
        <is>
          <t>原因</t>
        </is>
      </c>
      <c r="Q98" s="12" t="inlineStr">
        <is>
          <t>建议</t>
        </is>
      </c>
      <c r="R98" s="12" t="inlineStr">
        <is>
          <t>次数</t>
        </is>
      </c>
    </row>
    <row r="99">
      <c r="A99" s="7" t="n">
        <v>1</v>
      </c>
      <c r="B99" s="9">
        <f>IFERROR(K97,"")</f>
        <v/>
      </c>
      <c r="C99" s="9" t="n"/>
      <c r="D99" s="9" t="n"/>
      <c r="E99" s="9" t="n"/>
      <c r="F99" s="9" t="n"/>
      <c r="G99" s="9" t="n"/>
      <c r="H99" s="9" t="n"/>
      <c r="I99" s="7">
        <f>IFERROR(MAX(C99:H99),"")</f>
        <v/>
      </c>
      <c r="J99" s="7">
        <f>IFERROR(MATCH(I99,C99:H99,0),"")</f>
        <v/>
      </c>
      <c r="K99" s="7" t="n">
        <v>12</v>
      </c>
      <c r="L99" s="7">
        <f>IFERROR(I99*(1-(K99/100)),"")</f>
        <v/>
      </c>
      <c r="M99" s="7">
        <f>IFERROR(LOOKUP(9.99E+307,C99:H99),"")</f>
        <v/>
      </c>
      <c r="N99" s="7">
        <f>IFERROR(IF(M99="","",IF(M99&lt;=N99,"停组🛑","继续✓")),"")</f>
        <v/>
      </c>
      <c r="O99" s="7">
        <f>IFERROR(IF(M99="","",IF(M99&lt;0.15,"SAFETY_STOP","")),"")</f>
        <v/>
      </c>
      <c r="P99" s="7">
        <f>IFERROR(IF(M99="","",IF(M99&lt;0.15,"SAFETY_STOP",IF(M99&lt;=N99,"VL_THRESHOLD",""))),"")</f>
        <v/>
      </c>
      <c r="Q99" s="7">
        <f>IFERROR(IF(I99="","",IF(I99&gt;(0.75+0.05),"+5kg",IF(I99&gt;(0.75+0.02),"+2.5kg",IF(I99&gt;=(0.75-0.05),"保持",IF(I99&gt;=(0.75-0.08),"-2.5kg","-5kg"))))),"")</f>
        <v/>
      </c>
      <c r="R99" s="9" t="n"/>
    </row>
    <row r="100">
      <c r="A100" s="7" t="n">
        <v>2</v>
      </c>
      <c r="B100" s="9" t="n"/>
      <c r="C100" s="9" t="n"/>
      <c r="D100" s="9" t="n"/>
      <c r="E100" s="9" t="n"/>
      <c r="F100" s="9" t="n"/>
      <c r="G100" s="9" t="n"/>
      <c r="H100" s="9" t="n"/>
      <c r="I100" s="7">
        <f>IFERROR(MAX(C100:H100),"")</f>
        <v/>
      </c>
      <c r="J100" s="7">
        <f>IFERROR(MATCH(I100,C100:H100,0),"")</f>
        <v/>
      </c>
      <c r="K100" s="7" t="n">
        <v>12</v>
      </c>
      <c r="L100" s="7">
        <f>IFERROR(I100*(1-(K100/100)),"")</f>
        <v/>
      </c>
      <c r="M100" s="7">
        <f>IFERROR(LOOKUP(9.99E+307,C100:H100),"")</f>
        <v/>
      </c>
      <c r="N100" s="7">
        <f>IFERROR(IF(M100="","",IF(M100&lt;=N100,"停组🛑","继续✓")),"")</f>
        <v/>
      </c>
      <c r="O100" s="7">
        <f>IFERROR(IF(M100="","",IF(M100&lt;0.15,"SAFETY_STOP","")),"")</f>
        <v/>
      </c>
      <c r="P100" s="7">
        <f>IFERROR(IF(M100="","",IF(M100&lt;0.15,"SAFETY_STOP",IF(M100&lt;=N100,"VL_THRESHOLD",""))),"")</f>
        <v/>
      </c>
      <c r="Q100" s="7">
        <f>IFERROR(IF(I100="","",IF(I100&gt;(0.75+0.05),"+5kg",IF(I100&gt;(0.75+0.02),"+2.5kg",IF(I100&gt;=(0.75-0.05),"保持",IF(I100&gt;=(0.75-0.08),"-2.5kg","-5kg"))))),"")</f>
        <v/>
      </c>
      <c r="R100" s="9" t="n"/>
    </row>
    <row r="101">
      <c r="A101" s="7" t="n">
        <v>3</v>
      </c>
      <c r="B101" s="9" t="n"/>
      <c r="C101" s="9" t="n"/>
      <c r="D101" s="9" t="n"/>
      <c r="E101" s="9" t="n"/>
      <c r="F101" s="9" t="n"/>
      <c r="G101" s="9" t="n"/>
      <c r="H101" s="9" t="n"/>
      <c r="I101" s="7">
        <f>IFERROR(MAX(C101:H101),"")</f>
        <v/>
      </c>
      <c r="J101" s="7">
        <f>IFERROR(MATCH(I101,C101:H101,0),"")</f>
        <v/>
      </c>
      <c r="K101" s="7" t="n">
        <v>12</v>
      </c>
      <c r="L101" s="7">
        <f>IFERROR(I101*(1-(K101/100)),"")</f>
        <v/>
      </c>
      <c r="M101" s="7">
        <f>IFERROR(LOOKUP(9.99E+307,C101:H101),"")</f>
        <v/>
      </c>
      <c r="N101" s="7">
        <f>IFERROR(IF(M101="","",IF(M101&lt;=N101,"停组🛑","继续✓")),"")</f>
        <v/>
      </c>
      <c r="O101" s="7">
        <f>IFERROR(IF(M101="","",IF(M101&lt;0.15,"SAFETY_STOP","")),"")</f>
        <v/>
      </c>
      <c r="P101" s="7">
        <f>IFERROR(IF(M101="","",IF(M101&lt;0.15,"SAFETY_STOP",IF(M101&lt;=N101,"VL_THRESHOLD",""))),"")</f>
        <v/>
      </c>
      <c r="Q101" s="7">
        <f>IFERROR(IF(I101="","",IF(I101&gt;(0.75+0.05),"+5kg",IF(I101&gt;(0.75+0.02),"+2.5kg",IF(I101&gt;=(0.75-0.05),"保持",IF(I101&gt;=(0.75-0.08),"-2.5kg","-5kg"))))),"")</f>
        <v/>
      </c>
      <c r="R101" s="9" t="n"/>
    </row>
    <row r="102">
      <c r="A102" s="7" t="n">
        <v>4</v>
      </c>
      <c r="B102" s="9" t="n"/>
      <c r="C102" s="9" t="n"/>
      <c r="D102" s="9" t="n"/>
      <c r="E102" s="9" t="n"/>
      <c r="F102" s="9" t="n"/>
      <c r="G102" s="9" t="n"/>
      <c r="H102" s="9" t="n"/>
      <c r="I102" s="7">
        <f>IFERROR(MAX(C102:H102),"")</f>
        <v/>
      </c>
      <c r="J102" s="7">
        <f>IFERROR(MATCH(I102,C102:H102,0),"")</f>
        <v/>
      </c>
      <c r="K102" s="7" t="n">
        <v>12</v>
      </c>
      <c r="L102" s="7">
        <f>IFERROR(I102*(1-(K102/100)),"")</f>
        <v/>
      </c>
      <c r="M102" s="7">
        <f>IFERROR(LOOKUP(9.99E+307,C102:H102),"")</f>
        <v/>
      </c>
      <c r="N102" s="7">
        <f>IFERROR(IF(M102="","",IF(M102&lt;=N102,"停组🛑","继续✓")),"")</f>
        <v/>
      </c>
      <c r="O102" s="7">
        <f>IFERROR(IF(M102="","",IF(M102&lt;0.15,"SAFETY_STOP","")),"")</f>
        <v/>
      </c>
      <c r="P102" s="7">
        <f>IFERROR(IF(M102="","",IF(M102&lt;0.15,"SAFETY_STOP",IF(M102&lt;=N102,"VL_THRESHOLD",""))),"")</f>
        <v/>
      </c>
      <c r="Q102" s="7">
        <f>IFERROR(IF(I102="","",IF(I102&gt;(0.75+0.05),"+5kg",IF(I102&gt;(0.75+0.02),"+2.5kg",IF(I102&gt;=(0.75-0.05),"保持",IF(I102&gt;=(0.75-0.08),"-2.5kg","-5kg"))))),"")</f>
        <v/>
      </c>
      <c r="R102" s="9" t="n"/>
    </row>
    <row r="103">
      <c r="A103" s="7" t="n">
        <v>5</v>
      </c>
      <c r="B103" s="9" t="n"/>
      <c r="C103" s="9" t="n"/>
      <c r="D103" s="9" t="n"/>
      <c r="E103" s="9" t="n"/>
      <c r="F103" s="9" t="n"/>
      <c r="G103" s="9" t="n"/>
      <c r="H103" s="9" t="n"/>
      <c r="I103" s="7">
        <f>IFERROR(MAX(C103:H103),"")</f>
        <v/>
      </c>
      <c r="J103" s="7">
        <f>IFERROR(MATCH(I103,C103:H103,0),"")</f>
        <v/>
      </c>
      <c r="K103" s="7" t="n">
        <v>12</v>
      </c>
      <c r="L103" s="7">
        <f>IFERROR(I103*(1-(K103/100)),"")</f>
        <v/>
      </c>
      <c r="M103" s="7">
        <f>IFERROR(LOOKUP(9.99E+307,C103:H103),"")</f>
        <v/>
      </c>
      <c r="N103" s="7">
        <f>IFERROR(IF(M103="","",IF(M103&lt;=N103,"停组🛑","继续✓")),"")</f>
        <v/>
      </c>
      <c r="O103" s="7">
        <f>IFERROR(IF(M103="","",IF(M103&lt;0.15,"SAFETY_STOP","")),"")</f>
        <v/>
      </c>
      <c r="P103" s="7">
        <f>IFERROR(IF(M103="","",IF(M103&lt;0.15,"SAFETY_STOP",IF(M103&lt;=N103,"VL_THRESHOLD",""))),"")</f>
        <v/>
      </c>
      <c r="Q103" s="7">
        <f>IFERROR(IF(I103="","",IF(I103&gt;(0.75+0.05),"+5kg",IF(I103&gt;(0.75+0.02),"+2.5kg",IF(I103&gt;=(0.75-0.05),"保持",IF(I103&gt;=(0.75-0.08),"-2.5kg","-5kg"))))),"")</f>
        <v/>
      </c>
      <c r="R103" s="9" t="n"/>
    </row>
    <row r="104">
      <c r="A104" s="7" t="n">
        <v>6</v>
      </c>
      <c r="B104" s="9" t="n"/>
      <c r="C104" s="9" t="n"/>
      <c r="D104" s="9" t="n"/>
      <c r="E104" s="9" t="n"/>
      <c r="F104" s="9" t="n"/>
      <c r="G104" s="9" t="n"/>
      <c r="H104" s="9" t="n"/>
      <c r="I104" s="7">
        <f>IFERROR(MAX(C104:H104),"")</f>
        <v/>
      </c>
      <c r="J104" s="7">
        <f>IFERROR(MATCH(I104,C104:H104,0),"")</f>
        <v/>
      </c>
      <c r="K104" s="7" t="n">
        <v>12</v>
      </c>
      <c r="L104" s="7">
        <f>IFERROR(I104*(1-(K104/100)),"")</f>
        <v/>
      </c>
      <c r="M104" s="7">
        <f>IFERROR(LOOKUP(9.99E+307,C104:H104),"")</f>
        <v/>
      </c>
      <c r="N104" s="7">
        <f>IFERROR(IF(M104="","",IF(M104&lt;=N104,"停组🛑","继续✓")),"")</f>
        <v/>
      </c>
      <c r="O104" s="7">
        <f>IFERROR(IF(M104="","",IF(M104&lt;0.15,"SAFETY_STOP","")),"")</f>
        <v/>
      </c>
      <c r="P104" s="7">
        <f>IFERROR(IF(M104="","",IF(M104&lt;0.15,"SAFETY_STOP",IF(M104&lt;=N104,"VL_THRESHOLD",""))),"")</f>
        <v/>
      </c>
      <c r="Q104" s="7">
        <f>IFERROR(IF(I104="","",IF(I104&gt;(0.75+0.05),"+5kg",IF(I104&gt;(0.75+0.02),"+2.5kg",IF(I104&gt;=(0.75-0.05),"保持",IF(I104&gt;=(0.75-0.08),"-2.5kg","-5kg"))))),"")</f>
        <v/>
      </c>
      <c r="R104" s="9" t="n"/>
    </row>
    <row r="105">
      <c r="A105" s="13" t="inlineStr">
        <is>
          <t>辅助</t>
        </is>
      </c>
      <c r="D105" s="14" t="inlineStr">
        <is>
          <t>保加利亚单腿蹲</t>
        </is>
      </c>
      <c r="E105" s="14" t="inlineStr">
        <is>
          <t>负荷</t>
        </is>
      </c>
      <c r="F105" s="14" t="inlineStr">
        <is>
          <t>完成</t>
        </is>
      </c>
      <c r="I105" t="inlineStr">
        <is>
          <t>VL</t>
        </is>
      </c>
    </row>
    <row r="106">
      <c r="A106" s="15" t="inlineStr">
        <is>
          <t>训练后</t>
        </is>
      </c>
      <c r="B106" s="15" t="inlineStr">
        <is>
          <t>开始</t>
        </is>
      </c>
      <c r="C106" s="15" t="inlineStr">
        <is>
          <t>结束</t>
        </is>
      </c>
      <c r="D106" s="15" t="inlineStr">
        <is>
          <t>时长min</t>
        </is>
      </c>
      <c r="E106" s="15" t="inlineStr">
        <is>
          <t>sRPE</t>
        </is>
      </c>
      <c r="F106" s="15" t="inlineStr">
        <is>
          <t>load</t>
        </is>
      </c>
      <c r="G106" s="15" t="inlineStr">
        <is>
          <t>不适?</t>
        </is>
      </c>
      <c r="H106" s="15" t="inlineStr">
        <is>
          <t>备注</t>
        </is>
      </c>
      <c r="I106" s="15" t="inlineStr">
        <is>
          <t>签名</t>
        </is>
      </c>
    </row>
    <row r="107">
      <c r="A107" s="7" t="n"/>
      <c r="B107" s="9" t="n"/>
      <c r="C107" s="9" t="n"/>
      <c r="D107" s="11">
        <f>IFERROR((C107-B107)*1440,"")</f>
        <v/>
      </c>
      <c r="E107" s="9" t="n"/>
      <c r="F107" s="11">
        <f>IFERROR(E107*D107,"")</f>
        <v/>
      </c>
      <c r="G107" s="9" t="n"/>
      <c r="H107" s="9" t="n"/>
      <c r="I107" s="9" t="n"/>
    </row>
    <row r="108">
      <c r="A108" s="16" t="inlineStr">
        <is>
          <t>跳跃</t>
        </is>
      </c>
      <c r="B108" s="16" t="inlineStr">
        <is>
          <t>类型</t>
        </is>
      </c>
      <c r="C108" s="16" t="inlineStr">
        <is>
          <t>组×次</t>
        </is>
      </c>
      <c r="D108" s="16" t="inlineStr">
        <is>
          <t>负荷kg</t>
        </is>
      </c>
      <c r="E108" s="16" t="inlineStr">
        <is>
          <t>接触</t>
        </is>
      </c>
    </row>
    <row r="109">
      <c r="B109" t="inlineStr">
        <is>
          <t>SJ</t>
        </is>
      </c>
      <c r="C109" t="inlineStr">
        <is>
          <t>3×3</t>
        </is>
      </c>
      <c r="D109" t="n">
        <v>0</v>
      </c>
      <c r="E109" t="n">
        <v>9</v>
      </c>
    </row>
    <row r="110">
      <c r="B110" t="inlineStr">
        <is>
          <t>负重跳</t>
        </is>
      </c>
      <c r="C110" t="inlineStr">
        <is>
          <t>3×4</t>
        </is>
      </c>
      <c r="D110" s="14" t="n"/>
      <c r="E110" s="14" t="n"/>
    </row>
    <row r="111">
      <c r="A111" s="17" t="inlineStr">
        <is>
          <t>▶ 暴露量汇总</t>
        </is>
      </c>
      <c r="B111" s="17" t="inlineStr">
        <is>
          <t>说明</t>
        </is>
      </c>
      <c r="C111" s="17" t="inlineStr">
        <is>
          <t>公式/来源</t>
        </is>
      </c>
      <c r="D111" s="17" t="inlineStr">
        <is>
          <t>数值</t>
        </is>
      </c>
    </row>
    <row r="112">
      <c r="A112" s="18" t="inlineStr">
        <is>
          <t>① 无负荷跳跃接触</t>
        </is>
      </c>
      <c r="B112" s="18" t="inlineStr">
        <is>
          <t>CMJ+SJ+箱跳</t>
        </is>
      </c>
      <c r="C112" s="19">
        <f>IFERROR(E109+E110,2)</f>
        <v/>
      </c>
    </row>
    <row r="113">
      <c r="A113" s="18" t="inlineStr">
        <is>
          <t>② 负重跳跃接触</t>
        </is>
      </c>
      <c r="B113" s="18" t="inlineStr">
        <is>
          <t>负重深蹲跳</t>
        </is>
      </c>
      <c r="C113" s="19">
        <f>IFERROR(E110,"")</f>
        <v/>
      </c>
    </row>
    <row r="114">
      <c r="A114" s="18" t="inlineStr">
        <is>
          <t>③ 跳跃总计</t>
        </is>
      </c>
      <c r="B114" s="18" t="inlineStr">
        <is>
          <t>①+②</t>
        </is>
      </c>
      <c r="C114" s="19">
        <f>IFERROR(B112+B113,"")</f>
        <v/>
      </c>
    </row>
    <row r="115">
      <c r="A115" s="18" t="inlineStr">
        <is>
          <t>④ 热身VL</t>
        </is>
      </c>
      <c r="B115" s="18" t="inlineStr">
        <is>
          <t>20×5+50%×3(+70%×2)</t>
        </is>
      </c>
      <c r="C115" s="19">
        <f>IFERROR(20*5+ROUND(V95*0.5,0)*3,"-")</f>
        <v/>
      </c>
    </row>
    <row r="116">
      <c r="A116" s="20" t="inlineStr">
        <is>
          <t>⑤ 主项工作组VL ★</t>
        </is>
      </c>
      <c r="B116" s="20" t="inlineStr">
        <is>
          <t>Σ(负荷×次数)</t>
        </is>
      </c>
      <c r="C116" s="21">
        <f>SUMPRODUCT($B$99:$B$104,$R$99:$R$104)</f>
        <v/>
      </c>
    </row>
    <row r="117">
      <c r="A117" s="18" t="inlineStr">
        <is>
          <t>⑥ 主项总VL</t>
        </is>
      </c>
      <c r="B117" s="18" t="inlineStr">
        <is>
          <t>④+⑤</t>
        </is>
      </c>
      <c r="C117" s="19">
        <f>IFERROR(D112+D113,"")</f>
        <v/>
      </c>
    </row>
    <row r="118">
      <c r="A118" s="18" t="inlineStr">
        <is>
          <t>⑦ 辅助VL</t>
        </is>
      </c>
      <c r="B118" s="18" t="inlineStr">
        <is>
          <t>RDL/保加利亚</t>
        </is>
      </c>
      <c r="C118" s="19">
        <f>IFERROR(I105,"")</f>
        <v/>
      </c>
    </row>
    <row r="119">
      <c r="A119" s="18" t="inlineStr">
        <is>
          <t>⑧ 总外部负荷</t>
        </is>
      </c>
      <c r="B119" s="18" t="inlineStr">
        <is>
          <t>⑥+⑦(+负重跳)</t>
        </is>
      </c>
      <c r="C119" s="19">
        <f>IFERROR(F112+G112,"")</f>
        <v/>
      </c>
    </row>
    <row r="120">
      <c r="A120" s="18" t="inlineStr">
        <is>
          <t>⑨ sRPE load</t>
        </is>
      </c>
      <c r="B120" s="18" t="inlineStr">
        <is>
          <t>sRPE×时长</t>
        </is>
      </c>
      <c r="C120" s="19">
        <f>IFERROR(F107,"")</f>
        <v/>
      </c>
    </row>
    <row r="123">
      <c r="A123" s="5" t="inlineStr">
        <is>
          <t>P015 陈先栋  a=1.77 b=-0.01025 1RM=135</t>
        </is>
      </c>
    </row>
    <row r="124">
      <c r="A124" s="6" t="inlineStr">
        <is>
          <t>编号</t>
        </is>
      </c>
      <c r="B124" s="6" t="inlineStr">
        <is>
          <t>姓名</t>
        </is>
      </c>
      <c r="C124" s="6" t="inlineStr">
        <is>
          <t>身高</t>
        </is>
      </c>
      <c r="D124" s="6" t="inlineStr">
        <is>
          <t>1RM</t>
        </is>
      </c>
      <c r="E124" s="6" t="inlineStr">
        <is>
          <t>Hooper睡</t>
        </is>
      </c>
      <c r="F124" s="6" t="inlineStr">
        <is>
          <t>Hooper压</t>
        </is>
      </c>
      <c r="G124" s="6" t="inlineStr">
        <is>
          <t>Hooper疲</t>
        </is>
      </c>
      <c r="H124" s="6" t="inlineStr">
        <is>
          <t>Hooper酸</t>
        </is>
      </c>
      <c r="I124" s="6" t="inlineStr">
        <is>
          <t>H总</t>
        </is>
      </c>
      <c r="J124" s="6" t="inlineStr">
        <is>
          <t>不适?</t>
        </is>
      </c>
      <c r="K124" s="6" t="inlineStr">
        <is>
          <t>说明</t>
        </is>
      </c>
      <c r="L124" s="6" t="inlineStr">
        <is>
          <t>CMJ1</t>
        </is>
      </c>
      <c r="M124" s="6" t="inlineStr">
        <is>
          <t>CMJ2</t>
        </is>
      </c>
      <c r="N124" s="6" t="inlineStr">
        <is>
          <t>CMJ3</t>
        </is>
      </c>
      <c r="O124" s="6" t="inlineStr">
        <is>
          <t>CMJμ</t>
        </is>
      </c>
      <c r="P124" s="6" t="inlineStr">
        <is>
          <t>&lt;95%</t>
        </is>
      </c>
      <c r="Q124" s="6" t="inlineStr">
        <is>
          <t>减组</t>
        </is>
      </c>
      <c r="R124" s="6" t="inlineStr">
        <is>
          <t>组数</t>
        </is>
      </c>
      <c r="S124" s="6" t="inlineStr">
        <is>
          <t>a(V0)</t>
        </is>
      </c>
      <c r="T124" s="6" t="inlineStr">
        <is>
          <t>b</t>
        </is>
      </c>
      <c r="U124" s="6" t="inlineStr">
        <is>
          <t>等级</t>
        </is>
      </c>
      <c r="V124" s="6" t="inlineStr">
        <is>
          <t>预测起始</t>
        </is>
      </c>
    </row>
    <row r="125">
      <c r="A125" s="7" t="inlineStr">
        <is>
          <t>P015</t>
        </is>
      </c>
      <c r="B125" s="7" t="inlineStr">
        <is>
          <t>陈先栋</t>
        </is>
      </c>
      <c r="C125" s="7" t="n">
        <v>175</v>
      </c>
      <c r="D125" s="8" t="n">
        <v>135</v>
      </c>
      <c r="E125" s="9" t="n"/>
      <c r="F125" s="9" t="n"/>
      <c r="G125" s="9" t="n"/>
      <c r="H125" s="9" t="n"/>
      <c r="I125" s="7">
        <f>IFERROR(SUM(E125:H125),"")</f>
        <v/>
      </c>
      <c r="J125" s="9" t="n"/>
      <c r="K125" s="9" t="n"/>
      <c r="L125" s="9" t="n"/>
      <c r="M125" s="9" t="n"/>
      <c r="N125" s="9" t="n"/>
      <c r="O125" s="7">
        <f>IFERROR(AVERAGE(L125:N125),"")</f>
        <v/>
      </c>
      <c r="P125" s="7">
        <f>IF(O125="","",IF(O125&lt;54.25,"是⚠","否"))</f>
        <v/>
      </c>
      <c r="Q125" s="7">
        <f>IF(O125="","",IF(O125&lt;54.25,5-1,5))</f>
        <v/>
      </c>
      <c r="R125" s="7" t="n"/>
      <c r="S125" s="8" t="n">
        <v>1.77</v>
      </c>
      <c r="T125" s="8" t="n">
        <v>-0.01025</v>
      </c>
      <c r="U125" s="7" t="inlineStr">
        <is>
          <t>C</t>
        </is>
      </c>
      <c r="V125" s="8" t="n">
        <v>100</v>
      </c>
    </row>
    <row r="126">
      <c r="A126" s="10" t="inlineStr">
        <is>
          <t>热身校准</t>
        </is>
      </c>
      <c r="B126" s="10" t="inlineStr">
        <is>
          <t>a</t>
        </is>
      </c>
      <c r="C126" s="10" t="inlineStr">
        <is>
          <t>b</t>
        </is>
      </c>
      <c r="D126" s="10" t="inlineStr">
        <is>
          <t>50%热身</t>
        </is>
      </c>
      <c r="E126" s="10" t="inlineStr">
        <is>
          <t>70%热身</t>
        </is>
      </c>
      <c r="F126" s="10" t="inlineStr">
        <is>
          <t>热身负荷</t>
        </is>
      </c>
      <c r="G126" s="10" t="inlineStr">
        <is>
          <t>实测MCV</t>
        </is>
      </c>
      <c r="H126" s="10" t="inlineStr">
        <is>
          <t>预测MCV</t>
        </is>
      </c>
      <c r="I126" s="10" t="inlineStr">
        <is>
          <t>Δv</t>
        </is>
      </c>
      <c r="J126" s="10" t="inlineStr">
        <is>
          <t>调整量</t>
        </is>
      </c>
      <c r="K126" s="10" t="inlineStr">
        <is>
          <t>校准第1组</t>
        </is>
      </c>
    </row>
    <row r="127">
      <c r="A127" s="7" t="n"/>
      <c r="B127" s="11" t="n">
        <v>1.77</v>
      </c>
      <c r="C127" s="11" t="n">
        <v>-0.01025</v>
      </c>
      <c r="D127" s="11">
        <f>IFERROR(ROUND(V125*0.5/2.5,0)*2.5,"")</f>
        <v/>
      </c>
      <c r="E127" s="11" t="inlineStr"/>
      <c r="F127" s="11">
        <f>IFERROR(ROUND(V125*0.5/2.5,0)*2.5,"")</f>
        <v/>
      </c>
      <c r="G127" s="9" t="n"/>
      <c r="H127" s="11">
        <f>IFERROR(B127+C127*F127,"")</f>
        <v/>
      </c>
      <c r="I127" s="11">
        <f>IFERROR(G127-H127,"")</f>
        <v/>
      </c>
      <c r="J127" s="11">
        <f>IFERROR(IF(I127&gt;0.08,5,IF(I127&gt;0.04,2.5,IF(I127&gt;=-0.04,0,IF(I127&gt;=-0.08,-2.5,-5)))),"")</f>
        <v/>
      </c>
      <c r="K127" s="11">
        <f>IFERROR(ROUND(V125+J127,0),"")</f>
        <v/>
      </c>
    </row>
    <row r="128">
      <c r="A128" s="12" t="inlineStr">
        <is>
          <t>组</t>
        </is>
      </c>
      <c r="B128" s="12" t="inlineStr">
        <is>
          <t>负荷</t>
        </is>
      </c>
      <c r="C128" s="12" t="inlineStr">
        <is>
          <t>rep1</t>
        </is>
      </c>
      <c r="D128" s="12" t="inlineStr">
        <is>
          <t>rep2</t>
        </is>
      </c>
      <c r="E128" s="12" t="inlineStr">
        <is>
          <t>rep3</t>
        </is>
      </c>
      <c r="F128" s="12" t="inlineStr">
        <is>
          <t>rep4</t>
        </is>
      </c>
      <c r="G128" s="12" t="inlineStr">
        <is>
          <t>rep5</t>
        </is>
      </c>
      <c r="H128" s="12" t="inlineStr">
        <is>
          <t>rep6</t>
        </is>
      </c>
      <c r="I128" s="12" t="inlineStr">
        <is>
          <t>best</t>
        </is>
      </c>
      <c r="J128" s="12" t="inlineStr">
        <is>
          <t>best#</t>
        </is>
      </c>
      <c r="K128" s="12" t="inlineStr">
        <is>
          <t>VL%</t>
        </is>
      </c>
      <c r="L128" s="12" t="inlineStr">
        <is>
          <t>stop_th</t>
        </is>
      </c>
      <c r="M128" s="12" t="inlineStr">
        <is>
          <t>latest</t>
        </is>
      </c>
      <c r="N128" s="12" t="inlineStr">
        <is>
          <t>VL_flag</t>
        </is>
      </c>
      <c r="O128" s="12" t="inlineStr">
        <is>
          <t>safety</t>
        </is>
      </c>
      <c r="P128" s="12" t="inlineStr">
        <is>
          <t>原因</t>
        </is>
      </c>
      <c r="Q128" s="12" t="inlineStr">
        <is>
          <t>建议</t>
        </is>
      </c>
      <c r="R128" s="12" t="inlineStr">
        <is>
          <t>次数</t>
        </is>
      </c>
    </row>
    <row r="129">
      <c r="A129" s="7" t="n">
        <v>1</v>
      </c>
      <c r="B129" s="9">
        <f>IFERROR(K127,"")</f>
        <v/>
      </c>
      <c r="C129" s="9" t="n"/>
      <c r="D129" s="9" t="n"/>
      <c r="E129" s="9" t="n"/>
      <c r="F129" s="9" t="n"/>
      <c r="G129" s="9" t="n"/>
      <c r="H129" s="9" t="n"/>
      <c r="I129" s="7">
        <f>IFERROR(MAX(C129:H129),"")</f>
        <v/>
      </c>
      <c r="J129" s="7">
        <f>IFERROR(MATCH(I129,C129:H129,0),"")</f>
        <v/>
      </c>
      <c r="K129" s="7" t="n">
        <v>12</v>
      </c>
      <c r="L129" s="7">
        <f>IFERROR(I129*(1-(K129/100)),"")</f>
        <v/>
      </c>
      <c r="M129" s="7">
        <f>IFERROR(LOOKUP(9.99E+307,C129:H129),"")</f>
        <v/>
      </c>
      <c r="N129" s="7">
        <f>IFERROR(IF(M129="","",IF(M129&lt;=N129,"停组🛑","继续✓")),"")</f>
        <v/>
      </c>
      <c r="O129" s="7">
        <f>IFERROR(IF(M129="","",IF(M129&lt;0.15,"SAFETY_STOP","")),"")</f>
        <v/>
      </c>
      <c r="P129" s="7">
        <f>IFERROR(IF(M129="","",IF(M129&lt;0.15,"SAFETY_STOP",IF(M129&lt;=N129,"VL_THRESHOLD",""))),"")</f>
        <v/>
      </c>
      <c r="Q129" s="7">
        <f>IFERROR(IF(I129="","",IF(I129&gt;(0.75+0.05),"+5kg",IF(I129&gt;(0.75+0.02),"+2.5kg",IF(I129&gt;=(0.75-0.05),"保持",IF(I129&gt;=(0.75-0.08),"-2.5kg","-5kg"))))),"")</f>
        <v/>
      </c>
      <c r="R129" s="9" t="n"/>
    </row>
    <row r="130">
      <c r="A130" s="7" t="n">
        <v>2</v>
      </c>
      <c r="B130" s="9" t="n"/>
      <c r="C130" s="9" t="n"/>
      <c r="D130" s="9" t="n"/>
      <c r="E130" s="9" t="n"/>
      <c r="F130" s="9" t="n"/>
      <c r="G130" s="9" t="n"/>
      <c r="H130" s="9" t="n"/>
      <c r="I130" s="7">
        <f>IFERROR(MAX(C130:H130),"")</f>
        <v/>
      </c>
      <c r="J130" s="7">
        <f>IFERROR(MATCH(I130,C130:H130,0),"")</f>
        <v/>
      </c>
      <c r="K130" s="7" t="n">
        <v>12</v>
      </c>
      <c r="L130" s="7">
        <f>IFERROR(I130*(1-(K130/100)),"")</f>
        <v/>
      </c>
      <c r="M130" s="7">
        <f>IFERROR(LOOKUP(9.99E+307,C130:H130),"")</f>
        <v/>
      </c>
      <c r="N130" s="7">
        <f>IFERROR(IF(M130="","",IF(M130&lt;=N130,"停组🛑","继续✓")),"")</f>
        <v/>
      </c>
      <c r="O130" s="7">
        <f>IFERROR(IF(M130="","",IF(M130&lt;0.15,"SAFETY_STOP","")),"")</f>
        <v/>
      </c>
      <c r="P130" s="7">
        <f>IFERROR(IF(M130="","",IF(M130&lt;0.15,"SAFETY_STOP",IF(M130&lt;=N130,"VL_THRESHOLD",""))),"")</f>
        <v/>
      </c>
      <c r="Q130" s="7">
        <f>IFERROR(IF(I130="","",IF(I130&gt;(0.75+0.05),"+5kg",IF(I130&gt;(0.75+0.02),"+2.5kg",IF(I130&gt;=(0.75-0.05),"保持",IF(I130&gt;=(0.75-0.08),"-2.5kg","-5kg"))))),"")</f>
        <v/>
      </c>
      <c r="R130" s="9" t="n"/>
    </row>
    <row r="131">
      <c r="A131" s="7" t="n">
        <v>3</v>
      </c>
      <c r="B131" s="9" t="n"/>
      <c r="C131" s="9" t="n"/>
      <c r="D131" s="9" t="n"/>
      <c r="E131" s="9" t="n"/>
      <c r="F131" s="9" t="n"/>
      <c r="G131" s="9" t="n"/>
      <c r="H131" s="9" t="n"/>
      <c r="I131" s="7">
        <f>IFERROR(MAX(C131:H131),"")</f>
        <v/>
      </c>
      <c r="J131" s="7">
        <f>IFERROR(MATCH(I131,C131:H131,0),"")</f>
        <v/>
      </c>
      <c r="K131" s="7" t="n">
        <v>12</v>
      </c>
      <c r="L131" s="7">
        <f>IFERROR(I131*(1-(K131/100)),"")</f>
        <v/>
      </c>
      <c r="M131" s="7">
        <f>IFERROR(LOOKUP(9.99E+307,C131:H131),"")</f>
        <v/>
      </c>
      <c r="N131" s="7">
        <f>IFERROR(IF(M131="","",IF(M131&lt;=N131,"停组🛑","继续✓")),"")</f>
        <v/>
      </c>
      <c r="O131" s="7">
        <f>IFERROR(IF(M131="","",IF(M131&lt;0.15,"SAFETY_STOP","")),"")</f>
        <v/>
      </c>
      <c r="P131" s="7">
        <f>IFERROR(IF(M131="","",IF(M131&lt;0.15,"SAFETY_STOP",IF(M131&lt;=N131,"VL_THRESHOLD",""))),"")</f>
        <v/>
      </c>
      <c r="Q131" s="7">
        <f>IFERROR(IF(I131="","",IF(I131&gt;(0.75+0.05),"+5kg",IF(I131&gt;(0.75+0.02),"+2.5kg",IF(I131&gt;=(0.75-0.05),"保持",IF(I131&gt;=(0.75-0.08),"-2.5kg","-5kg"))))),"")</f>
        <v/>
      </c>
      <c r="R131" s="9" t="n"/>
    </row>
    <row r="132">
      <c r="A132" s="7" t="n">
        <v>4</v>
      </c>
      <c r="B132" s="9" t="n"/>
      <c r="C132" s="9" t="n"/>
      <c r="D132" s="9" t="n"/>
      <c r="E132" s="9" t="n"/>
      <c r="F132" s="9" t="n"/>
      <c r="G132" s="9" t="n"/>
      <c r="H132" s="9" t="n"/>
      <c r="I132" s="7">
        <f>IFERROR(MAX(C132:H132),"")</f>
        <v/>
      </c>
      <c r="J132" s="7">
        <f>IFERROR(MATCH(I132,C132:H132,0),"")</f>
        <v/>
      </c>
      <c r="K132" s="7" t="n">
        <v>12</v>
      </c>
      <c r="L132" s="7">
        <f>IFERROR(I132*(1-(K132/100)),"")</f>
        <v/>
      </c>
      <c r="M132" s="7">
        <f>IFERROR(LOOKUP(9.99E+307,C132:H132),"")</f>
        <v/>
      </c>
      <c r="N132" s="7">
        <f>IFERROR(IF(M132="","",IF(M132&lt;=N132,"停组🛑","继续✓")),"")</f>
        <v/>
      </c>
      <c r="O132" s="7">
        <f>IFERROR(IF(M132="","",IF(M132&lt;0.15,"SAFETY_STOP","")),"")</f>
        <v/>
      </c>
      <c r="P132" s="7">
        <f>IFERROR(IF(M132="","",IF(M132&lt;0.15,"SAFETY_STOP",IF(M132&lt;=N132,"VL_THRESHOLD",""))),"")</f>
        <v/>
      </c>
      <c r="Q132" s="7">
        <f>IFERROR(IF(I132="","",IF(I132&gt;(0.75+0.05),"+5kg",IF(I132&gt;(0.75+0.02),"+2.5kg",IF(I132&gt;=(0.75-0.05),"保持",IF(I132&gt;=(0.75-0.08),"-2.5kg","-5kg"))))),"")</f>
        <v/>
      </c>
      <c r="R132" s="9" t="n"/>
    </row>
    <row r="133">
      <c r="A133" s="7" t="n">
        <v>5</v>
      </c>
      <c r="B133" s="9" t="n"/>
      <c r="C133" s="9" t="n"/>
      <c r="D133" s="9" t="n"/>
      <c r="E133" s="9" t="n"/>
      <c r="F133" s="9" t="n"/>
      <c r="G133" s="9" t="n"/>
      <c r="H133" s="9" t="n"/>
      <c r="I133" s="7">
        <f>IFERROR(MAX(C133:H133),"")</f>
        <v/>
      </c>
      <c r="J133" s="7">
        <f>IFERROR(MATCH(I133,C133:H133,0),"")</f>
        <v/>
      </c>
      <c r="K133" s="7" t="n">
        <v>12</v>
      </c>
      <c r="L133" s="7">
        <f>IFERROR(I133*(1-(K133/100)),"")</f>
        <v/>
      </c>
      <c r="M133" s="7">
        <f>IFERROR(LOOKUP(9.99E+307,C133:H133),"")</f>
        <v/>
      </c>
      <c r="N133" s="7">
        <f>IFERROR(IF(M133="","",IF(M133&lt;=N133,"停组🛑","继续✓")),"")</f>
        <v/>
      </c>
      <c r="O133" s="7">
        <f>IFERROR(IF(M133="","",IF(M133&lt;0.15,"SAFETY_STOP","")),"")</f>
        <v/>
      </c>
      <c r="P133" s="7">
        <f>IFERROR(IF(M133="","",IF(M133&lt;0.15,"SAFETY_STOP",IF(M133&lt;=N133,"VL_THRESHOLD",""))),"")</f>
        <v/>
      </c>
      <c r="Q133" s="7">
        <f>IFERROR(IF(I133="","",IF(I133&gt;(0.75+0.05),"+5kg",IF(I133&gt;(0.75+0.02),"+2.5kg",IF(I133&gt;=(0.75-0.05),"保持",IF(I133&gt;=(0.75-0.08),"-2.5kg","-5kg"))))),"")</f>
        <v/>
      </c>
      <c r="R133" s="9" t="n"/>
    </row>
    <row r="134">
      <c r="A134" s="7" t="n">
        <v>6</v>
      </c>
      <c r="B134" s="9" t="n"/>
      <c r="C134" s="9" t="n"/>
      <c r="D134" s="9" t="n"/>
      <c r="E134" s="9" t="n"/>
      <c r="F134" s="9" t="n"/>
      <c r="G134" s="9" t="n"/>
      <c r="H134" s="9" t="n"/>
      <c r="I134" s="7">
        <f>IFERROR(MAX(C134:H134),"")</f>
        <v/>
      </c>
      <c r="J134" s="7">
        <f>IFERROR(MATCH(I134,C134:H134,0),"")</f>
        <v/>
      </c>
      <c r="K134" s="7" t="n">
        <v>12</v>
      </c>
      <c r="L134" s="7">
        <f>IFERROR(I134*(1-(K134/100)),"")</f>
        <v/>
      </c>
      <c r="M134" s="7">
        <f>IFERROR(LOOKUP(9.99E+307,C134:H134),"")</f>
        <v/>
      </c>
      <c r="N134" s="7">
        <f>IFERROR(IF(M134="","",IF(M134&lt;=N134,"停组🛑","继续✓")),"")</f>
        <v/>
      </c>
      <c r="O134" s="7">
        <f>IFERROR(IF(M134="","",IF(M134&lt;0.15,"SAFETY_STOP","")),"")</f>
        <v/>
      </c>
      <c r="P134" s="7">
        <f>IFERROR(IF(M134="","",IF(M134&lt;0.15,"SAFETY_STOP",IF(M134&lt;=N134,"VL_THRESHOLD",""))),"")</f>
        <v/>
      </c>
      <c r="Q134" s="7">
        <f>IFERROR(IF(I134="","",IF(I134&gt;(0.75+0.05),"+5kg",IF(I134&gt;(0.75+0.02),"+2.5kg",IF(I134&gt;=(0.75-0.05),"保持",IF(I134&gt;=(0.75-0.08),"-2.5kg","-5kg"))))),"")</f>
        <v/>
      </c>
      <c r="R134" s="9" t="n"/>
    </row>
    <row r="135">
      <c r="A135" s="13" t="inlineStr">
        <is>
          <t>辅助</t>
        </is>
      </c>
      <c r="D135" s="14" t="inlineStr">
        <is>
          <t>保加利亚单腿蹲</t>
        </is>
      </c>
      <c r="E135" s="14" t="inlineStr">
        <is>
          <t>负荷</t>
        </is>
      </c>
      <c r="F135" s="14" t="inlineStr">
        <is>
          <t>完成</t>
        </is>
      </c>
      <c r="I135" t="inlineStr">
        <is>
          <t>VL</t>
        </is>
      </c>
    </row>
    <row r="136">
      <c r="A136" s="15" t="inlineStr">
        <is>
          <t>训练后</t>
        </is>
      </c>
      <c r="B136" s="15" t="inlineStr">
        <is>
          <t>开始</t>
        </is>
      </c>
      <c r="C136" s="15" t="inlineStr">
        <is>
          <t>结束</t>
        </is>
      </c>
      <c r="D136" s="15" t="inlineStr">
        <is>
          <t>时长min</t>
        </is>
      </c>
      <c r="E136" s="15" t="inlineStr">
        <is>
          <t>sRPE</t>
        </is>
      </c>
      <c r="F136" s="15" t="inlineStr">
        <is>
          <t>load</t>
        </is>
      </c>
      <c r="G136" s="15" t="inlineStr">
        <is>
          <t>不适?</t>
        </is>
      </c>
      <c r="H136" s="15" t="inlineStr">
        <is>
          <t>备注</t>
        </is>
      </c>
      <c r="I136" s="15" t="inlineStr">
        <is>
          <t>签名</t>
        </is>
      </c>
    </row>
    <row r="137">
      <c r="A137" s="7" t="n"/>
      <c r="B137" s="9" t="n"/>
      <c r="C137" s="9" t="n"/>
      <c r="D137" s="11">
        <f>IFERROR((C137-B137)*1440,"")</f>
        <v/>
      </c>
      <c r="E137" s="9" t="n"/>
      <c r="F137" s="11">
        <f>IFERROR(E137*D137,"")</f>
        <v/>
      </c>
      <c r="G137" s="9" t="n"/>
      <c r="H137" s="9" t="n"/>
      <c r="I137" s="9" t="n"/>
    </row>
    <row r="138">
      <c r="A138" s="16" t="inlineStr">
        <is>
          <t>跳跃</t>
        </is>
      </c>
      <c r="B138" s="16" t="inlineStr">
        <is>
          <t>类型</t>
        </is>
      </c>
      <c r="C138" s="16" t="inlineStr">
        <is>
          <t>组×次</t>
        </is>
      </c>
      <c r="D138" s="16" t="inlineStr">
        <is>
          <t>负荷kg</t>
        </is>
      </c>
      <c r="E138" s="16" t="inlineStr">
        <is>
          <t>接触</t>
        </is>
      </c>
    </row>
    <row r="139">
      <c r="B139" t="inlineStr">
        <is>
          <t>SJ</t>
        </is>
      </c>
      <c r="C139" t="inlineStr">
        <is>
          <t>3×3</t>
        </is>
      </c>
      <c r="D139" t="n">
        <v>0</v>
      </c>
      <c r="E139" t="n">
        <v>9</v>
      </c>
    </row>
    <row r="140">
      <c r="B140" t="inlineStr">
        <is>
          <t>负重跳</t>
        </is>
      </c>
      <c r="C140" t="inlineStr">
        <is>
          <t>3×4</t>
        </is>
      </c>
      <c r="D140" s="14" t="n"/>
      <c r="E140" s="14" t="n"/>
    </row>
    <row r="141">
      <c r="A141" s="17" t="inlineStr">
        <is>
          <t>▶ 暴露量汇总</t>
        </is>
      </c>
      <c r="B141" s="17" t="inlineStr">
        <is>
          <t>说明</t>
        </is>
      </c>
      <c r="C141" s="17" t="inlineStr">
        <is>
          <t>公式/来源</t>
        </is>
      </c>
      <c r="D141" s="17" t="inlineStr">
        <is>
          <t>数值</t>
        </is>
      </c>
    </row>
    <row r="142">
      <c r="A142" s="18" t="inlineStr">
        <is>
          <t>① 无负荷跳跃接触</t>
        </is>
      </c>
      <c r="B142" s="18" t="inlineStr">
        <is>
          <t>CMJ+SJ+箱跳</t>
        </is>
      </c>
      <c r="C142" s="19">
        <f>IFERROR(E139+E140,2)</f>
        <v/>
      </c>
    </row>
    <row r="143">
      <c r="A143" s="18" t="inlineStr">
        <is>
          <t>② 负重跳跃接触</t>
        </is>
      </c>
      <c r="B143" s="18" t="inlineStr">
        <is>
          <t>负重深蹲跳</t>
        </is>
      </c>
      <c r="C143" s="19">
        <f>IFERROR(E140,"")</f>
        <v/>
      </c>
    </row>
    <row r="144">
      <c r="A144" s="18" t="inlineStr">
        <is>
          <t>③ 跳跃总计</t>
        </is>
      </c>
      <c r="B144" s="18" t="inlineStr">
        <is>
          <t>①+②</t>
        </is>
      </c>
      <c r="C144" s="19">
        <f>IFERROR(B142+B143,"")</f>
        <v/>
      </c>
    </row>
    <row r="145">
      <c r="A145" s="18" t="inlineStr">
        <is>
          <t>④ 热身VL</t>
        </is>
      </c>
      <c r="B145" s="18" t="inlineStr">
        <is>
          <t>20×5+50%×3(+70%×2)</t>
        </is>
      </c>
      <c r="C145" s="19">
        <f>IFERROR(20*5+ROUND(V125*0.5,0)*3,"-")</f>
        <v/>
      </c>
    </row>
    <row r="146">
      <c r="A146" s="20" t="inlineStr">
        <is>
          <t>⑤ 主项工作组VL ★</t>
        </is>
      </c>
      <c r="B146" s="20" t="inlineStr">
        <is>
          <t>Σ(负荷×次数)</t>
        </is>
      </c>
      <c r="C146" s="21">
        <f>SUMPRODUCT($B$129:$B$134,$R$129:$R$134)</f>
        <v/>
      </c>
    </row>
    <row r="147">
      <c r="A147" s="18" t="inlineStr">
        <is>
          <t>⑥ 主项总VL</t>
        </is>
      </c>
      <c r="B147" s="18" t="inlineStr">
        <is>
          <t>④+⑤</t>
        </is>
      </c>
      <c r="C147" s="19">
        <f>IFERROR(D142+D143,"")</f>
        <v/>
      </c>
    </row>
    <row r="148">
      <c r="A148" s="18" t="inlineStr">
        <is>
          <t>⑦ 辅助VL</t>
        </is>
      </c>
      <c r="B148" s="18" t="inlineStr">
        <is>
          <t>RDL/保加利亚</t>
        </is>
      </c>
      <c r="C148" s="19">
        <f>IFERROR(I135,"")</f>
        <v/>
      </c>
    </row>
    <row r="149">
      <c r="A149" s="18" t="inlineStr">
        <is>
          <t>⑧ 总外部负荷</t>
        </is>
      </c>
      <c r="B149" s="18" t="inlineStr">
        <is>
          <t>⑥+⑦(+负重跳)</t>
        </is>
      </c>
      <c r="C149" s="19">
        <f>IFERROR(F142+G142,"")</f>
        <v/>
      </c>
    </row>
    <row r="150">
      <c r="A150" s="18" t="inlineStr">
        <is>
          <t>⑨ sRPE load</t>
        </is>
      </c>
      <c r="B150" s="18" t="inlineStr">
        <is>
          <t>sRPE×时长</t>
        </is>
      </c>
      <c r="C150" s="19">
        <f>IFERROR(F137,"")</f>
        <v/>
      </c>
    </row>
    <row r="153">
      <c r="A153" s="5" t="inlineStr">
        <is>
          <t>P011 朱怀远  a=1.258 b=-0.00613 1RM=125</t>
        </is>
      </c>
    </row>
    <row r="154">
      <c r="A154" s="6" t="inlineStr">
        <is>
          <t>编号</t>
        </is>
      </c>
      <c r="B154" s="6" t="inlineStr">
        <is>
          <t>姓名</t>
        </is>
      </c>
      <c r="C154" s="6" t="inlineStr">
        <is>
          <t>身高</t>
        </is>
      </c>
      <c r="D154" s="6" t="inlineStr">
        <is>
          <t>1RM</t>
        </is>
      </c>
      <c r="E154" s="6" t="inlineStr">
        <is>
          <t>Hooper睡</t>
        </is>
      </c>
      <c r="F154" s="6" t="inlineStr">
        <is>
          <t>Hooper压</t>
        </is>
      </c>
      <c r="G154" s="6" t="inlineStr">
        <is>
          <t>Hooper疲</t>
        </is>
      </c>
      <c r="H154" s="6" t="inlineStr">
        <is>
          <t>Hooper酸</t>
        </is>
      </c>
      <c r="I154" s="6" t="inlineStr">
        <is>
          <t>H总</t>
        </is>
      </c>
      <c r="J154" s="6" t="inlineStr">
        <is>
          <t>不适?</t>
        </is>
      </c>
      <c r="K154" s="6" t="inlineStr">
        <is>
          <t>说明</t>
        </is>
      </c>
      <c r="L154" s="6" t="inlineStr">
        <is>
          <t>CMJ1</t>
        </is>
      </c>
      <c r="M154" s="6" t="inlineStr">
        <is>
          <t>CMJ2</t>
        </is>
      </c>
      <c r="N154" s="6" t="inlineStr">
        <is>
          <t>CMJ3</t>
        </is>
      </c>
      <c r="O154" s="6" t="inlineStr">
        <is>
          <t>CMJμ</t>
        </is>
      </c>
      <c r="P154" s="6" t="inlineStr">
        <is>
          <t>&lt;95%</t>
        </is>
      </c>
      <c r="Q154" s="6" t="inlineStr">
        <is>
          <t>减组</t>
        </is>
      </c>
      <c r="R154" s="6" t="inlineStr">
        <is>
          <t>组数</t>
        </is>
      </c>
      <c r="S154" s="6" t="inlineStr">
        <is>
          <t>a(V0)</t>
        </is>
      </c>
      <c r="T154" s="6" t="inlineStr">
        <is>
          <t>b</t>
        </is>
      </c>
      <c r="U154" s="6" t="inlineStr">
        <is>
          <t>等级</t>
        </is>
      </c>
      <c r="V154" s="6" t="inlineStr">
        <is>
          <t>预测起始</t>
        </is>
      </c>
    </row>
    <row r="155">
      <c r="A155" s="7" t="inlineStr">
        <is>
          <t>P011</t>
        </is>
      </c>
      <c r="B155" s="7" t="inlineStr">
        <is>
          <t>朱怀远</t>
        </is>
      </c>
      <c r="C155" s="7" t="n">
        <v>165</v>
      </c>
      <c r="D155" s="8" t="n">
        <v>125</v>
      </c>
      <c r="E155" s="9" t="n"/>
      <c r="F155" s="9" t="n"/>
      <c r="G155" s="9" t="n"/>
      <c r="H155" s="9" t="n"/>
      <c r="I155" s="7">
        <f>IFERROR(SUM(E155:H155),"")</f>
        <v/>
      </c>
      <c r="J155" s="9" t="n"/>
      <c r="K155" s="9" t="n"/>
      <c r="L155" s="9" t="n"/>
      <c r="M155" s="9" t="n"/>
      <c r="N155" s="9" t="n"/>
      <c r="O155" s="7">
        <f>IFERROR(AVERAGE(L155:N155),"")</f>
        <v/>
      </c>
      <c r="P155" s="7">
        <f>IF(O155="","",IF(O155&lt;64.98,"是⚠","否"))</f>
        <v/>
      </c>
      <c r="Q155" s="7">
        <f>IF(O155="","",IF(O155&lt;64.98,5-1,5))</f>
        <v/>
      </c>
      <c r="R155" s="7" t="n"/>
      <c r="S155" s="8" t="n">
        <v>1.258</v>
      </c>
      <c r="T155" s="8" t="n">
        <v>-0.00613</v>
      </c>
      <c r="U155" s="7" t="inlineStr">
        <is>
          <t>D</t>
        </is>
      </c>
      <c r="V155" s="8" t="n">
        <v>82.5</v>
      </c>
    </row>
    <row r="156">
      <c r="A156" s="10" t="inlineStr">
        <is>
          <t>热身校准</t>
        </is>
      </c>
      <c r="B156" s="10" t="inlineStr">
        <is>
          <t>a</t>
        </is>
      </c>
      <c r="C156" s="10" t="inlineStr">
        <is>
          <t>b</t>
        </is>
      </c>
      <c r="D156" s="10" t="inlineStr">
        <is>
          <t>50%热身</t>
        </is>
      </c>
      <c r="E156" s="10" t="inlineStr">
        <is>
          <t>70%热身</t>
        </is>
      </c>
      <c r="F156" s="10" t="inlineStr">
        <is>
          <t>热身负荷</t>
        </is>
      </c>
      <c r="G156" s="10" t="inlineStr">
        <is>
          <t>实测MCV</t>
        </is>
      </c>
      <c r="H156" s="10" t="inlineStr">
        <is>
          <t>预测MCV</t>
        </is>
      </c>
      <c r="I156" s="10" t="inlineStr">
        <is>
          <t>Δv</t>
        </is>
      </c>
      <c r="J156" s="10" t="inlineStr">
        <is>
          <t>调整量</t>
        </is>
      </c>
      <c r="K156" s="10" t="inlineStr">
        <is>
          <t>校准第1组</t>
        </is>
      </c>
    </row>
    <row r="157">
      <c r="A157" s="7" t="n"/>
      <c r="B157" s="11" t="n">
        <v>1.258</v>
      </c>
      <c r="C157" s="11" t="n">
        <v>-0.00613</v>
      </c>
      <c r="D157" s="11">
        <f>IFERROR(ROUND(V155*0.5/2.5,0)*2.5,"")</f>
        <v/>
      </c>
      <c r="E157" s="11" t="inlineStr"/>
      <c r="F157" s="11">
        <f>IFERROR(ROUND(V155*0.5/2.5,0)*2.5,"")</f>
        <v/>
      </c>
      <c r="G157" s="9" t="n"/>
      <c r="H157" s="11">
        <f>IFERROR(B157+C157*F157,"")</f>
        <v/>
      </c>
      <c r="I157" s="11">
        <f>IFERROR(G157-H157,"")</f>
        <v/>
      </c>
      <c r="J157" s="11">
        <f>IFERROR(IF(I157&gt;0.08,5,IF(I157&gt;0.04,2.5,IF(I157&gt;=-0.04,0,IF(I157&gt;=-0.08,-2.5,-5)))),"")</f>
        <v/>
      </c>
      <c r="K157" s="11">
        <f>IFERROR(ROUND(V155+J157,0),"")</f>
        <v/>
      </c>
    </row>
    <row r="158">
      <c r="A158" s="12" t="inlineStr">
        <is>
          <t>组</t>
        </is>
      </c>
      <c r="B158" s="12" t="inlineStr">
        <is>
          <t>负荷</t>
        </is>
      </c>
      <c r="C158" s="12" t="inlineStr">
        <is>
          <t>rep1</t>
        </is>
      </c>
      <c r="D158" s="12" t="inlineStr">
        <is>
          <t>rep2</t>
        </is>
      </c>
      <c r="E158" s="12" t="inlineStr">
        <is>
          <t>rep3</t>
        </is>
      </c>
      <c r="F158" s="12" t="inlineStr">
        <is>
          <t>rep4</t>
        </is>
      </c>
      <c r="G158" s="12" t="inlineStr">
        <is>
          <t>rep5</t>
        </is>
      </c>
      <c r="H158" s="12" t="inlineStr">
        <is>
          <t>rep6</t>
        </is>
      </c>
      <c r="I158" s="12" t="inlineStr">
        <is>
          <t>best</t>
        </is>
      </c>
      <c r="J158" s="12" t="inlineStr">
        <is>
          <t>best#</t>
        </is>
      </c>
      <c r="K158" s="12" t="inlineStr">
        <is>
          <t>VL%</t>
        </is>
      </c>
      <c r="L158" s="12" t="inlineStr">
        <is>
          <t>stop_th</t>
        </is>
      </c>
      <c r="M158" s="12" t="inlineStr">
        <is>
          <t>latest</t>
        </is>
      </c>
      <c r="N158" s="12" t="inlineStr">
        <is>
          <t>VL_flag</t>
        </is>
      </c>
      <c r="O158" s="12" t="inlineStr">
        <is>
          <t>safety</t>
        </is>
      </c>
      <c r="P158" s="12" t="inlineStr">
        <is>
          <t>原因</t>
        </is>
      </c>
      <c r="Q158" s="12" t="inlineStr">
        <is>
          <t>建议</t>
        </is>
      </c>
      <c r="R158" s="12" t="inlineStr">
        <is>
          <t>次数</t>
        </is>
      </c>
    </row>
    <row r="159">
      <c r="A159" s="7" t="n">
        <v>1</v>
      </c>
      <c r="B159" s="9">
        <f>IFERROR(K157,"")</f>
        <v/>
      </c>
      <c r="C159" s="9" t="n"/>
      <c r="D159" s="9" t="n"/>
      <c r="E159" s="9" t="n"/>
      <c r="F159" s="9" t="n"/>
      <c r="G159" s="9" t="n"/>
      <c r="H159" s="9" t="n"/>
      <c r="I159" s="7">
        <f>IFERROR(MAX(C159:H159),"")</f>
        <v/>
      </c>
      <c r="J159" s="7">
        <f>IFERROR(MATCH(I159,C159:H159,0),"")</f>
        <v/>
      </c>
      <c r="K159" s="7" t="n">
        <v>12</v>
      </c>
      <c r="L159" s="7">
        <f>IFERROR(I159*(1-(K159/100)),"")</f>
        <v/>
      </c>
      <c r="M159" s="7">
        <f>IFERROR(LOOKUP(9.99E+307,C159:H159),"")</f>
        <v/>
      </c>
      <c r="N159" s="7">
        <f>IFERROR(IF(M159="","",IF(M159&lt;=N159,"停组🛑","继续✓")),"")</f>
        <v/>
      </c>
      <c r="O159" s="7">
        <f>IFERROR(IF(M159="","",IF(M159&lt;0.15,"SAFETY_STOP","")),"")</f>
        <v/>
      </c>
      <c r="P159" s="7">
        <f>IFERROR(IF(M159="","",IF(M159&lt;0.15,"SAFETY_STOP",IF(M159&lt;=N159,"VL_THRESHOLD",""))),"")</f>
        <v/>
      </c>
      <c r="Q159" s="7">
        <f>IFERROR(IF(I159="","",IF(I159&gt;(0.75+0.05),"+5kg",IF(I159&gt;(0.75+0.02),"+2.5kg",IF(I159&gt;=(0.75-0.05),"保持",IF(I159&gt;=(0.75-0.08),"-2.5kg","-5kg"))))),"")</f>
        <v/>
      </c>
      <c r="R159" s="9" t="n"/>
    </row>
    <row r="160">
      <c r="A160" s="7" t="n">
        <v>2</v>
      </c>
      <c r="B160" s="9" t="n"/>
      <c r="C160" s="9" t="n"/>
      <c r="D160" s="9" t="n"/>
      <c r="E160" s="9" t="n"/>
      <c r="F160" s="9" t="n"/>
      <c r="G160" s="9" t="n"/>
      <c r="H160" s="9" t="n"/>
      <c r="I160" s="7">
        <f>IFERROR(MAX(C160:H160),"")</f>
        <v/>
      </c>
      <c r="J160" s="7">
        <f>IFERROR(MATCH(I160,C160:H160,0),"")</f>
        <v/>
      </c>
      <c r="K160" s="7" t="n">
        <v>12</v>
      </c>
      <c r="L160" s="7">
        <f>IFERROR(I160*(1-(K160/100)),"")</f>
        <v/>
      </c>
      <c r="M160" s="7">
        <f>IFERROR(LOOKUP(9.99E+307,C160:H160),"")</f>
        <v/>
      </c>
      <c r="N160" s="7">
        <f>IFERROR(IF(M160="","",IF(M160&lt;=N160,"停组🛑","继续✓")),"")</f>
        <v/>
      </c>
      <c r="O160" s="7">
        <f>IFERROR(IF(M160="","",IF(M160&lt;0.15,"SAFETY_STOP","")),"")</f>
        <v/>
      </c>
      <c r="P160" s="7">
        <f>IFERROR(IF(M160="","",IF(M160&lt;0.15,"SAFETY_STOP",IF(M160&lt;=N160,"VL_THRESHOLD",""))),"")</f>
        <v/>
      </c>
      <c r="Q160" s="7">
        <f>IFERROR(IF(I160="","",IF(I160&gt;(0.75+0.05),"+5kg",IF(I160&gt;(0.75+0.02),"+2.5kg",IF(I160&gt;=(0.75-0.05),"保持",IF(I160&gt;=(0.75-0.08),"-2.5kg","-5kg"))))),"")</f>
        <v/>
      </c>
      <c r="R160" s="9" t="n"/>
    </row>
    <row r="161">
      <c r="A161" s="7" t="n">
        <v>3</v>
      </c>
      <c r="B161" s="9" t="n"/>
      <c r="C161" s="9" t="n"/>
      <c r="D161" s="9" t="n"/>
      <c r="E161" s="9" t="n"/>
      <c r="F161" s="9" t="n"/>
      <c r="G161" s="9" t="n"/>
      <c r="H161" s="9" t="n"/>
      <c r="I161" s="7">
        <f>IFERROR(MAX(C161:H161),"")</f>
        <v/>
      </c>
      <c r="J161" s="7">
        <f>IFERROR(MATCH(I161,C161:H161,0),"")</f>
        <v/>
      </c>
      <c r="K161" s="7" t="n">
        <v>12</v>
      </c>
      <c r="L161" s="7">
        <f>IFERROR(I161*(1-(K161/100)),"")</f>
        <v/>
      </c>
      <c r="M161" s="7">
        <f>IFERROR(LOOKUP(9.99E+307,C161:H161),"")</f>
        <v/>
      </c>
      <c r="N161" s="7">
        <f>IFERROR(IF(M161="","",IF(M161&lt;=N161,"停组🛑","继续✓")),"")</f>
        <v/>
      </c>
      <c r="O161" s="7">
        <f>IFERROR(IF(M161="","",IF(M161&lt;0.15,"SAFETY_STOP","")),"")</f>
        <v/>
      </c>
      <c r="P161" s="7">
        <f>IFERROR(IF(M161="","",IF(M161&lt;0.15,"SAFETY_STOP",IF(M161&lt;=N161,"VL_THRESHOLD",""))),"")</f>
        <v/>
      </c>
      <c r="Q161" s="7">
        <f>IFERROR(IF(I161="","",IF(I161&gt;(0.75+0.05),"+5kg",IF(I161&gt;(0.75+0.02),"+2.5kg",IF(I161&gt;=(0.75-0.05),"保持",IF(I161&gt;=(0.75-0.08),"-2.5kg","-5kg"))))),"")</f>
        <v/>
      </c>
      <c r="R161" s="9" t="n"/>
    </row>
    <row r="162">
      <c r="A162" s="7" t="n">
        <v>4</v>
      </c>
      <c r="B162" s="9" t="n"/>
      <c r="C162" s="9" t="n"/>
      <c r="D162" s="9" t="n"/>
      <c r="E162" s="9" t="n"/>
      <c r="F162" s="9" t="n"/>
      <c r="G162" s="9" t="n"/>
      <c r="H162" s="9" t="n"/>
      <c r="I162" s="7">
        <f>IFERROR(MAX(C162:H162),"")</f>
        <v/>
      </c>
      <c r="J162" s="7">
        <f>IFERROR(MATCH(I162,C162:H162,0),"")</f>
        <v/>
      </c>
      <c r="K162" s="7" t="n">
        <v>12</v>
      </c>
      <c r="L162" s="7">
        <f>IFERROR(I162*(1-(K162/100)),"")</f>
        <v/>
      </c>
      <c r="M162" s="7">
        <f>IFERROR(LOOKUP(9.99E+307,C162:H162),"")</f>
        <v/>
      </c>
      <c r="N162" s="7">
        <f>IFERROR(IF(M162="","",IF(M162&lt;=N162,"停组🛑","继续✓")),"")</f>
        <v/>
      </c>
      <c r="O162" s="7">
        <f>IFERROR(IF(M162="","",IF(M162&lt;0.15,"SAFETY_STOP","")),"")</f>
        <v/>
      </c>
      <c r="P162" s="7">
        <f>IFERROR(IF(M162="","",IF(M162&lt;0.15,"SAFETY_STOP",IF(M162&lt;=N162,"VL_THRESHOLD",""))),"")</f>
        <v/>
      </c>
      <c r="Q162" s="7">
        <f>IFERROR(IF(I162="","",IF(I162&gt;(0.75+0.05),"+5kg",IF(I162&gt;(0.75+0.02),"+2.5kg",IF(I162&gt;=(0.75-0.05),"保持",IF(I162&gt;=(0.75-0.08),"-2.5kg","-5kg"))))),"")</f>
        <v/>
      </c>
      <c r="R162" s="9" t="n"/>
    </row>
    <row r="163">
      <c r="A163" s="7" t="n">
        <v>5</v>
      </c>
      <c r="B163" s="9" t="n"/>
      <c r="C163" s="9" t="n"/>
      <c r="D163" s="9" t="n"/>
      <c r="E163" s="9" t="n"/>
      <c r="F163" s="9" t="n"/>
      <c r="G163" s="9" t="n"/>
      <c r="H163" s="9" t="n"/>
      <c r="I163" s="7">
        <f>IFERROR(MAX(C163:H163),"")</f>
        <v/>
      </c>
      <c r="J163" s="7">
        <f>IFERROR(MATCH(I163,C163:H163,0),"")</f>
        <v/>
      </c>
      <c r="K163" s="7" t="n">
        <v>12</v>
      </c>
      <c r="L163" s="7">
        <f>IFERROR(I163*(1-(K163/100)),"")</f>
        <v/>
      </c>
      <c r="M163" s="7">
        <f>IFERROR(LOOKUP(9.99E+307,C163:H163),"")</f>
        <v/>
      </c>
      <c r="N163" s="7">
        <f>IFERROR(IF(M163="","",IF(M163&lt;=N163,"停组🛑","继续✓")),"")</f>
        <v/>
      </c>
      <c r="O163" s="7">
        <f>IFERROR(IF(M163="","",IF(M163&lt;0.15,"SAFETY_STOP","")),"")</f>
        <v/>
      </c>
      <c r="P163" s="7">
        <f>IFERROR(IF(M163="","",IF(M163&lt;0.15,"SAFETY_STOP",IF(M163&lt;=N163,"VL_THRESHOLD",""))),"")</f>
        <v/>
      </c>
      <c r="Q163" s="7">
        <f>IFERROR(IF(I163="","",IF(I163&gt;(0.75+0.05),"+5kg",IF(I163&gt;(0.75+0.02),"+2.5kg",IF(I163&gt;=(0.75-0.05),"保持",IF(I163&gt;=(0.75-0.08),"-2.5kg","-5kg"))))),"")</f>
        <v/>
      </c>
      <c r="R163" s="9" t="n"/>
    </row>
    <row r="164">
      <c r="A164" s="7" t="n">
        <v>6</v>
      </c>
      <c r="B164" s="9" t="n"/>
      <c r="C164" s="9" t="n"/>
      <c r="D164" s="9" t="n"/>
      <c r="E164" s="9" t="n"/>
      <c r="F164" s="9" t="n"/>
      <c r="G164" s="9" t="n"/>
      <c r="H164" s="9" t="n"/>
      <c r="I164" s="7">
        <f>IFERROR(MAX(C164:H164),"")</f>
        <v/>
      </c>
      <c r="J164" s="7">
        <f>IFERROR(MATCH(I164,C164:H164,0),"")</f>
        <v/>
      </c>
      <c r="K164" s="7" t="n">
        <v>12</v>
      </c>
      <c r="L164" s="7">
        <f>IFERROR(I164*(1-(K164/100)),"")</f>
        <v/>
      </c>
      <c r="M164" s="7">
        <f>IFERROR(LOOKUP(9.99E+307,C164:H164),"")</f>
        <v/>
      </c>
      <c r="N164" s="7">
        <f>IFERROR(IF(M164="","",IF(M164&lt;=N164,"停组🛑","继续✓")),"")</f>
        <v/>
      </c>
      <c r="O164" s="7">
        <f>IFERROR(IF(M164="","",IF(M164&lt;0.15,"SAFETY_STOP","")),"")</f>
        <v/>
      </c>
      <c r="P164" s="7">
        <f>IFERROR(IF(M164="","",IF(M164&lt;0.15,"SAFETY_STOP",IF(M164&lt;=N164,"VL_THRESHOLD",""))),"")</f>
        <v/>
      </c>
      <c r="Q164" s="7">
        <f>IFERROR(IF(I164="","",IF(I164&gt;(0.75+0.05),"+5kg",IF(I164&gt;(0.75+0.02),"+2.5kg",IF(I164&gt;=(0.75-0.05),"保持",IF(I164&gt;=(0.75-0.08),"-2.5kg","-5kg"))))),"")</f>
        <v/>
      </c>
      <c r="R164" s="9" t="n"/>
    </row>
    <row r="165">
      <c r="A165" s="13" t="inlineStr">
        <is>
          <t>辅助</t>
        </is>
      </c>
      <c r="D165" s="14" t="inlineStr">
        <is>
          <t>保加利亚单腿蹲</t>
        </is>
      </c>
      <c r="E165" s="14" t="inlineStr">
        <is>
          <t>负荷</t>
        </is>
      </c>
      <c r="F165" s="14" t="inlineStr">
        <is>
          <t>完成</t>
        </is>
      </c>
      <c r="I165" t="inlineStr">
        <is>
          <t>VL</t>
        </is>
      </c>
    </row>
    <row r="166">
      <c r="A166" s="15" t="inlineStr">
        <is>
          <t>训练后</t>
        </is>
      </c>
      <c r="B166" s="15" t="inlineStr">
        <is>
          <t>开始</t>
        </is>
      </c>
      <c r="C166" s="15" t="inlineStr">
        <is>
          <t>结束</t>
        </is>
      </c>
      <c r="D166" s="15" t="inlineStr">
        <is>
          <t>时长min</t>
        </is>
      </c>
      <c r="E166" s="15" t="inlineStr">
        <is>
          <t>sRPE</t>
        </is>
      </c>
      <c r="F166" s="15" t="inlineStr">
        <is>
          <t>load</t>
        </is>
      </c>
      <c r="G166" s="15" t="inlineStr">
        <is>
          <t>不适?</t>
        </is>
      </c>
      <c r="H166" s="15" t="inlineStr">
        <is>
          <t>备注</t>
        </is>
      </c>
      <c r="I166" s="15" t="inlineStr">
        <is>
          <t>签名</t>
        </is>
      </c>
    </row>
    <row r="167">
      <c r="A167" s="7" t="n"/>
      <c r="B167" s="9" t="n"/>
      <c r="C167" s="9" t="n"/>
      <c r="D167" s="11">
        <f>IFERROR((C167-B167)*1440,"")</f>
        <v/>
      </c>
      <c r="E167" s="9" t="n"/>
      <c r="F167" s="11">
        <f>IFERROR(E167*D167,"")</f>
        <v/>
      </c>
      <c r="G167" s="9" t="n"/>
      <c r="H167" s="9" t="n"/>
      <c r="I167" s="9" t="n"/>
    </row>
    <row r="168">
      <c r="A168" s="16" t="inlineStr">
        <is>
          <t>跳跃</t>
        </is>
      </c>
      <c r="B168" s="16" t="inlineStr">
        <is>
          <t>类型</t>
        </is>
      </c>
      <c r="C168" s="16" t="inlineStr">
        <is>
          <t>组×次</t>
        </is>
      </c>
      <c r="D168" s="16" t="inlineStr">
        <is>
          <t>负荷kg</t>
        </is>
      </c>
      <c r="E168" s="16" t="inlineStr">
        <is>
          <t>接触</t>
        </is>
      </c>
    </row>
    <row r="169">
      <c r="B169" t="inlineStr">
        <is>
          <t>SJ</t>
        </is>
      </c>
      <c r="C169" t="inlineStr">
        <is>
          <t>3×3</t>
        </is>
      </c>
      <c r="D169" t="n">
        <v>0</v>
      </c>
      <c r="E169" t="n">
        <v>9</v>
      </c>
    </row>
    <row r="170">
      <c r="B170" t="inlineStr">
        <is>
          <t>负重跳</t>
        </is>
      </c>
      <c r="C170" t="inlineStr">
        <is>
          <t>3×4</t>
        </is>
      </c>
      <c r="D170" s="14" t="n"/>
      <c r="E170" s="14" t="n"/>
    </row>
    <row r="171">
      <c r="A171" s="17" t="inlineStr">
        <is>
          <t>▶ 暴露量汇总</t>
        </is>
      </c>
      <c r="B171" s="17" t="inlineStr">
        <is>
          <t>说明</t>
        </is>
      </c>
      <c r="C171" s="17" t="inlineStr">
        <is>
          <t>公式/来源</t>
        </is>
      </c>
      <c r="D171" s="17" t="inlineStr">
        <is>
          <t>数值</t>
        </is>
      </c>
    </row>
    <row r="172">
      <c r="A172" s="18" t="inlineStr">
        <is>
          <t>① 无负荷跳跃接触</t>
        </is>
      </c>
      <c r="B172" s="18" t="inlineStr">
        <is>
          <t>CMJ+SJ+箱跳</t>
        </is>
      </c>
      <c r="C172" s="19">
        <f>IFERROR(E169+E170,2)</f>
        <v/>
      </c>
    </row>
    <row r="173">
      <c r="A173" s="18" t="inlineStr">
        <is>
          <t>② 负重跳跃接触</t>
        </is>
      </c>
      <c r="B173" s="18" t="inlineStr">
        <is>
          <t>负重深蹲跳</t>
        </is>
      </c>
      <c r="C173" s="19">
        <f>IFERROR(E170,"")</f>
        <v/>
      </c>
    </row>
    <row r="174">
      <c r="A174" s="18" t="inlineStr">
        <is>
          <t>③ 跳跃总计</t>
        </is>
      </c>
      <c r="B174" s="18" t="inlineStr">
        <is>
          <t>①+②</t>
        </is>
      </c>
      <c r="C174" s="19">
        <f>IFERROR(B172+B173,"")</f>
        <v/>
      </c>
    </row>
    <row r="175">
      <c r="A175" s="18" t="inlineStr">
        <is>
          <t>④ 热身VL</t>
        </is>
      </c>
      <c r="B175" s="18" t="inlineStr">
        <is>
          <t>20×5+50%×3(+70%×2)</t>
        </is>
      </c>
      <c r="C175" s="19">
        <f>IFERROR(20*5+ROUND(V155*0.5,0)*3,"-")</f>
        <v/>
      </c>
    </row>
    <row r="176">
      <c r="A176" s="20" t="inlineStr">
        <is>
          <t>⑤ 主项工作组VL ★</t>
        </is>
      </c>
      <c r="B176" s="20" t="inlineStr">
        <is>
          <t>Σ(负荷×次数)</t>
        </is>
      </c>
      <c r="C176" s="21">
        <f>SUMPRODUCT($B$159:$B$164,$R$159:$R$164)</f>
        <v/>
      </c>
    </row>
    <row r="177">
      <c r="A177" s="18" t="inlineStr">
        <is>
          <t>⑥ 主项总VL</t>
        </is>
      </c>
      <c r="B177" s="18" t="inlineStr">
        <is>
          <t>④+⑤</t>
        </is>
      </c>
      <c r="C177" s="19">
        <f>IFERROR(D172+D173,"")</f>
        <v/>
      </c>
    </row>
    <row r="178">
      <c r="A178" s="18" t="inlineStr">
        <is>
          <t>⑦ 辅助VL</t>
        </is>
      </c>
      <c r="B178" s="18" t="inlineStr">
        <is>
          <t>RDL/保加利亚</t>
        </is>
      </c>
      <c r="C178" s="19">
        <f>IFERROR(I165,"")</f>
        <v/>
      </c>
    </row>
    <row r="179">
      <c r="A179" s="18" t="inlineStr">
        <is>
          <t>⑧ 总外部负荷</t>
        </is>
      </c>
      <c r="B179" s="18" t="inlineStr">
        <is>
          <t>⑥+⑦(+负重跳)</t>
        </is>
      </c>
      <c r="C179" s="19">
        <f>IFERROR(F172+G172,"")</f>
        <v/>
      </c>
    </row>
    <row r="180">
      <c r="A180" s="18" t="inlineStr">
        <is>
          <t>⑨ sRPE load</t>
        </is>
      </c>
      <c r="B180" s="18" t="inlineStr">
        <is>
          <t>sRPE×时长</t>
        </is>
      </c>
      <c r="C180" s="19">
        <f>IFERROR(F167,"")</f>
        <v/>
      </c>
    </row>
    <row r="183">
      <c r="A183" s="5" t="inlineStr">
        <is>
          <t>P016 杜遥  a=1.54 b=-0.0085 1RM=135</t>
        </is>
      </c>
    </row>
    <row r="184">
      <c r="A184" s="6" t="inlineStr">
        <is>
          <t>编号</t>
        </is>
      </c>
      <c r="B184" s="6" t="inlineStr">
        <is>
          <t>姓名</t>
        </is>
      </c>
      <c r="C184" s="6" t="inlineStr">
        <is>
          <t>身高</t>
        </is>
      </c>
      <c r="D184" s="6" t="inlineStr">
        <is>
          <t>1RM</t>
        </is>
      </c>
      <c r="E184" s="6" t="inlineStr">
        <is>
          <t>Hooper睡</t>
        </is>
      </c>
      <c r="F184" s="6" t="inlineStr">
        <is>
          <t>Hooper压</t>
        </is>
      </c>
      <c r="G184" s="6" t="inlineStr">
        <is>
          <t>Hooper疲</t>
        </is>
      </c>
      <c r="H184" s="6" t="inlineStr">
        <is>
          <t>Hooper酸</t>
        </is>
      </c>
      <c r="I184" s="6" t="inlineStr">
        <is>
          <t>H总</t>
        </is>
      </c>
      <c r="J184" s="6" t="inlineStr">
        <is>
          <t>不适?</t>
        </is>
      </c>
      <c r="K184" s="6" t="inlineStr">
        <is>
          <t>说明</t>
        </is>
      </c>
      <c r="L184" s="6" t="inlineStr">
        <is>
          <t>CMJ1</t>
        </is>
      </c>
      <c r="M184" s="6" t="inlineStr">
        <is>
          <t>CMJ2</t>
        </is>
      </c>
      <c r="N184" s="6" t="inlineStr">
        <is>
          <t>CMJ3</t>
        </is>
      </c>
      <c r="O184" s="6" t="inlineStr">
        <is>
          <t>CMJμ</t>
        </is>
      </c>
      <c r="P184" s="6" t="inlineStr">
        <is>
          <t>&lt;95%</t>
        </is>
      </c>
      <c r="Q184" s="6" t="inlineStr">
        <is>
          <t>减组</t>
        </is>
      </c>
      <c r="R184" s="6" t="inlineStr">
        <is>
          <t>组数</t>
        </is>
      </c>
      <c r="S184" s="6" t="inlineStr">
        <is>
          <t>a(V0)</t>
        </is>
      </c>
      <c r="T184" s="6" t="inlineStr">
        <is>
          <t>b</t>
        </is>
      </c>
      <c r="U184" s="6" t="inlineStr">
        <is>
          <t>等级</t>
        </is>
      </c>
      <c r="V184" s="6" t="inlineStr">
        <is>
          <t>预测起始</t>
        </is>
      </c>
    </row>
    <row r="185">
      <c r="A185" s="7" t="inlineStr">
        <is>
          <t>P016</t>
        </is>
      </c>
      <c r="B185" s="7" t="inlineStr">
        <is>
          <t>杜遥</t>
        </is>
      </c>
      <c r="C185" s="7" t="n">
        <v>180</v>
      </c>
      <c r="D185" s="8" t="n">
        <v>135</v>
      </c>
      <c r="E185" s="9" t="n"/>
      <c r="F185" s="9" t="n"/>
      <c r="G185" s="9" t="n"/>
      <c r="H185" s="9" t="n"/>
      <c r="I185" s="7">
        <f>IFERROR(SUM(E185:H185),"")</f>
        <v/>
      </c>
      <c r="J185" s="9" t="n"/>
      <c r="K185" s="9" t="n"/>
      <c r="L185" s="9" t="n"/>
      <c r="M185" s="9" t="n"/>
      <c r="N185" s="9" t="n"/>
      <c r="O185" s="7">
        <f>IFERROR(AVERAGE(L185:N185),"")</f>
        <v/>
      </c>
      <c r="P185" s="7">
        <f>IF(O185="","",IF(O185&lt;49.75,"是⚠","否"))</f>
        <v/>
      </c>
      <c r="Q185" s="7">
        <f>IF(O185="","",IF(O185&lt;49.75,5-1,5))</f>
        <v/>
      </c>
      <c r="R185" s="7" t="n"/>
      <c r="S185" s="8" t="n">
        <v>1.54</v>
      </c>
      <c r="T185" s="8" t="n">
        <v>-0.008500000000000001</v>
      </c>
      <c r="U185" s="7" t="inlineStr">
        <is>
          <t>B</t>
        </is>
      </c>
      <c r="V185" s="8" t="n">
        <v>92.5</v>
      </c>
    </row>
    <row r="186">
      <c r="A186" s="10" t="inlineStr">
        <is>
          <t>热身校准</t>
        </is>
      </c>
      <c r="B186" s="10" t="inlineStr">
        <is>
          <t>a</t>
        </is>
      </c>
      <c r="C186" s="10" t="inlineStr">
        <is>
          <t>b</t>
        </is>
      </c>
      <c r="D186" s="10" t="inlineStr">
        <is>
          <t>50%热身</t>
        </is>
      </c>
      <c r="E186" s="10" t="inlineStr">
        <is>
          <t>70%热身</t>
        </is>
      </c>
      <c r="F186" s="10" t="inlineStr">
        <is>
          <t>热身负荷</t>
        </is>
      </c>
      <c r="G186" s="10" t="inlineStr">
        <is>
          <t>实测MCV</t>
        </is>
      </c>
      <c r="H186" s="10" t="inlineStr">
        <is>
          <t>预测MCV</t>
        </is>
      </c>
      <c r="I186" s="10" t="inlineStr">
        <is>
          <t>Δv</t>
        </is>
      </c>
      <c r="J186" s="10" t="inlineStr">
        <is>
          <t>调整量</t>
        </is>
      </c>
      <c r="K186" s="10" t="inlineStr">
        <is>
          <t>校准第1组</t>
        </is>
      </c>
    </row>
    <row r="187">
      <c r="A187" s="7" t="n"/>
      <c r="B187" s="11" t="n">
        <v>1.54</v>
      </c>
      <c r="C187" s="11" t="n">
        <v>-0.008500000000000001</v>
      </c>
      <c r="D187" s="11">
        <f>IFERROR(ROUND(V185*0.5/2.5,0)*2.5,"")</f>
        <v/>
      </c>
      <c r="E187" s="11" t="inlineStr"/>
      <c r="F187" s="11">
        <f>IFERROR(ROUND(V185*0.5/2.5,0)*2.5,"")</f>
        <v/>
      </c>
      <c r="G187" s="9" t="n"/>
      <c r="H187" s="11">
        <f>IFERROR(B187+C187*F187,"")</f>
        <v/>
      </c>
      <c r="I187" s="11">
        <f>IFERROR(G187-H187,"")</f>
        <v/>
      </c>
      <c r="J187" s="11">
        <f>IFERROR(IF(I187&gt;0.08,5,IF(I187&gt;0.04,2.5,IF(I187&gt;=-0.04,0,IF(I187&gt;=-0.08,-2.5,-5)))),"")</f>
        <v/>
      </c>
      <c r="K187" s="11">
        <f>IFERROR(ROUND(V185+J187,0),"")</f>
        <v/>
      </c>
    </row>
    <row r="188">
      <c r="A188" s="12" t="inlineStr">
        <is>
          <t>组</t>
        </is>
      </c>
      <c r="B188" s="12" t="inlineStr">
        <is>
          <t>负荷</t>
        </is>
      </c>
      <c r="C188" s="12" t="inlineStr">
        <is>
          <t>rep1</t>
        </is>
      </c>
      <c r="D188" s="12" t="inlineStr">
        <is>
          <t>rep2</t>
        </is>
      </c>
      <c r="E188" s="12" t="inlineStr">
        <is>
          <t>rep3</t>
        </is>
      </c>
      <c r="F188" s="12" t="inlineStr">
        <is>
          <t>rep4</t>
        </is>
      </c>
      <c r="G188" s="12" t="inlineStr">
        <is>
          <t>rep5</t>
        </is>
      </c>
      <c r="H188" s="12" t="inlineStr">
        <is>
          <t>rep6</t>
        </is>
      </c>
      <c r="I188" s="12" t="inlineStr">
        <is>
          <t>best</t>
        </is>
      </c>
      <c r="J188" s="12" t="inlineStr">
        <is>
          <t>best#</t>
        </is>
      </c>
      <c r="K188" s="12" t="inlineStr">
        <is>
          <t>VL%</t>
        </is>
      </c>
      <c r="L188" s="12" t="inlineStr">
        <is>
          <t>stop_th</t>
        </is>
      </c>
      <c r="M188" s="12" t="inlineStr">
        <is>
          <t>latest</t>
        </is>
      </c>
      <c r="N188" s="12" t="inlineStr">
        <is>
          <t>VL_flag</t>
        </is>
      </c>
      <c r="O188" s="12" t="inlineStr">
        <is>
          <t>safety</t>
        </is>
      </c>
      <c r="P188" s="12" t="inlineStr">
        <is>
          <t>原因</t>
        </is>
      </c>
      <c r="Q188" s="12" t="inlineStr">
        <is>
          <t>建议</t>
        </is>
      </c>
      <c r="R188" s="12" t="inlineStr">
        <is>
          <t>次数</t>
        </is>
      </c>
    </row>
    <row r="189">
      <c r="A189" s="7" t="n">
        <v>1</v>
      </c>
      <c r="B189" s="9">
        <f>IFERROR(K187,"")</f>
        <v/>
      </c>
      <c r="C189" s="9" t="n"/>
      <c r="D189" s="9" t="n"/>
      <c r="E189" s="9" t="n"/>
      <c r="F189" s="9" t="n"/>
      <c r="G189" s="9" t="n"/>
      <c r="H189" s="9" t="n"/>
      <c r="I189" s="7">
        <f>IFERROR(MAX(C189:H189),"")</f>
        <v/>
      </c>
      <c r="J189" s="7">
        <f>IFERROR(MATCH(I189,C189:H189,0),"")</f>
        <v/>
      </c>
      <c r="K189" s="7" t="n">
        <v>12</v>
      </c>
      <c r="L189" s="7">
        <f>IFERROR(I189*(1-(K189/100)),"")</f>
        <v/>
      </c>
      <c r="M189" s="7">
        <f>IFERROR(LOOKUP(9.99E+307,C189:H189),"")</f>
        <v/>
      </c>
      <c r="N189" s="7">
        <f>IFERROR(IF(M189="","",IF(M189&lt;=N189,"停组🛑","继续✓")),"")</f>
        <v/>
      </c>
      <c r="O189" s="7">
        <f>IFERROR(IF(M189="","",IF(M189&lt;0.15,"SAFETY_STOP","")),"")</f>
        <v/>
      </c>
      <c r="P189" s="7">
        <f>IFERROR(IF(M189="","",IF(M189&lt;0.15,"SAFETY_STOP",IF(M189&lt;=N189,"VL_THRESHOLD",""))),"")</f>
        <v/>
      </c>
      <c r="Q189" s="7">
        <f>IFERROR(IF(I189="","",IF(I189&gt;(0.75+0.05),"+5kg",IF(I189&gt;(0.75+0.02),"+2.5kg",IF(I189&gt;=(0.75-0.05),"保持",IF(I189&gt;=(0.75-0.08),"-2.5kg","-5kg"))))),"")</f>
        <v/>
      </c>
      <c r="R189" s="9" t="n"/>
    </row>
    <row r="190">
      <c r="A190" s="7" t="n">
        <v>2</v>
      </c>
      <c r="B190" s="9" t="n"/>
      <c r="C190" s="9" t="n"/>
      <c r="D190" s="9" t="n"/>
      <c r="E190" s="9" t="n"/>
      <c r="F190" s="9" t="n"/>
      <c r="G190" s="9" t="n"/>
      <c r="H190" s="9" t="n"/>
      <c r="I190" s="7">
        <f>IFERROR(MAX(C190:H190),"")</f>
        <v/>
      </c>
      <c r="J190" s="7">
        <f>IFERROR(MATCH(I190,C190:H190,0),"")</f>
        <v/>
      </c>
      <c r="K190" s="7" t="n">
        <v>12</v>
      </c>
      <c r="L190" s="7">
        <f>IFERROR(I190*(1-(K190/100)),"")</f>
        <v/>
      </c>
      <c r="M190" s="7">
        <f>IFERROR(LOOKUP(9.99E+307,C190:H190),"")</f>
        <v/>
      </c>
      <c r="N190" s="7">
        <f>IFERROR(IF(M190="","",IF(M190&lt;=N190,"停组🛑","继续✓")),"")</f>
        <v/>
      </c>
      <c r="O190" s="7">
        <f>IFERROR(IF(M190="","",IF(M190&lt;0.15,"SAFETY_STOP","")),"")</f>
        <v/>
      </c>
      <c r="P190" s="7">
        <f>IFERROR(IF(M190="","",IF(M190&lt;0.15,"SAFETY_STOP",IF(M190&lt;=N190,"VL_THRESHOLD",""))),"")</f>
        <v/>
      </c>
      <c r="Q190" s="7">
        <f>IFERROR(IF(I190="","",IF(I190&gt;(0.75+0.05),"+5kg",IF(I190&gt;(0.75+0.02),"+2.5kg",IF(I190&gt;=(0.75-0.05),"保持",IF(I190&gt;=(0.75-0.08),"-2.5kg","-5kg"))))),"")</f>
        <v/>
      </c>
      <c r="R190" s="9" t="n"/>
    </row>
    <row r="191">
      <c r="A191" s="7" t="n">
        <v>3</v>
      </c>
      <c r="B191" s="9" t="n"/>
      <c r="C191" s="9" t="n"/>
      <c r="D191" s="9" t="n"/>
      <c r="E191" s="9" t="n"/>
      <c r="F191" s="9" t="n"/>
      <c r="G191" s="9" t="n"/>
      <c r="H191" s="9" t="n"/>
      <c r="I191" s="7">
        <f>IFERROR(MAX(C191:H191),"")</f>
        <v/>
      </c>
      <c r="J191" s="7">
        <f>IFERROR(MATCH(I191,C191:H191,0),"")</f>
        <v/>
      </c>
      <c r="K191" s="7" t="n">
        <v>12</v>
      </c>
      <c r="L191" s="7">
        <f>IFERROR(I191*(1-(K191/100)),"")</f>
        <v/>
      </c>
      <c r="M191" s="7">
        <f>IFERROR(LOOKUP(9.99E+307,C191:H191),"")</f>
        <v/>
      </c>
      <c r="N191" s="7">
        <f>IFERROR(IF(M191="","",IF(M191&lt;=N191,"停组🛑","继续✓")),"")</f>
        <v/>
      </c>
      <c r="O191" s="7">
        <f>IFERROR(IF(M191="","",IF(M191&lt;0.15,"SAFETY_STOP","")),"")</f>
        <v/>
      </c>
      <c r="P191" s="7">
        <f>IFERROR(IF(M191="","",IF(M191&lt;0.15,"SAFETY_STOP",IF(M191&lt;=N191,"VL_THRESHOLD",""))),"")</f>
        <v/>
      </c>
      <c r="Q191" s="7">
        <f>IFERROR(IF(I191="","",IF(I191&gt;(0.75+0.05),"+5kg",IF(I191&gt;(0.75+0.02),"+2.5kg",IF(I191&gt;=(0.75-0.05),"保持",IF(I191&gt;=(0.75-0.08),"-2.5kg","-5kg"))))),"")</f>
        <v/>
      </c>
      <c r="R191" s="9" t="n"/>
    </row>
    <row r="192">
      <c r="A192" s="7" t="n">
        <v>4</v>
      </c>
      <c r="B192" s="9" t="n"/>
      <c r="C192" s="9" t="n"/>
      <c r="D192" s="9" t="n"/>
      <c r="E192" s="9" t="n"/>
      <c r="F192" s="9" t="n"/>
      <c r="G192" s="9" t="n"/>
      <c r="H192" s="9" t="n"/>
      <c r="I192" s="7">
        <f>IFERROR(MAX(C192:H192),"")</f>
        <v/>
      </c>
      <c r="J192" s="7">
        <f>IFERROR(MATCH(I192,C192:H192,0),"")</f>
        <v/>
      </c>
      <c r="K192" s="7" t="n">
        <v>12</v>
      </c>
      <c r="L192" s="7">
        <f>IFERROR(I192*(1-(K192/100)),"")</f>
        <v/>
      </c>
      <c r="M192" s="7">
        <f>IFERROR(LOOKUP(9.99E+307,C192:H192),"")</f>
        <v/>
      </c>
      <c r="N192" s="7">
        <f>IFERROR(IF(M192="","",IF(M192&lt;=N192,"停组🛑","继续✓")),"")</f>
        <v/>
      </c>
      <c r="O192" s="7">
        <f>IFERROR(IF(M192="","",IF(M192&lt;0.15,"SAFETY_STOP","")),"")</f>
        <v/>
      </c>
      <c r="P192" s="7">
        <f>IFERROR(IF(M192="","",IF(M192&lt;0.15,"SAFETY_STOP",IF(M192&lt;=N192,"VL_THRESHOLD",""))),"")</f>
        <v/>
      </c>
      <c r="Q192" s="7">
        <f>IFERROR(IF(I192="","",IF(I192&gt;(0.75+0.05),"+5kg",IF(I192&gt;(0.75+0.02),"+2.5kg",IF(I192&gt;=(0.75-0.05),"保持",IF(I192&gt;=(0.75-0.08),"-2.5kg","-5kg"))))),"")</f>
        <v/>
      </c>
      <c r="R192" s="9" t="n"/>
    </row>
    <row r="193">
      <c r="A193" s="7" t="n">
        <v>5</v>
      </c>
      <c r="B193" s="9" t="n"/>
      <c r="C193" s="9" t="n"/>
      <c r="D193" s="9" t="n"/>
      <c r="E193" s="9" t="n"/>
      <c r="F193" s="9" t="n"/>
      <c r="G193" s="9" t="n"/>
      <c r="H193" s="9" t="n"/>
      <c r="I193" s="7">
        <f>IFERROR(MAX(C193:H193),"")</f>
        <v/>
      </c>
      <c r="J193" s="7">
        <f>IFERROR(MATCH(I193,C193:H193,0),"")</f>
        <v/>
      </c>
      <c r="K193" s="7" t="n">
        <v>12</v>
      </c>
      <c r="L193" s="7">
        <f>IFERROR(I193*(1-(K193/100)),"")</f>
        <v/>
      </c>
      <c r="M193" s="7">
        <f>IFERROR(LOOKUP(9.99E+307,C193:H193),"")</f>
        <v/>
      </c>
      <c r="N193" s="7">
        <f>IFERROR(IF(M193="","",IF(M193&lt;=N193,"停组🛑","继续✓")),"")</f>
        <v/>
      </c>
      <c r="O193" s="7">
        <f>IFERROR(IF(M193="","",IF(M193&lt;0.15,"SAFETY_STOP","")),"")</f>
        <v/>
      </c>
      <c r="P193" s="7">
        <f>IFERROR(IF(M193="","",IF(M193&lt;0.15,"SAFETY_STOP",IF(M193&lt;=N193,"VL_THRESHOLD",""))),"")</f>
        <v/>
      </c>
      <c r="Q193" s="7">
        <f>IFERROR(IF(I193="","",IF(I193&gt;(0.75+0.05),"+5kg",IF(I193&gt;(0.75+0.02),"+2.5kg",IF(I193&gt;=(0.75-0.05),"保持",IF(I193&gt;=(0.75-0.08),"-2.5kg","-5kg"))))),"")</f>
        <v/>
      </c>
      <c r="R193" s="9" t="n"/>
    </row>
    <row r="194">
      <c r="A194" s="7" t="n">
        <v>6</v>
      </c>
      <c r="B194" s="9" t="n"/>
      <c r="C194" s="9" t="n"/>
      <c r="D194" s="9" t="n"/>
      <c r="E194" s="9" t="n"/>
      <c r="F194" s="9" t="n"/>
      <c r="G194" s="9" t="n"/>
      <c r="H194" s="9" t="n"/>
      <c r="I194" s="7">
        <f>IFERROR(MAX(C194:H194),"")</f>
        <v/>
      </c>
      <c r="J194" s="7">
        <f>IFERROR(MATCH(I194,C194:H194,0),"")</f>
        <v/>
      </c>
      <c r="K194" s="7" t="n">
        <v>12</v>
      </c>
      <c r="L194" s="7">
        <f>IFERROR(I194*(1-(K194/100)),"")</f>
        <v/>
      </c>
      <c r="M194" s="7">
        <f>IFERROR(LOOKUP(9.99E+307,C194:H194),"")</f>
        <v/>
      </c>
      <c r="N194" s="7">
        <f>IFERROR(IF(M194="","",IF(M194&lt;=N194,"停组🛑","继续✓")),"")</f>
        <v/>
      </c>
      <c r="O194" s="7">
        <f>IFERROR(IF(M194="","",IF(M194&lt;0.15,"SAFETY_STOP","")),"")</f>
        <v/>
      </c>
      <c r="P194" s="7">
        <f>IFERROR(IF(M194="","",IF(M194&lt;0.15,"SAFETY_STOP",IF(M194&lt;=N194,"VL_THRESHOLD",""))),"")</f>
        <v/>
      </c>
      <c r="Q194" s="7">
        <f>IFERROR(IF(I194="","",IF(I194&gt;(0.75+0.05),"+5kg",IF(I194&gt;(0.75+0.02),"+2.5kg",IF(I194&gt;=(0.75-0.05),"保持",IF(I194&gt;=(0.75-0.08),"-2.5kg","-5kg"))))),"")</f>
        <v/>
      </c>
      <c r="R194" s="9" t="n"/>
    </row>
    <row r="195">
      <c r="A195" s="13" t="inlineStr">
        <is>
          <t>辅助</t>
        </is>
      </c>
      <c r="D195" s="14" t="inlineStr">
        <is>
          <t>保加利亚单腿蹲</t>
        </is>
      </c>
      <c r="E195" s="14" t="inlineStr">
        <is>
          <t>负荷</t>
        </is>
      </c>
      <c r="F195" s="14" t="inlineStr">
        <is>
          <t>完成</t>
        </is>
      </c>
      <c r="I195" t="inlineStr">
        <is>
          <t>VL</t>
        </is>
      </c>
    </row>
    <row r="196">
      <c r="A196" s="15" t="inlineStr">
        <is>
          <t>训练后</t>
        </is>
      </c>
      <c r="B196" s="15" t="inlineStr">
        <is>
          <t>开始</t>
        </is>
      </c>
      <c r="C196" s="15" t="inlineStr">
        <is>
          <t>结束</t>
        </is>
      </c>
      <c r="D196" s="15" t="inlineStr">
        <is>
          <t>时长min</t>
        </is>
      </c>
      <c r="E196" s="15" t="inlineStr">
        <is>
          <t>sRPE</t>
        </is>
      </c>
      <c r="F196" s="15" t="inlineStr">
        <is>
          <t>load</t>
        </is>
      </c>
      <c r="G196" s="15" t="inlineStr">
        <is>
          <t>不适?</t>
        </is>
      </c>
      <c r="H196" s="15" t="inlineStr">
        <is>
          <t>备注</t>
        </is>
      </c>
      <c r="I196" s="15" t="inlineStr">
        <is>
          <t>签名</t>
        </is>
      </c>
    </row>
    <row r="197">
      <c r="A197" s="7" t="n"/>
      <c r="B197" s="9" t="n"/>
      <c r="C197" s="9" t="n"/>
      <c r="D197" s="11">
        <f>IFERROR((C197-B197)*1440,"")</f>
        <v/>
      </c>
      <c r="E197" s="9" t="n"/>
      <c r="F197" s="11">
        <f>IFERROR(E197*D197,"")</f>
        <v/>
      </c>
      <c r="G197" s="9" t="n"/>
      <c r="H197" s="9" t="n"/>
      <c r="I197" s="9" t="n"/>
    </row>
    <row r="198">
      <c r="A198" s="16" t="inlineStr">
        <is>
          <t>跳跃</t>
        </is>
      </c>
      <c r="B198" s="16" t="inlineStr">
        <is>
          <t>类型</t>
        </is>
      </c>
      <c r="C198" s="16" t="inlineStr">
        <is>
          <t>组×次</t>
        </is>
      </c>
      <c r="D198" s="16" t="inlineStr">
        <is>
          <t>负荷kg</t>
        </is>
      </c>
      <c r="E198" s="16" t="inlineStr">
        <is>
          <t>接触</t>
        </is>
      </c>
    </row>
    <row r="199">
      <c r="B199" t="inlineStr">
        <is>
          <t>SJ</t>
        </is>
      </c>
      <c r="C199" t="inlineStr">
        <is>
          <t>3×3</t>
        </is>
      </c>
      <c r="D199" t="n">
        <v>0</v>
      </c>
      <c r="E199" t="n">
        <v>9</v>
      </c>
    </row>
    <row r="200">
      <c r="B200" t="inlineStr">
        <is>
          <t>负重跳</t>
        </is>
      </c>
      <c r="C200" t="inlineStr">
        <is>
          <t>3×4</t>
        </is>
      </c>
      <c r="D200" s="14" t="n"/>
      <c r="E200" s="14" t="n"/>
    </row>
    <row r="201">
      <c r="A201" s="17" t="inlineStr">
        <is>
          <t>▶ 暴露量汇总</t>
        </is>
      </c>
      <c r="B201" s="17" t="inlineStr">
        <is>
          <t>说明</t>
        </is>
      </c>
      <c r="C201" s="17" t="inlineStr">
        <is>
          <t>公式/来源</t>
        </is>
      </c>
      <c r="D201" s="17" t="inlineStr">
        <is>
          <t>数值</t>
        </is>
      </c>
    </row>
    <row r="202">
      <c r="A202" s="18" t="inlineStr">
        <is>
          <t>① 无负荷跳跃接触</t>
        </is>
      </c>
      <c r="B202" s="18" t="inlineStr">
        <is>
          <t>CMJ+SJ+箱跳</t>
        </is>
      </c>
      <c r="C202" s="19">
        <f>IFERROR(E199+E200,2)</f>
        <v/>
      </c>
    </row>
    <row r="203">
      <c r="A203" s="18" t="inlineStr">
        <is>
          <t>② 负重跳跃接触</t>
        </is>
      </c>
      <c r="B203" s="18" t="inlineStr">
        <is>
          <t>负重深蹲跳</t>
        </is>
      </c>
      <c r="C203" s="19">
        <f>IFERROR(E200,"")</f>
        <v/>
      </c>
    </row>
    <row r="204">
      <c r="A204" s="18" t="inlineStr">
        <is>
          <t>③ 跳跃总计</t>
        </is>
      </c>
      <c r="B204" s="18" t="inlineStr">
        <is>
          <t>①+②</t>
        </is>
      </c>
      <c r="C204" s="19">
        <f>IFERROR(B202+B203,"")</f>
        <v/>
      </c>
    </row>
    <row r="205">
      <c r="A205" s="18" t="inlineStr">
        <is>
          <t>④ 热身VL</t>
        </is>
      </c>
      <c r="B205" s="18" t="inlineStr">
        <is>
          <t>20×5+50%×3(+70%×2)</t>
        </is>
      </c>
      <c r="C205" s="19">
        <f>IFERROR(20*5+ROUND(V185*0.5,0)*3,"-")</f>
        <v/>
      </c>
    </row>
    <row r="206">
      <c r="A206" s="20" t="inlineStr">
        <is>
          <t>⑤ 主项工作组VL ★</t>
        </is>
      </c>
      <c r="B206" s="20" t="inlineStr">
        <is>
          <t>Σ(负荷×次数)</t>
        </is>
      </c>
      <c r="C206" s="21">
        <f>SUMPRODUCT($B$189:$B$194,$R$189:$R$194)</f>
        <v/>
      </c>
    </row>
    <row r="207">
      <c r="A207" s="18" t="inlineStr">
        <is>
          <t>⑥ 主项总VL</t>
        </is>
      </c>
      <c r="B207" s="18" t="inlineStr">
        <is>
          <t>④+⑤</t>
        </is>
      </c>
      <c r="C207" s="19">
        <f>IFERROR(D202+D203,"")</f>
        <v/>
      </c>
    </row>
    <row r="208">
      <c r="A208" s="18" t="inlineStr">
        <is>
          <t>⑦ 辅助VL</t>
        </is>
      </c>
      <c r="B208" s="18" t="inlineStr">
        <is>
          <t>RDL/保加利亚</t>
        </is>
      </c>
      <c r="C208" s="19">
        <f>IFERROR(I195,"")</f>
        <v/>
      </c>
    </row>
    <row r="209">
      <c r="A209" s="18" t="inlineStr">
        <is>
          <t>⑧ 总外部负荷</t>
        </is>
      </c>
      <c r="B209" s="18" t="inlineStr">
        <is>
          <t>⑥+⑦(+负重跳)</t>
        </is>
      </c>
      <c r="C209" s="19">
        <f>IFERROR(F202+G202,"")</f>
        <v/>
      </c>
    </row>
    <row r="210">
      <c r="A210" s="18" t="inlineStr">
        <is>
          <t>⑨ sRPE load</t>
        </is>
      </c>
      <c r="B210" s="18" t="inlineStr">
        <is>
          <t>sRPE×时长</t>
        </is>
      </c>
      <c r="C210" s="19">
        <f>IFERROR(F197,"")</f>
        <v/>
      </c>
    </row>
    <row r="213">
      <c r="A213" s="5" t="inlineStr">
        <is>
          <t>P025 范芳忠  a=1.77 b=-0.0105 1RM=135</t>
        </is>
      </c>
    </row>
    <row r="214">
      <c r="A214" s="6" t="inlineStr">
        <is>
          <t>编号</t>
        </is>
      </c>
      <c r="B214" s="6" t="inlineStr">
        <is>
          <t>姓名</t>
        </is>
      </c>
      <c r="C214" s="6" t="inlineStr">
        <is>
          <t>身高</t>
        </is>
      </c>
      <c r="D214" s="6" t="inlineStr">
        <is>
          <t>1RM</t>
        </is>
      </c>
      <c r="E214" s="6" t="inlineStr">
        <is>
          <t>Hooper睡</t>
        </is>
      </c>
      <c r="F214" s="6" t="inlineStr">
        <is>
          <t>Hooper压</t>
        </is>
      </c>
      <c r="G214" s="6" t="inlineStr">
        <is>
          <t>Hooper疲</t>
        </is>
      </c>
      <c r="H214" s="6" t="inlineStr">
        <is>
          <t>Hooper酸</t>
        </is>
      </c>
      <c r="I214" s="6" t="inlineStr">
        <is>
          <t>H总</t>
        </is>
      </c>
      <c r="J214" s="6" t="inlineStr">
        <is>
          <t>不适?</t>
        </is>
      </c>
      <c r="K214" s="6" t="inlineStr">
        <is>
          <t>说明</t>
        </is>
      </c>
      <c r="L214" s="6" t="inlineStr">
        <is>
          <t>CMJ1</t>
        </is>
      </c>
      <c r="M214" s="6" t="inlineStr">
        <is>
          <t>CMJ2</t>
        </is>
      </c>
      <c r="N214" s="6" t="inlineStr">
        <is>
          <t>CMJ3</t>
        </is>
      </c>
      <c r="O214" s="6" t="inlineStr">
        <is>
          <t>CMJμ</t>
        </is>
      </c>
      <c r="P214" s="6" t="inlineStr">
        <is>
          <t>&lt;95%</t>
        </is>
      </c>
      <c r="Q214" s="6" t="inlineStr">
        <is>
          <t>减组</t>
        </is>
      </c>
      <c r="R214" s="6" t="inlineStr">
        <is>
          <t>组数</t>
        </is>
      </c>
      <c r="S214" s="6" t="inlineStr">
        <is>
          <t>a(V0)</t>
        </is>
      </c>
      <c r="T214" s="6" t="inlineStr">
        <is>
          <t>b</t>
        </is>
      </c>
      <c r="U214" s="6" t="inlineStr">
        <is>
          <t>等级</t>
        </is>
      </c>
      <c r="V214" s="6" t="inlineStr">
        <is>
          <t>预测起始</t>
        </is>
      </c>
    </row>
    <row r="215">
      <c r="A215" s="7" t="inlineStr">
        <is>
          <t>P025</t>
        </is>
      </c>
      <c r="B215" s="7" t="inlineStr">
        <is>
          <t>范芳忠</t>
        </is>
      </c>
      <c r="C215" s="7" t="n">
        <v>178</v>
      </c>
      <c r="D215" s="8" t="n">
        <v>135</v>
      </c>
      <c r="E215" s="9" t="n"/>
      <c r="F215" s="9" t="n"/>
      <c r="G215" s="9" t="n"/>
      <c r="H215" s="9" t="n"/>
      <c r="I215" s="7">
        <f>IFERROR(SUM(E215:H215),"")</f>
        <v/>
      </c>
      <c r="J215" s="9" t="n"/>
      <c r="K215" s="9" t="n"/>
      <c r="L215" s="9" t="n"/>
      <c r="M215" s="9" t="n"/>
      <c r="N215" s="9" t="n"/>
      <c r="O215" s="7">
        <f>IFERROR(AVERAGE(L215:N215),"")</f>
        <v/>
      </c>
      <c r="P215" s="7">
        <f>IF(O215="","",IF(O215&lt;58.43,"是⚠","否"))</f>
        <v/>
      </c>
      <c r="Q215" s="7">
        <f>IF(O215="","",IF(O215&lt;58.43,5-1,5))</f>
        <v/>
      </c>
      <c r="R215" s="7" t="n"/>
      <c r="S215" s="8" t="n">
        <v>1.77</v>
      </c>
      <c r="T215" s="8" t="n">
        <v>-0.0105</v>
      </c>
      <c r="U215" s="7" t="inlineStr">
        <is>
          <t>A</t>
        </is>
      </c>
      <c r="V215" s="8" t="n">
        <v>97.5</v>
      </c>
    </row>
    <row r="216">
      <c r="A216" s="10" t="inlineStr">
        <is>
          <t>热身校准</t>
        </is>
      </c>
      <c r="B216" s="10" t="inlineStr">
        <is>
          <t>a</t>
        </is>
      </c>
      <c r="C216" s="10" t="inlineStr">
        <is>
          <t>b</t>
        </is>
      </c>
      <c r="D216" s="10" t="inlineStr">
        <is>
          <t>50%热身</t>
        </is>
      </c>
      <c r="E216" s="10" t="inlineStr">
        <is>
          <t>70%热身</t>
        </is>
      </c>
      <c r="F216" s="10" t="inlineStr">
        <is>
          <t>热身负荷</t>
        </is>
      </c>
      <c r="G216" s="10" t="inlineStr">
        <is>
          <t>实测MCV</t>
        </is>
      </c>
      <c r="H216" s="10" t="inlineStr">
        <is>
          <t>预测MCV</t>
        </is>
      </c>
      <c r="I216" s="10" t="inlineStr">
        <is>
          <t>Δv</t>
        </is>
      </c>
      <c r="J216" s="10" t="inlineStr">
        <is>
          <t>调整量</t>
        </is>
      </c>
      <c r="K216" s="10" t="inlineStr">
        <is>
          <t>校准第1组</t>
        </is>
      </c>
    </row>
    <row r="217">
      <c r="A217" s="7" t="n"/>
      <c r="B217" s="11" t="n">
        <v>1.77</v>
      </c>
      <c r="C217" s="11" t="n">
        <v>-0.0105</v>
      </c>
      <c r="D217" s="11">
        <f>IFERROR(ROUND(V215*0.5/2.5,0)*2.5,"")</f>
        <v/>
      </c>
      <c r="E217" s="11" t="inlineStr"/>
      <c r="F217" s="11">
        <f>IFERROR(ROUND(V215*0.5/2.5,0)*2.5,"")</f>
        <v/>
      </c>
      <c r="G217" s="9" t="n"/>
      <c r="H217" s="11">
        <f>IFERROR(B217+C217*F217,"")</f>
        <v/>
      </c>
      <c r="I217" s="11">
        <f>IFERROR(G217-H217,"")</f>
        <v/>
      </c>
      <c r="J217" s="11">
        <f>IFERROR(IF(I217&gt;0.08,5,IF(I217&gt;0.04,2.5,IF(I217&gt;=-0.04,0,IF(I217&gt;=-0.08,-2.5,-5)))),"")</f>
        <v/>
      </c>
      <c r="K217" s="11">
        <f>IFERROR(ROUND(V215+J217,0),"")</f>
        <v/>
      </c>
    </row>
    <row r="218">
      <c r="A218" s="12" t="inlineStr">
        <is>
          <t>组</t>
        </is>
      </c>
      <c r="B218" s="12" t="inlineStr">
        <is>
          <t>负荷</t>
        </is>
      </c>
      <c r="C218" s="12" t="inlineStr">
        <is>
          <t>rep1</t>
        </is>
      </c>
      <c r="D218" s="12" t="inlineStr">
        <is>
          <t>rep2</t>
        </is>
      </c>
      <c r="E218" s="12" t="inlineStr">
        <is>
          <t>rep3</t>
        </is>
      </c>
      <c r="F218" s="12" t="inlineStr">
        <is>
          <t>rep4</t>
        </is>
      </c>
      <c r="G218" s="12" t="inlineStr">
        <is>
          <t>rep5</t>
        </is>
      </c>
      <c r="H218" s="12" t="inlineStr">
        <is>
          <t>rep6</t>
        </is>
      </c>
      <c r="I218" s="12" t="inlineStr">
        <is>
          <t>best</t>
        </is>
      </c>
      <c r="J218" s="12" t="inlineStr">
        <is>
          <t>best#</t>
        </is>
      </c>
      <c r="K218" s="12" t="inlineStr">
        <is>
          <t>VL%</t>
        </is>
      </c>
      <c r="L218" s="12" t="inlineStr">
        <is>
          <t>stop_th</t>
        </is>
      </c>
      <c r="M218" s="12" t="inlineStr">
        <is>
          <t>latest</t>
        </is>
      </c>
      <c r="N218" s="12" t="inlineStr">
        <is>
          <t>VL_flag</t>
        </is>
      </c>
      <c r="O218" s="12" t="inlineStr">
        <is>
          <t>safety</t>
        </is>
      </c>
      <c r="P218" s="12" t="inlineStr">
        <is>
          <t>原因</t>
        </is>
      </c>
      <c r="Q218" s="12" t="inlineStr">
        <is>
          <t>建议</t>
        </is>
      </c>
      <c r="R218" s="12" t="inlineStr">
        <is>
          <t>次数</t>
        </is>
      </c>
    </row>
    <row r="219">
      <c r="A219" s="7" t="n">
        <v>1</v>
      </c>
      <c r="B219" s="9">
        <f>IFERROR(K217,"")</f>
        <v/>
      </c>
      <c r="C219" s="9" t="n"/>
      <c r="D219" s="9" t="n"/>
      <c r="E219" s="9" t="n"/>
      <c r="F219" s="9" t="n"/>
      <c r="G219" s="9" t="n"/>
      <c r="H219" s="9" t="n"/>
      <c r="I219" s="7">
        <f>IFERROR(MAX(C219:H219),"")</f>
        <v/>
      </c>
      <c r="J219" s="7">
        <f>IFERROR(MATCH(I219,C219:H219,0),"")</f>
        <v/>
      </c>
      <c r="K219" s="7" t="n">
        <v>12</v>
      </c>
      <c r="L219" s="7">
        <f>IFERROR(I219*(1-(K219/100)),"")</f>
        <v/>
      </c>
      <c r="M219" s="7">
        <f>IFERROR(LOOKUP(9.99E+307,C219:H219),"")</f>
        <v/>
      </c>
      <c r="N219" s="7">
        <f>IFERROR(IF(M219="","",IF(M219&lt;=N219,"停组🛑","继续✓")),"")</f>
        <v/>
      </c>
      <c r="O219" s="7">
        <f>IFERROR(IF(M219="","",IF(M219&lt;0.15,"SAFETY_STOP","")),"")</f>
        <v/>
      </c>
      <c r="P219" s="7">
        <f>IFERROR(IF(M219="","",IF(M219&lt;0.15,"SAFETY_STOP",IF(M219&lt;=N219,"VL_THRESHOLD",""))),"")</f>
        <v/>
      </c>
      <c r="Q219" s="7">
        <f>IFERROR(IF(I219="","",IF(I219&gt;(0.75+0.05),"+5kg",IF(I219&gt;(0.75+0.02),"+2.5kg",IF(I219&gt;=(0.75-0.05),"保持",IF(I219&gt;=(0.75-0.08),"-2.5kg","-5kg"))))),"")</f>
        <v/>
      </c>
      <c r="R219" s="9" t="n"/>
    </row>
    <row r="220">
      <c r="A220" s="7" t="n">
        <v>2</v>
      </c>
      <c r="B220" s="9" t="n"/>
      <c r="C220" s="9" t="n"/>
      <c r="D220" s="9" t="n"/>
      <c r="E220" s="9" t="n"/>
      <c r="F220" s="9" t="n"/>
      <c r="G220" s="9" t="n"/>
      <c r="H220" s="9" t="n"/>
      <c r="I220" s="7">
        <f>IFERROR(MAX(C220:H220),"")</f>
        <v/>
      </c>
      <c r="J220" s="7">
        <f>IFERROR(MATCH(I220,C220:H220,0),"")</f>
        <v/>
      </c>
      <c r="K220" s="7" t="n">
        <v>12</v>
      </c>
      <c r="L220" s="7">
        <f>IFERROR(I220*(1-(K220/100)),"")</f>
        <v/>
      </c>
      <c r="M220" s="7">
        <f>IFERROR(LOOKUP(9.99E+307,C220:H220),"")</f>
        <v/>
      </c>
      <c r="N220" s="7">
        <f>IFERROR(IF(M220="","",IF(M220&lt;=N220,"停组🛑","继续✓")),"")</f>
        <v/>
      </c>
      <c r="O220" s="7">
        <f>IFERROR(IF(M220="","",IF(M220&lt;0.15,"SAFETY_STOP","")),"")</f>
        <v/>
      </c>
      <c r="P220" s="7">
        <f>IFERROR(IF(M220="","",IF(M220&lt;0.15,"SAFETY_STOP",IF(M220&lt;=N220,"VL_THRESHOLD",""))),"")</f>
        <v/>
      </c>
      <c r="Q220" s="7">
        <f>IFERROR(IF(I220="","",IF(I220&gt;(0.75+0.05),"+5kg",IF(I220&gt;(0.75+0.02),"+2.5kg",IF(I220&gt;=(0.75-0.05),"保持",IF(I220&gt;=(0.75-0.08),"-2.5kg","-5kg"))))),"")</f>
        <v/>
      </c>
      <c r="R220" s="9" t="n"/>
    </row>
    <row r="221">
      <c r="A221" s="7" t="n">
        <v>3</v>
      </c>
      <c r="B221" s="9" t="n"/>
      <c r="C221" s="9" t="n"/>
      <c r="D221" s="9" t="n"/>
      <c r="E221" s="9" t="n"/>
      <c r="F221" s="9" t="n"/>
      <c r="G221" s="9" t="n"/>
      <c r="H221" s="9" t="n"/>
      <c r="I221" s="7">
        <f>IFERROR(MAX(C221:H221),"")</f>
        <v/>
      </c>
      <c r="J221" s="7">
        <f>IFERROR(MATCH(I221,C221:H221,0),"")</f>
        <v/>
      </c>
      <c r="K221" s="7" t="n">
        <v>12</v>
      </c>
      <c r="L221" s="7">
        <f>IFERROR(I221*(1-(K221/100)),"")</f>
        <v/>
      </c>
      <c r="M221" s="7">
        <f>IFERROR(LOOKUP(9.99E+307,C221:H221),"")</f>
        <v/>
      </c>
      <c r="N221" s="7">
        <f>IFERROR(IF(M221="","",IF(M221&lt;=N221,"停组🛑","继续✓")),"")</f>
        <v/>
      </c>
      <c r="O221" s="7">
        <f>IFERROR(IF(M221="","",IF(M221&lt;0.15,"SAFETY_STOP","")),"")</f>
        <v/>
      </c>
      <c r="P221" s="7">
        <f>IFERROR(IF(M221="","",IF(M221&lt;0.15,"SAFETY_STOP",IF(M221&lt;=N221,"VL_THRESHOLD",""))),"")</f>
        <v/>
      </c>
      <c r="Q221" s="7">
        <f>IFERROR(IF(I221="","",IF(I221&gt;(0.75+0.05),"+5kg",IF(I221&gt;(0.75+0.02),"+2.5kg",IF(I221&gt;=(0.75-0.05),"保持",IF(I221&gt;=(0.75-0.08),"-2.5kg","-5kg"))))),"")</f>
        <v/>
      </c>
      <c r="R221" s="9" t="n"/>
    </row>
    <row r="222">
      <c r="A222" s="7" t="n">
        <v>4</v>
      </c>
      <c r="B222" s="9" t="n"/>
      <c r="C222" s="9" t="n"/>
      <c r="D222" s="9" t="n"/>
      <c r="E222" s="9" t="n"/>
      <c r="F222" s="9" t="n"/>
      <c r="G222" s="9" t="n"/>
      <c r="H222" s="9" t="n"/>
      <c r="I222" s="7">
        <f>IFERROR(MAX(C222:H222),"")</f>
        <v/>
      </c>
      <c r="J222" s="7">
        <f>IFERROR(MATCH(I222,C222:H222,0),"")</f>
        <v/>
      </c>
      <c r="K222" s="7" t="n">
        <v>12</v>
      </c>
      <c r="L222" s="7">
        <f>IFERROR(I222*(1-(K222/100)),"")</f>
        <v/>
      </c>
      <c r="M222" s="7">
        <f>IFERROR(LOOKUP(9.99E+307,C222:H222),"")</f>
        <v/>
      </c>
      <c r="N222" s="7">
        <f>IFERROR(IF(M222="","",IF(M222&lt;=N222,"停组🛑","继续✓")),"")</f>
        <v/>
      </c>
      <c r="O222" s="7">
        <f>IFERROR(IF(M222="","",IF(M222&lt;0.15,"SAFETY_STOP","")),"")</f>
        <v/>
      </c>
      <c r="P222" s="7">
        <f>IFERROR(IF(M222="","",IF(M222&lt;0.15,"SAFETY_STOP",IF(M222&lt;=N222,"VL_THRESHOLD",""))),"")</f>
        <v/>
      </c>
      <c r="Q222" s="7">
        <f>IFERROR(IF(I222="","",IF(I222&gt;(0.75+0.05),"+5kg",IF(I222&gt;(0.75+0.02),"+2.5kg",IF(I222&gt;=(0.75-0.05),"保持",IF(I222&gt;=(0.75-0.08),"-2.5kg","-5kg"))))),"")</f>
        <v/>
      </c>
      <c r="R222" s="9" t="n"/>
    </row>
    <row r="223">
      <c r="A223" s="7" t="n">
        <v>5</v>
      </c>
      <c r="B223" s="9" t="n"/>
      <c r="C223" s="9" t="n"/>
      <c r="D223" s="9" t="n"/>
      <c r="E223" s="9" t="n"/>
      <c r="F223" s="9" t="n"/>
      <c r="G223" s="9" t="n"/>
      <c r="H223" s="9" t="n"/>
      <c r="I223" s="7">
        <f>IFERROR(MAX(C223:H223),"")</f>
        <v/>
      </c>
      <c r="J223" s="7">
        <f>IFERROR(MATCH(I223,C223:H223,0),"")</f>
        <v/>
      </c>
      <c r="K223" s="7" t="n">
        <v>12</v>
      </c>
      <c r="L223" s="7">
        <f>IFERROR(I223*(1-(K223/100)),"")</f>
        <v/>
      </c>
      <c r="M223" s="7">
        <f>IFERROR(LOOKUP(9.99E+307,C223:H223),"")</f>
        <v/>
      </c>
      <c r="N223" s="7">
        <f>IFERROR(IF(M223="","",IF(M223&lt;=N223,"停组🛑","继续✓")),"")</f>
        <v/>
      </c>
      <c r="O223" s="7">
        <f>IFERROR(IF(M223="","",IF(M223&lt;0.15,"SAFETY_STOP","")),"")</f>
        <v/>
      </c>
      <c r="P223" s="7">
        <f>IFERROR(IF(M223="","",IF(M223&lt;0.15,"SAFETY_STOP",IF(M223&lt;=N223,"VL_THRESHOLD",""))),"")</f>
        <v/>
      </c>
      <c r="Q223" s="7">
        <f>IFERROR(IF(I223="","",IF(I223&gt;(0.75+0.05),"+5kg",IF(I223&gt;(0.75+0.02),"+2.5kg",IF(I223&gt;=(0.75-0.05),"保持",IF(I223&gt;=(0.75-0.08),"-2.5kg","-5kg"))))),"")</f>
        <v/>
      </c>
      <c r="R223" s="9" t="n"/>
    </row>
    <row r="224">
      <c r="A224" s="7" t="n">
        <v>6</v>
      </c>
      <c r="B224" s="9" t="n"/>
      <c r="C224" s="9" t="n"/>
      <c r="D224" s="9" t="n"/>
      <c r="E224" s="9" t="n"/>
      <c r="F224" s="9" t="n"/>
      <c r="G224" s="9" t="n"/>
      <c r="H224" s="9" t="n"/>
      <c r="I224" s="7">
        <f>IFERROR(MAX(C224:H224),"")</f>
        <v/>
      </c>
      <c r="J224" s="7">
        <f>IFERROR(MATCH(I224,C224:H224,0),"")</f>
        <v/>
      </c>
      <c r="K224" s="7" t="n">
        <v>12</v>
      </c>
      <c r="L224" s="7">
        <f>IFERROR(I224*(1-(K224/100)),"")</f>
        <v/>
      </c>
      <c r="M224" s="7">
        <f>IFERROR(LOOKUP(9.99E+307,C224:H224),"")</f>
        <v/>
      </c>
      <c r="N224" s="7">
        <f>IFERROR(IF(M224="","",IF(M224&lt;=N224,"停组🛑","继续✓")),"")</f>
        <v/>
      </c>
      <c r="O224" s="7">
        <f>IFERROR(IF(M224="","",IF(M224&lt;0.15,"SAFETY_STOP","")),"")</f>
        <v/>
      </c>
      <c r="P224" s="7">
        <f>IFERROR(IF(M224="","",IF(M224&lt;0.15,"SAFETY_STOP",IF(M224&lt;=N224,"VL_THRESHOLD",""))),"")</f>
        <v/>
      </c>
      <c r="Q224" s="7">
        <f>IFERROR(IF(I224="","",IF(I224&gt;(0.75+0.05),"+5kg",IF(I224&gt;(0.75+0.02),"+2.5kg",IF(I224&gt;=(0.75-0.05),"保持",IF(I224&gt;=(0.75-0.08),"-2.5kg","-5kg"))))),"")</f>
        <v/>
      </c>
      <c r="R224" s="9" t="n"/>
    </row>
    <row r="225">
      <c r="A225" s="13" t="inlineStr">
        <is>
          <t>辅助</t>
        </is>
      </c>
      <c r="D225" s="14" t="inlineStr">
        <is>
          <t>保加利亚单腿蹲</t>
        </is>
      </c>
      <c r="E225" s="14" t="inlineStr">
        <is>
          <t>负荷</t>
        </is>
      </c>
      <c r="F225" s="14" t="inlineStr">
        <is>
          <t>完成</t>
        </is>
      </c>
      <c r="I225" t="inlineStr">
        <is>
          <t>VL</t>
        </is>
      </c>
    </row>
    <row r="226">
      <c r="A226" s="15" t="inlineStr">
        <is>
          <t>训练后</t>
        </is>
      </c>
      <c r="B226" s="15" t="inlineStr">
        <is>
          <t>开始</t>
        </is>
      </c>
      <c r="C226" s="15" t="inlineStr">
        <is>
          <t>结束</t>
        </is>
      </c>
      <c r="D226" s="15" t="inlineStr">
        <is>
          <t>时长min</t>
        </is>
      </c>
      <c r="E226" s="15" t="inlineStr">
        <is>
          <t>sRPE</t>
        </is>
      </c>
      <c r="F226" s="15" t="inlineStr">
        <is>
          <t>load</t>
        </is>
      </c>
      <c r="G226" s="15" t="inlineStr">
        <is>
          <t>不适?</t>
        </is>
      </c>
      <c r="H226" s="15" t="inlineStr">
        <is>
          <t>备注</t>
        </is>
      </c>
      <c r="I226" s="15" t="inlineStr">
        <is>
          <t>签名</t>
        </is>
      </c>
    </row>
    <row r="227">
      <c r="A227" s="7" t="n"/>
      <c r="B227" s="9" t="n"/>
      <c r="C227" s="9" t="n"/>
      <c r="D227" s="11">
        <f>IFERROR((C227-B227)*1440,"")</f>
        <v/>
      </c>
      <c r="E227" s="9" t="n"/>
      <c r="F227" s="11">
        <f>IFERROR(E227*D227,"")</f>
        <v/>
      </c>
      <c r="G227" s="9" t="n"/>
      <c r="H227" s="9" t="n"/>
      <c r="I227" s="9" t="n"/>
    </row>
    <row r="228">
      <c r="A228" s="16" t="inlineStr">
        <is>
          <t>跳跃</t>
        </is>
      </c>
      <c r="B228" s="16" t="inlineStr">
        <is>
          <t>类型</t>
        </is>
      </c>
      <c r="C228" s="16" t="inlineStr">
        <is>
          <t>组×次</t>
        </is>
      </c>
      <c r="D228" s="16" t="inlineStr">
        <is>
          <t>负荷kg</t>
        </is>
      </c>
      <c r="E228" s="16" t="inlineStr">
        <is>
          <t>接触</t>
        </is>
      </c>
    </row>
    <row r="229">
      <c r="B229" t="inlineStr">
        <is>
          <t>SJ</t>
        </is>
      </c>
      <c r="C229" t="inlineStr">
        <is>
          <t>3×3</t>
        </is>
      </c>
      <c r="D229" t="n">
        <v>0</v>
      </c>
      <c r="E229" t="n">
        <v>9</v>
      </c>
    </row>
    <row r="230">
      <c r="B230" t="inlineStr">
        <is>
          <t>负重跳</t>
        </is>
      </c>
      <c r="C230" t="inlineStr">
        <is>
          <t>3×4</t>
        </is>
      </c>
      <c r="D230" s="14" t="n"/>
      <c r="E230" s="14" t="n"/>
    </row>
    <row r="231">
      <c r="A231" s="17" t="inlineStr">
        <is>
          <t>▶ 暴露量汇总</t>
        </is>
      </c>
      <c r="B231" s="17" t="inlineStr">
        <is>
          <t>说明</t>
        </is>
      </c>
      <c r="C231" s="17" t="inlineStr">
        <is>
          <t>公式/来源</t>
        </is>
      </c>
      <c r="D231" s="17" t="inlineStr">
        <is>
          <t>数值</t>
        </is>
      </c>
    </row>
    <row r="232">
      <c r="A232" s="18" t="inlineStr">
        <is>
          <t>① 无负荷跳跃接触</t>
        </is>
      </c>
      <c r="B232" s="18" t="inlineStr">
        <is>
          <t>CMJ+SJ+箱跳</t>
        </is>
      </c>
      <c r="C232" s="19">
        <f>IFERROR(E229+E230,2)</f>
        <v/>
      </c>
    </row>
    <row r="233">
      <c r="A233" s="18" t="inlineStr">
        <is>
          <t>② 负重跳跃接触</t>
        </is>
      </c>
      <c r="B233" s="18" t="inlineStr">
        <is>
          <t>负重深蹲跳</t>
        </is>
      </c>
      <c r="C233" s="19">
        <f>IFERROR(E230,"")</f>
        <v/>
      </c>
    </row>
    <row r="234">
      <c r="A234" s="18" t="inlineStr">
        <is>
          <t>③ 跳跃总计</t>
        </is>
      </c>
      <c r="B234" s="18" t="inlineStr">
        <is>
          <t>①+②</t>
        </is>
      </c>
      <c r="C234" s="19">
        <f>IFERROR(B232+B233,"")</f>
        <v/>
      </c>
    </row>
    <row r="235">
      <c r="A235" s="18" t="inlineStr">
        <is>
          <t>④ 热身VL</t>
        </is>
      </c>
      <c r="B235" s="18" t="inlineStr">
        <is>
          <t>20×5+50%×3(+70%×2)</t>
        </is>
      </c>
      <c r="C235" s="19">
        <f>IFERROR(20*5+ROUND(V215*0.5,0)*3,"-")</f>
        <v/>
      </c>
    </row>
    <row r="236">
      <c r="A236" s="20" t="inlineStr">
        <is>
          <t>⑤ 主项工作组VL ★</t>
        </is>
      </c>
      <c r="B236" s="20" t="inlineStr">
        <is>
          <t>Σ(负荷×次数)</t>
        </is>
      </c>
      <c r="C236" s="21">
        <f>SUMPRODUCT($B$219:$B$224,$R$219:$R$224)</f>
        <v/>
      </c>
    </row>
    <row r="237">
      <c r="A237" s="18" t="inlineStr">
        <is>
          <t>⑥ 主项总VL</t>
        </is>
      </c>
      <c r="B237" s="18" t="inlineStr">
        <is>
          <t>④+⑤</t>
        </is>
      </c>
      <c r="C237" s="19">
        <f>IFERROR(D232+D233,"")</f>
        <v/>
      </c>
    </row>
    <row r="238">
      <c r="A238" s="18" t="inlineStr">
        <is>
          <t>⑦ 辅助VL</t>
        </is>
      </c>
      <c r="B238" s="18" t="inlineStr">
        <is>
          <t>RDL/保加利亚</t>
        </is>
      </c>
      <c r="C238" s="19">
        <f>IFERROR(I225,"")</f>
        <v/>
      </c>
    </row>
    <row r="239">
      <c r="A239" s="18" t="inlineStr">
        <is>
          <t>⑧ 总外部负荷</t>
        </is>
      </c>
      <c r="B239" s="18" t="inlineStr">
        <is>
          <t>⑥+⑦(+负重跳)</t>
        </is>
      </c>
      <c r="C239" s="19">
        <f>IFERROR(F232+G232,"")</f>
        <v/>
      </c>
    </row>
    <row r="240">
      <c r="A240" s="18" t="inlineStr">
        <is>
          <t>⑨ sRPE load</t>
        </is>
      </c>
      <c r="B240" s="18" t="inlineStr">
        <is>
          <t>sRPE×时长</t>
        </is>
      </c>
      <c r="C240" s="19">
        <f>IFERROR(F227,"")</f>
        <v/>
      </c>
    </row>
    <row r="243">
      <c r="A243" s="5" t="inlineStr">
        <is>
          <t>P018 孟维宇  a=1.71 b=-0.0105 1RM=122.5</t>
        </is>
      </c>
    </row>
    <row r="244">
      <c r="A244" s="6" t="inlineStr">
        <is>
          <t>编号</t>
        </is>
      </c>
      <c r="B244" s="6" t="inlineStr">
        <is>
          <t>姓名</t>
        </is>
      </c>
      <c r="C244" s="6" t="inlineStr">
        <is>
          <t>身高</t>
        </is>
      </c>
      <c r="D244" s="6" t="inlineStr">
        <is>
          <t>1RM</t>
        </is>
      </c>
      <c r="E244" s="6" t="inlineStr">
        <is>
          <t>Hooper睡</t>
        </is>
      </c>
      <c r="F244" s="6" t="inlineStr">
        <is>
          <t>Hooper压</t>
        </is>
      </c>
      <c r="G244" s="6" t="inlineStr">
        <is>
          <t>Hooper疲</t>
        </is>
      </c>
      <c r="H244" s="6" t="inlineStr">
        <is>
          <t>Hooper酸</t>
        </is>
      </c>
      <c r="I244" s="6" t="inlineStr">
        <is>
          <t>H总</t>
        </is>
      </c>
      <c r="J244" s="6" t="inlineStr">
        <is>
          <t>不适?</t>
        </is>
      </c>
      <c r="K244" s="6" t="inlineStr">
        <is>
          <t>说明</t>
        </is>
      </c>
      <c r="L244" s="6" t="inlineStr">
        <is>
          <t>CMJ1</t>
        </is>
      </c>
      <c r="M244" s="6" t="inlineStr">
        <is>
          <t>CMJ2</t>
        </is>
      </c>
      <c r="N244" s="6" t="inlineStr">
        <is>
          <t>CMJ3</t>
        </is>
      </c>
      <c r="O244" s="6" t="inlineStr">
        <is>
          <t>CMJμ</t>
        </is>
      </c>
      <c r="P244" s="6" t="inlineStr">
        <is>
          <t>&lt;95%</t>
        </is>
      </c>
      <c r="Q244" s="6" t="inlineStr">
        <is>
          <t>减组</t>
        </is>
      </c>
      <c r="R244" s="6" t="inlineStr">
        <is>
          <t>组数</t>
        </is>
      </c>
      <c r="S244" s="6" t="inlineStr">
        <is>
          <t>a(V0)</t>
        </is>
      </c>
      <c r="T244" s="6" t="inlineStr">
        <is>
          <t>b</t>
        </is>
      </c>
      <c r="U244" s="6" t="inlineStr">
        <is>
          <t>等级</t>
        </is>
      </c>
      <c r="V244" s="6" t="inlineStr">
        <is>
          <t>预测起始</t>
        </is>
      </c>
    </row>
    <row r="245">
      <c r="A245" s="7" t="inlineStr">
        <is>
          <t>P018</t>
        </is>
      </c>
      <c r="B245" s="7" t="inlineStr">
        <is>
          <t>孟维宇</t>
        </is>
      </c>
      <c r="C245" s="7" t="n">
        <v>173</v>
      </c>
      <c r="D245" s="8" t="n">
        <v>122.5</v>
      </c>
      <c r="E245" s="9" t="n"/>
      <c r="F245" s="9" t="n"/>
      <c r="G245" s="9" t="n"/>
      <c r="H245" s="9" t="n"/>
      <c r="I245" s="7">
        <f>IFERROR(SUM(E245:H245),"")</f>
        <v/>
      </c>
      <c r="J245" s="9" t="n"/>
      <c r="K245" s="9" t="n"/>
      <c r="L245" s="9" t="n"/>
      <c r="M245" s="9" t="n"/>
      <c r="N245" s="9" t="n"/>
      <c r="O245" s="7">
        <f>IFERROR(AVERAGE(L245:N245),"")</f>
        <v/>
      </c>
      <c r="P245" s="7">
        <f>IF(O245="","",IF(O245&lt;52.6,"是⚠","否"))</f>
        <v/>
      </c>
      <c r="Q245" s="7">
        <f>IF(O245="","",IF(O245&lt;52.6,5-1,5))</f>
        <v/>
      </c>
      <c r="R245" s="7" t="n"/>
      <c r="S245" s="8" t="n">
        <v>1.71</v>
      </c>
      <c r="T245" s="8" t="n">
        <v>-0.0105</v>
      </c>
      <c r="U245" s="7" t="inlineStr">
        <is>
          <t>B</t>
        </is>
      </c>
      <c r="V245" s="8" t="n">
        <v>92.5</v>
      </c>
    </row>
    <row r="246">
      <c r="A246" s="10" t="inlineStr">
        <is>
          <t>热身校准</t>
        </is>
      </c>
      <c r="B246" s="10" t="inlineStr">
        <is>
          <t>a</t>
        </is>
      </c>
      <c r="C246" s="10" t="inlineStr">
        <is>
          <t>b</t>
        </is>
      </c>
      <c r="D246" s="10" t="inlineStr">
        <is>
          <t>50%热身</t>
        </is>
      </c>
      <c r="E246" s="10" t="inlineStr">
        <is>
          <t>70%热身</t>
        </is>
      </c>
      <c r="F246" s="10" t="inlineStr">
        <is>
          <t>热身负荷</t>
        </is>
      </c>
      <c r="G246" s="10" t="inlineStr">
        <is>
          <t>实测MCV</t>
        </is>
      </c>
      <c r="H246" s="10" t="inlineStr">
        <is>
          <t>预测MCV</t>
        </is>
      </c>
      <c r="I246" s="10" t="inlineStr">
        <is>
          <t>Δv</t>
        </is>
      </c>
      <c r="J246" s="10" t="inlineStr">
        <is>
          <t>调整量</t>
        </is>
      </c>
      <c r="K246" s="10" t="inlineStr">
        <is>
          <t>校准第1组</t>
        </is>
      </c>
    </row>
    <row r="247">
      <c r="A247" s="7" t="n"/>
      <c r="B247" s="11" t="n">
        <v>1.71</v>
      </c>
      <c r="C247" s="11" t="n">
        <v>-0.0105</v>
      </c>
      <c r="D247" s="11">
        <f>IFERROR(ROUND(V245*0.5/2.5,0)*2.5,"")</f>
        <v/>
      </c>
      <c r="E247" s="11" t="inlineStr"/>
      <c r="F247" s="11">
        <f>IFERROR(ROUND(V245*0.5/2.5,0)*2.5,"")</f>
        <v/>
      </c>
      <c r="G247" s="9" t="n"/>
      <c r="H247" s="11">
        <f>IFERROR(B247+C247*F247,"")</f>
        <v/>
      </c>
      <c r="I247" s="11">
        <f>IFERROR(G247-H247,"")</f>
        <v/>
      </c>
      <c r="J247" s="11">
        <f>IFERROR(IF(I247&gt;0.08,5,IF(I247&gt;0.04,2.5,IF(I247&gt;=-0.04,0,IF(I247&gt;=-0.08,-2.5,-5)))),"")</f>
        <v/>
      </c>
      <c r="K247" s="11">
        <f>IFERROR(ROUND(V245+J247,0),"")</f>
        <v/>
      </c>
    </row>
    <row r="248">
      <c r="A248" s="12" t="inlineStr">
        <is>
          <t>组</t>
        </is>
      </c>
      <c r="B248" s="12" t="inlineStr">
        <is>
          <t>负荷</t>
        </is>
      </c>
      <c r="C248" s="12" t="inlineStr">
        <is>
          <t>rep1</t>
        </is>
      </c>
      <c r="D248" s="12" t="inlineStr">
        <is>
          <t>rep2</t>
        </is>
      </c>
      <c r="E248" s="12" t="inlineStr">
        <is>
          <t>rep3</t>
        </is>
      </c>
      <c r="F248" s="12" t="inlineStr">
        <is>
          <t>rep4</t>
        </is>
      </c>
      <c r="G248" s="12" t="inlineStr">
        <is>
          <t>rep5</t>
        </is>
      </c>
      <c r="H248" s="12" t="inlineStr">
        <is>
          <t>rep6</t>
        </is>
      </c>
      <c r="I248" s="12" t="inlineStr">
        <is>
          <t>best</t>
        </is>
      </c>
      <c r="J248" s="12" t="inlineStr">
        <is>
          <t>best#</t>
        </is>
      </c>
      <c r="K248" s="12" t="inlineStr">
        <is>
          <t>VL%</t>
        </is>
      </c>
      <c r="L248" s="12" t="inlineStr">
        <is>
          <t>stop_th</t>
        </is>
      </c>
      <c r="M248" s="12" t="inlineStr">
        <is>
          <t>latest</t>
        </is>
      </c>
      <c r="N248" s="12" t="inlineStr">
        <is>
          <t>VL_flag</t>
        </is>
      </c>
      <c r="O248" s="12" t="inlineStr">
        <is>
          <t>safety</t>
        </is>
      </c>
      <c r="P248" s="12" t="inlineStr">
        <is>
          <t>原因</t>
        </is>
      </c>
      <c r="Q248" s="12" t="inlineStr">
        <is>
          <t>建议</t>
        </is>
      </c>
      <c r="R248" s="12" t="inlineStr">
        <is>
          <t>次数</t>
        </is>
      </c>
    </row>
    <row r="249">
      <c r="A249" s="7" t="n">
        <v>1</v>
      </c>
      <c r="B249" s="9">
        <f>IFERROR(K247,"")</f>
        <v/>
      </c>
      <c r="C249" s="9" t="n"/>
      <c r="D249" s="9" t="n"/>
      <c r="E249" s="9" t="n"/>
      <c r="F249" s="9" t="n"/>
      <c r="G249" s="9" t="n"/>
      <c r="H249" s="9" t="n"/>
      <c r="I249" s="7">
        <f>IFERROR(MAX(C249:H249),"")</f>
        <v/>
      </c>
      <c r="J249" s="7">
        <f>IFERROR(MATCH(I249,C249:H249,0),"")</f>
        <v/>
      </c>
      <c r="K249" s="7" t="n">
        <v>12</v>
      </c>
      <c r="L249" s="7">
        <f>IFERROR(I249*(1-(K249/100)),"")</f>
        <v/>
      </c>
      <c r="M249" s="7">
        <f>IFERROR(LOOKUP(9.99E+307,C249:H249),"")</f>
        <v/>
      </c>
      <c r="N249" s="7">
        <f>IFERROR(IF(M249="","",IF(M249&lt;=N249,"停组🛑","继续✓")),"")</f>
        <v/>
      </c>
      <c r="O249" s="7">
        <f>IFERROR(IF(M249="","",IF(M249&lt;0.15,"SAFETY_STOP","")),"")</f>
        <v/>
      </c>
      <c r="P249" s="7">
        <f>IFERROR(IF(M249="","",IF(M249&lt;0.15,"SAFETY_STOP",IF(M249&lt;=N249,"VL_THRESHOLD",""))),"")</f>
        <v/>
      </c>
      <c r="Q249" s="7">
        <f>IFERROR(IF(I249="","",IF(I249&gt;(0.75+0.05),"+5kg",IF(I249&gt;(0.75+0.02),"+2.5kg",IF(I249&gt;=(0.75-0.05),"保持",IF(I249&gt;=(0.75-0.08),"-2.5kg","-5kg"))))),"")</f>
        <v/>
      </c>
      <c r="R249" s="9" t="n"/>
    </row>
    <row r="250">
      <c r="A250" s="7" t="n">
        <v>2</v>
      </c>
      <c r="B250" s="9" t="n"/>
      <c r="C250" s="9" t="n"/>
      <c r="D250" s="9" t="n"/>
      <c r="E250" s="9" t="n"/>
      <c r="F250" s="9" t="n"/>
      <c r="G250" s="9" t="n"/>
      <c r="H250" s="9" t="n"/>
      <c r="I250" s="7">
        <f>IFERROR(MAX(C250:H250),"")</f>
        <v/>
      </c>
      <c r="J250" s="7">
        <f>IFERROR(MATCH(I250,C250:H250,0),"")</f>
        <v/>
      </c>
      <c r="K250" s="7" t="n">
        <v>12</v>
      </c>
      <c r="L250" s="7">
        <f>IFERROR(I250*(1-(K250/100)),"")</f>
        <v/>
      </c>
      <c r="M250" s="7">
        <f>IFERROR(LOOKUP(9.99E+307,C250:H250),"")</f>
        <v/>
      </c>
      <c r="N250" s="7">
        <f>IFERROR(IF(M250="","",IF(M250&lt;=N250,"停组🛑","继续✓")),"")</f>
        <v/>
      </c>
      <c r="O250" s="7">
        <f>IFERROR(IF(M250="","",IF(M250&lt;0.15,"SAFETY_STOP","")),"")</f>
        <v/>
      </c>
      <c r="P250" s="7">
        <f>IFERROR(IF(M250="","",IF(M250&lt;0.15,"SAFETY_STOP",IF(M250&lt;=N250,"VL_THRESHOLD",""))),"")</f>
        <v/>
      </c>
      <c r="Q250" s="7">
        <f>IFERROR(IF(I250="","",IF(I250&gt;(0.75+0.05),"+5kg",IF(I250&gt;(0.75+0.02),"+2.5kg",IF(I250&gt;=(0.75-0.05),"保持",IF(I250&gt;=(0.75-0.08),"-2.5kg","-5kg"))))),"")</f>
        <v/>
      </c>
      <c r="R250" s="9" t="n"/>
    </row>
    <row r="251">
      <c r="A251" s="7" t="n">
        <v>3</v>
      </c>
      <c r="B251" s="9" t="n"/>
      <c r="C251" s="9" t="n"/>
      <c r="D251" s="9" t="n"/>
      <c r="E251" s="9" t="n"/>
      <c r="F251" s="9" t="n"/>
      <c r="G251" s="9" t="n"/>
      <c r="H251" s="9" t="n"/>
      <c r="I251" s="7">
        <f>IFERROR(MAX(C251:H251),"")</f>
        <v/>
      </c>
      <c r="J251" s="7">
        <f>IFERROR(MATCH(I251,C251:H251,0),"")</f>
        <v/>
      </c>
      <c r="K251" s="7" t="n">
        <v>12</v>
      </c>
      <c r="L251" s="7">
        <f>IFERROR(I251*(1-(K251/100)),"")</f>
        <v/>
      </c>
      <c r="M251" s="7">
        <f>IFERROR(LOOKUP(9.99E+307,C251:H251),"")</f>
        <v/>
      </c>
      <c r="N251" s="7">
        <f>IFERROR(IF(M251="","",IF(M251&lt;=N251,"停组🛑","继续✓")),"")</f>
        <v/>
      </c>
      <c r="O251" s="7">
        <f>IFERROR(IF(M251="","",IF(M251&lt;0.15,"SAFETY_STOP","")),"")</f>
        <v/>
      </c>
      <c r="P251" s="7">
        <f>IFERROR(IF(M251="","",IF(M251&lt;0.15,"SAFETY_STOP",IF(M251&lt;=N251,"VL_THRESHOLD",""))),"")</f>
        <v/>
      </c>
      <c r="Q251" s="7">
        <f>IFERROR(IF(I251="","",IF(I251&gt;(0.75+0.05),"+5kg",IF(I251&gt;(0.75+0.02),"+2.5kg",IF(I251&gt;=(0.75-0.05),"保持",IF(I251&gt;=(0.75-0.08),"-2.5kg","-5kg"))))),"")</f>
        <v/>
      </c>
      <c r="R251" s="9" t="n"/>
    </row>
    <row r="252">
      <c r="A252" s="7" t="n">
        <v>4</v>
      </c>
      <c r="B252" s="9" t="n"/>
      <c r="C252" s="9" t="n"/>
      <c r="D252" s="9" t="n"/>
      <c r="E252" s="9" t="n"/>
      <c r="F252" s="9" t="n"/>
      <c r="G252" s="9" t="n"/>
      <c r="H252" s="9" t="n"/>
      <c r="I252" s="7">
        <f>IFERROR(MAX(C252:H252),"")</f>
        <v/>
      </c>
      <c r="J252" s="7">
        <f>IFERROR(MATCH(I252,C252:H252,0),"")</f>
        <v/>
      </c>
      <c r="K252" s="7" t="n">
        <v>12</v>
      </c>
      <c r="L252" s="7">
        <f>IFERROR(I252*(1-(K252/100)),"")</f>
        <v/>
      </c>
      <c r="M252" s="7">
        <f>IFERROR(LOOKUP(9.99E+307,C252:H252),"")</f>
        <v/>
      </c>
      <c r="N252" s="7">
        <f>IFERROR(IF(M252="","",IF(M252&lt;=N252,"停组🛑","继续✓")),"")</f>
        <v/>
      </c>
      <c r="O252" s="7">
        <f>IFERROR(IF(M252="","",IF(M252&lt;0.15,"SAFETY_STOP","")),"")</f>
        <v/>
      </c>
      <c r="P252" s="7">
        <f>IFERROR(IF(M252="","",IF(M252&lt;0.15,"SAFETY_STOP",IF(M252&lt;=N252,"VL_THRESHOLD",""))),"")</f>
        <v/>
      </c>
      <c r="Q252" s="7">
        <f>IFERROR(IF(I252="","",IF(I252&gt;(0.75+0.05),"+5kg",IF(I252&gt;(0.75+0.02),"+2.5kg",IF(I252&gt;=(0.75-0.05),"保持",IF(I252&gt;=(0.75-0.08),"-2.5kg","-5kg"))))),"")</f>
        <v/>
      </c>
      <c r="R252" s="9" t="n"/>
    </row>
    <row r="253">
      <c r="A253" s="7" t="n">
        <v>5</v>
      </c>
      <c r="B253" s="9" t="n"/>
      <c r="C253" s="9" t="n"/>
      <c r="D253" s="9" t="n"/>
      <c r="E253" s="9" t="n"/>
      <c r="F253" s="9" t="n"/>
      <c r="G253" s="9" t="n"/>
      <c r="H253" s="9" t="n"/>
      <c r="I253" s="7">
        <f>IFERROR(MAX(C253:H253),"")</f>
        <v/>
      </c>
      <c r="J253" s="7">
        <f>IFERROR(MATCH(I253,C253:H253,0),"")</f>
        <v/>
      </c>
      <c r="K253" s="7" t="n">
        <v>12</v>
      </c>
      <c r="L253" s="7">
        <f>IFERROR(I253*(1-(K253/100)),"")</f>
        <v/>
      </c>
      <c r="M253" s="7">
        <f>IFERROR(LOOKUP(9.99E+307,C253:H253),"")</f>
        <v/>
      </c>
      <c r="N253" s="7">
        <f>IFERROR(IF(M253="","",IF(M253&lt;=N253,"停组🛑","继续✓")),"")</f>
        <v/>
      </c>
      <c r="O253" s="7">
        <f>IFERROR(IF(M253="","",IF(M253&lt;0.15,"SAFETY_STOP","")),"")</f>
        <v/>
      </c>
      <c r="P253" s="7">
        <f>IFERROR(IF(M253="","",IF(M253&lt;0.15,"SAFETY_STOP",IF(M253&lt;=N253,"VL_THRESHOLD",""))),"")</f>
        <v/>
      </c>
      <c r="Q253" s="7">
        <f>IFERROR(IF(I253="","",IF(I253&gt;(0.75+0.05),"+5kg",IF(I253&gt;(0.75+0.02),"+2.5kg",IF(I253&gt;=(0.75-0.05),"保持",IF(I253&gt;=(0.75-0.08),"-2.5kg","-5kg"))))),"")</f>
        <v/>
      </c>
      <c r="R253" s="9" t="n"/>
    </row>
    <row r="254">
      <c r="A254" s="7" t="n">
        <v>6</v>
      </c>
      <c r="B254" s="9" t="n"/>
      <c r="C254" s="9" t="n"/>
      <c r="D254" s="9" t="n"/>
      <c r="E254" s="9" t="n"/>
      <c r="F254" s="9" t="n"/>
      <c r="G254" s="9" t="n"/>
      <c r="H254" s="9" t="n"/>
      <c r="I254" s="7">
        <f>IFERROR(MAX(C254:H254),"")</f>
        <v/>
      </c>
      <c r="J254" s="7">
        <f>IFERROR(MATCH(I254,C254:H254,0),"")</f>
        <v/>
      </c>
      <c r="K254" s="7" t="n">
        <v>12</v>
      </c>
      <c r="L254" s="7">
        <f>IFERROR(I254*(1-(K254/100)),"")</f>
        <v/>
      </c>
      <c r="M254" s="7">
        <f>IFERROR(LOOKUP(9.99E+307,C254:H254),"")</f>
        <v/>
      </c>
      <c r="N254" s="7">
        <f>IFERROR(IF(M254="","",IF(M254&lt;=N254,"停组🛑","继续✓")),"")</f>
        <v/>
      </c>
      <c r="O254" s="7">
        <f>IFERROR(IF(M254="","",IF(M254&lt;0.15,"SAFETY_STOP","")),"")</f>
        <v/>
      </c>
      <c r="P254" s="7">
        <f>IFERROR(IF(M254="","",IF(M254&lt;0.15,"SAFETY_STOP",IF(M254&lt;=N254,"VL_THRESHOLD",""))),"")</f>
        <v/>
      </c>
      <c r="Q254" s="7">
        <f>IFERROR(IF(I254="","",IF(I254&gt;(0.75+0.05),"+5kg",IF(I254&gt;(0.75+0.02),"+2.5kg",IF(I254&gt;=(0.75-0.05),"保持",IF(I254&gt;=(0.75-0.08),"-2.5kg","-5kg"))))),"")</f>
        <v/>
      </c>
      <c r="R254" s="9" t="n"/>
    </row>
    <row r="255">
      <c r="A255" s="13" t="inlineStr">
        <is>
          <t>辅助</t>
        </is>
      </c>
      <c r="D255" s="14" t="inlineStr">
        <is>
          <t>保加利亚单腿蹲</t>
        </is>
      </c>
      <c r="E255" s="14" t="inlineStr">
        <is>
          <t>负荷</t>
        </is>
      </c>
      <c r="F255" s="14" t="inlineStr">
        <is>
          <t>完成</t>
        </is>
      </c>
      <c r="I255" t="inlineStr">
        <is>
          <t>VL</t>
        </is>
      </c>
    </row>
    <row r="256">
      <c r="A256" s="15" t="inlineStr">
        <is>
          <t>训练后</t>
        </is>
      </c>
      <c r="B256" s="15" t="inlineStr">
        <is>
          <t>开始</t>
        </is>
      </c>
      <c r="C256" s="15" t="inlineStr">
        <is>
          <t>结束</t>
        </is>
      </c>
      <c r="D256" s="15" t="inlineStr">
        <is>
          <t>时长min</t>
        </is>
      </c>
      <c r="E256" s="15" t="inlineStr">
        <is>
          <t>sRPE</t>
        </is>
      </c>
      <c r="F256" s="15" t="inlineStr">
        <is>
          <t>load</t>
        </is>
      </c>
      <c r="G256" s="15" t="inlineStr">
        <is>
          <t>不适?</t>
        </is>
      </c>
      <c r="H256" s="15" t="inlineStr">
        <is>
          <t>备注</t>
        </is>
      </c>
      <c r="I256" s="15" t="inlineStr">
        <is>
          <t>签名</t>
        </is>
      </c>
    </row>
    <row r="257">
      <c r="A257" s="7" t="n"/>
      <c r="B257" s="9" t="n"/>
      <c r="C257" s="9" t="n"/>
      <c r="D257" s="11">
        <f>IFERROR((C257-B257)*1440,"")</f>
        <v/>
      </c>
      <c r="E257" s="9" t="n"/>
      <c r="F257" s="11">
        <f>IFERROR(E257*D257,"")</f>
        <v/>
      </c>
      <c r="G257" s="9" t="n"/>
      <c r="H257" s="9" t="n"/>
      <c r="I257" s="9" t="n"/>
    </row>
    <row r="258">
      <c r="A258" s="16" t="inlineStr">
        <is>
          <t>跳跃</t>
        </is>
      </c>
      <c r="B258" s="16" t="inlineStr">
        <is>
          <t>类型</t>
        </is>
      </c>
      <c r="C258" s="16" t="inlineStr">
        <is>
          <t>组×次</t>
        </is>
      </c>
      <c r="D258" s="16" t="inlineStr">
        <is>
          <t>负荷kg</t>
        </is>
      </c>
      <c r="E258" s="16" t="inlineStr">
        <is>
          <t>接触</t>
        </is>
      </c>
    </row>
    <row r="259">
      <c r="B259" t="inlineStr">
        <is>
          <t>SJ</t>
        </is>
      </c>
      <c r="C259" t="inlineStr">
        <is>
          <t>3×3</t>
        </is>
      </c>
      <c r="D259" t="n">
        <v>0</v>
      </c>
      <c r="E259" t="n">
        <v>9</v>
      </c>
    </row>
    <row r="260">
      <c r="B260" t="inlineStr">
        <is>
          <t>负重跳</t>
        </is>
      </c>
      <c r="C260" t="inlineStr">
        <is>
          <t>3×4</t>
        </is>
      </c>
      <c r="D260" s="14" t="n"/>
      <c r="E260" s="14" t="n"/>
    </row>
    <row r="261">
      <c r="A261" s="17" t="inlineStr">
        <is>
          <t>▶ 暴露量汇总</t>
        </is>
      </c>
      <c r="B261" s="17" t="inlineStr">
        <is>
          <t>说明</t>
        </is>
      </c>
      <c r="C261" s="17" t="inlineStr">
        <is>
          <t>公式/来源</t>
        </is>
      </c>
      <c r="D261" s="17" t="inlineStr">
        <is>
          <t>数值</t>
        </is>
      </c>
    </row>
    <row r="262">
      <c r="A262" s="18" t="inlineStr">
        <is>
          <t>① 无负荷跳跃接触</t>
        </is>
      </c>
      <c r="B262" s="18" t="inlineStr">
        <is>
          <t>CMJ+SJ+箱跳</t>
        </is>
      </c>
      <c r="C262" s="19">
        <f>IFERROR(E259+E260,2)</f>
        <v/>
      </c>
    </row>
    <row r="263">
      <c r="A263" s="18" t="inlineStr">
        <is>
          <t>② 负重跳跃接触</t>
        </is>
      </c>
      <c r="B263" s="18" t="inlineStr">
        <is>
          <t>负重深蹲跳</t>
        </is>
      </c>
      <c r="C263" s="19">
        <f>IFERROR(E260,"")</f>
        <v/>
      </c>
    </row>
    <row r="264">
      <c r="A264" s="18" t="inlineStr">
        <is>
          <t>③ 跳跃总计</t>
        </is>
      </c>
      <c r="B264" s="18" t="inlineStr">
        <is>
          <t>①+②</t>
        </is>
      </c>
      <c r="C264" s="19">
        <f>IFERROR(B262+B263,"")</f>
        <v/>
      </c>
    </row>
    <row r="265">
      <c r="A265" s="18" t="inlineStr">
        <is>
          <t>④ 热身VL</t>
        </is>
      </c>
      <c r="B265" s="18" t="inlineStr">
        <is>
          <t>20×5+50%×3(+70%×2)</t>
        </is>
      </c>
      <c r="C265" s="19">
        <f>IFERROR(20*5+ROUND(V245*0.5,0)*3,"-")</f>
        <v/>
      </c>
    </row>
    <row r="266">
      <c r="A266" s="20" t="inlineStr">
        <is>
          <t>⑤ 主项工作组VL ★</t>
        </is>
      </c>
      <c r="B266" s="20" t="inlineStr">
        <is>
          <t>Σ(负荷×次数)</t>
        </is>
      </c>
      <c r="C266" s="21">
        <f>SUMPRODUCT($B$249:$B$254,$R$249:$R$254)</f>
        <v/>
      </c>
    </row>
    <row r="267">
      <c r="A267" s="18" t="inlineStr">
        <is>
          <t>⑥ 主项总VL</t>
        </is>
      </c>
      <c r="B267" s="18" t="inlineStr">
        <is>
          <t>④+⑤</t>
        </is>
      </c>
      <c r="C267" s="19">
        <f>IFERROR(D262+D263,"")</f>
        <v/>
      </c>
    </row>
    <row r="268">
      <c r="A268" s="18" t="inlineStr">
        <is>
          <t>⑦ 辅助VL</t>
        </is>
      </c>
      <c r="B268" s="18" t="inlineStr">
        <is>
          <t>RDL/保加利亚</t>
        </is>
      </c>
      <c r="C268" s="19">
        <f>IFERROR(I255,"")</f>
        <v/>
      </c>
    </row>
    <row r="269">
      <c r="A269" s="18" t="inlineStr">
        <is>
          <t>⑧ 总外部负荷</t>
        </is>
      </c>
      <c r="B269" s="18" t="inlineStr">
        <is>
          <t>⑥+⑦(+负重跳)</t>
        </is>
      </c>
      <c r="C269" s="19">
        <f>IFERROR(F262+G262,"")</f>
        <v/>
      </c>
    </row>
    <row r="270">
      <c r="A270" s="18" t="inlineStr">
        <is>
          <t>⑨ sRPE load</t>
        </is>
      </c>
      <c r="B270" s="18" t="inlineStr">
        <is>
          <t>sRPE×时长</t>
        </is>
      </c>
      <c r="C270" s="19">
        <f>IFERROR(F257,"")</f>
        <v/>
      </c>
    </row>
    <row r="273">
      <c r="A273" s="5" t="inlineStr">
        <is>
          <t>P026 古翔宇  a=1.64 b=-0.00975 1RM=135</t>
        </is>
      </c>
    </row>
    <row r="274">
      <c r="A274" s="6" t="inlineStr">
        <is>
          <t>编号</t>
        </is>
      </c>
      <c r="B274" s="6" t="inlineStr">
        <is>
          <t>姓名</t>
        </is>
      </c>
      <c r="C274" s="6" t="inlineStr">
        <is>
          <t>身高</t>
        </is>
      </c>
      <c r="D274" s="6" t="inlineStr">
        <is>
          <t>1RM</t>
        </is>
      </c>
      <c r="E274" s="6" t="inlineStr">
        <is>
          <t>Hooper睡</t>
        </is>
      </c>
      <c r="F274" s="6" t="inlineStr">
        <is>
          <t>Hooper压</t>
        </is>
      </c>
      <c r="G274" s="6" t="inlineStr">
        <is>
          <t>Hooper疲</t>
        </is>
      </c>
      <c r="H274" s="6" t="inlineStr">
        <is>
          <t>Hooper酸</t>
        </is>
      </c>
      <c r="I274" s="6" t="inlineStr">
        <is>
          <t>H总</t>
        </is>
      </c>
      <c r="J274" s="6" t="inlineStr">
        <is>
          <t>不适?</t>
        </is>
      </c>
      <c r="K274" s="6" t="inlineStr">
        <is>
          <t>说明</t>
        </is>
      </c>
      <c r="L274" s="6" t="inlineStr">
        <is>
          <t>CMJ1</t>
        </is>
      </c>
      <c r="M274" s="6" t="inlineStr">
        <is>
          <t>CMJ2</t>
        </is>
      </c>
      <c r="N274" s="6" t="inlineStr">
        <is>
          <t>CMJ3</t>
        </is>
      </c>
      <c r="O274" s="6" t="inlineStr">
        <is>
          <t>CMJμ</t>
        </is>
      </c>
      <c r="P274" s="6" t="inlineStr">
        <is>
          <t>&lt;95%</t>
        </is>
      </c>
      <c r="Q274" s="6" t="inlineStr">
        <is>
          <t>减组</t>
        </is>
      </c>
      <c r="R274" s="6" t="inlineStr">
        <is>
          <t>组数</t>
        </is>
      </c>
      <c r="S274" s="6" t="inlineStr">
        <is>
          <t>a(V0)</t>
        </is>
      </c>
      <c r="T274" s="6" t="inlineStr">
        <is>
          <t>b</t>
        </is>
      </c>
      <c r="U274" s="6" t="inlineStr">
        <is>
          <t>等级</t>
        </is>
      </c>
      <c r="V274" s="6" t="inlineStr">
        <is>
          <t>预测起始</t>
        </is>
      </c>
    </row>
    <row r="275">
      <c r="A275" s="7" t="inlineStr">
        <is>
          <t>P026</t>
        </is>
      </c>
      <c r="B275" s="7" t="inlineStr">
        <is>
          <t>古翔宇</t>
        </is>
      </c>
      <c r="C275" s="7" t="n">
        <v>180</v>
      </c>
      <c r="D275" s="8" t="n">
        <v>135</v>
      </c>
      <c r="E275" s="9" t="n"/>
      <c r="F275" s="9" t="n"/>
      <c r="G275" s="9" t="n"/>
      <c r="H275" s="9" t="n"/>
      <c r="I275" s="7">
        <f>IFERROR(SUM(E275:H275),"")</f>
        <v/>
      </c>
      <c r="J275" s="9" t="n"/>
      <c r="K275" s="9" t="n"/>
      <c r="L275" s="9" t="n"/>
      <c r="M275" s="9" t="n"/>
      <c r="N275" s="9" t="n"/>
      <c r="O275" s="7">
        <f>IFERROR(AVERAGE(L275:N275),"")</f>
        <v/>
      </c>
      <c r="P275" s="7">
        <f>IF(O275="","",IF(O275&lt;45.51,"是⚠","否"))</f>
        <v/>
      </c>
      <c r="Q275" s="7">
        <f>IF(O275="","",IF(O275&lt;45.51,5-1,5))</f>
        <v/>
      </c>
      <c r="R275" s="7" t="n"/>
      <c r="S275" s="8" t="n">
        <v>1.64</v>
      </c>
      <c r="T275" s="8" t="n">
        <v>-0.00975</v>
      </c>
      <c r="U275" s="7" t="inlineStr">
        <is>
          <t>A</t>
        </is>
      </c>
      <c r="V275" s="8" t="n">
        <v>92.5</v>
      </c>
    </row>
    <row r="276">
      <c r="A276" s="10" t="inlineStr">
        <is>
          <t>热身校准</t>
        </is>
      </c>
      <c r="B276" s="10" t="inlineStr">
        <is>
          <t>a</t>
        </is>
      </c>
      <c r="C276" s="10" t="inlineStr">
        <is>
          <t>b</t>
        </is>
      </c>
      <c r="D276" s="10" t="inlineStr">
        <is>
          <t>50%热身</t>
        </is>
      </c>
      <c r="E276" s="10" t="inlineStr">
        <is>
          <t>70%热身</t>
        </is>
      </c>
      <c r="F276" s="10" t="inlineStr">
        <is>
          <t>热身负荷</t>
        </is>
      </c>
      <c r="G276" s="10" t="inlineStr">
        <is>
          <t>实测MCV</t>
        </is>
      </c>
      <c r="H276" s="10" t="inlineStr">
        <is>
          <t>预测MCV</t>
        </is>
      </c>
      <c r="I276" s="10" t="inlineStr">
        <is>
          <t>Δv</t>
        </is>
      </c>
      <c r="J276" s="10" t="inlineStr">
        <is>
          <t>调整量</t>
        </is>
      </c>
      <c r="K276" s="10" t="inlineStr">
        <is>
          <t>校准第1组</t>
        </is>
      </c>
    </row>
    <row r="277">
      <c r="A277" s="7" t="n"/>
      <c r="B277" s="11" t="n">
        <v>1.64</v>
      </c>
      <c r="C277" s="11" t="n">
        <v>-0.00975</v>
      </c>
      <c r="D277" s="11">
        <f>IFERROR(ROUND(V275*0.5/2.5,0)*2.5,"")</f>
        <v/>
      </c>
      <c r="E277" s="11" t="inlineStr"/>
      <c r="F277" s="11">
        <f>IFERROR(ROUND(V275*0.5/2.5,0)*2.5,"")</f>
        <v/>
      </c>
      <c r="G277" s="9" t="n"/>
      <c r="H277" s="11">
        <f>IFERROR(B277+C277*F277,"")</f>
        <v/>
      </c>
      <c r="I277" s="11">
        <f>IFERROR(G277-H277,"")</f>
        <v/>
      </c>
      <c r="J277" s="11">
        <f>IFERROR(IF(I277&gt;0.08,5,IF(I277&gt;0.04,2.5,IF(I277&gt;=-0.04,0,IF(I277&gt;=-0.08,-2.5,-5)))),"")</f>
        <v/>
      </c>
      <c r="K277" s="11">
        <f>IFERROR(ROUND(V275+J277,0),"")</f>
        <v/>
      </c>
    </row>
    <row r="278">
      <c r="A278" s="12" t="inlineStr">
        <is>
          <t>组</t>
        </is>
      </c>
      <c r="B278" s="12" t="inlineStr">
        <is>
          <t>负荷</t>
        </is>
      </c>
      <c r="C278" s="12" t="inlineStr">
        <is>
          <t>rep1</t>
        </is>
      </c>
      <c r="D278" s="12" t="inlineStr">
        <is>
          <t>rep2</t>
        </is>
      </c>
      <c r="E278" s="12" t="inlineStr">
        <is>
          <t>rep3</t>
        </is>
      </c>
      <c r="F278" s="12" t="inlineStr">
        <is>
          <t>rep4</t>
        </is>
      </c>
      <c r="G278" s="12" t="inlineStr">
        <is>
          <t>rep5</t>
        </is>
      </c>
      <c r="H278" s="12" t="inlineStr">
        <is>
          <t>rep6</t>
        </is>
      </c>
      <c r="I278" s="12" t="inlineStr">
        <is>
          <t>best</t>
        </is>
      </c>
      <c r="J278" s="12" t="inlineStr">
        <is>
          <t>best#</t>
        </is>
      </c>
      <c r="K278" s="12" t="inlineStr">
        <is>
          <t>VL%</t>
        </is>
      </c>
      <c r="L278" s="12" t="inlineStr">
        <is>
          <t>stop_th</t>
        </is>
      </c>
      <c r="M278" s="12" t="inlineStr">
        <is>
          <t>latest</t>
        </is>
      </c>
      <c r="N278" s="12" t="inlineStr">
        <is>
          <t>VL_flag</t>
        </is>
      </c>
      <c r="O278" s="12" t="inlineStr">
        <is>
          <t>safety</t>
        </is>
      </c>
      <c r="P278" s="12" t="inlineStr">
        <is>
          <t>原因</t>
        </is>
      </c>
      <c r="Q278" s="12" t="inlineStr">
        <is>
          <t>建议</t>
        </is>
      </c>
      <c r="R278" s="12" t="inlineStr">
        <is>
          <t>次数</t>
        </is>
      </c>
    </row>
    <row r="279">
      <c r="A279" s="7" t="n">
        <v>1</v>
      </c>
      <c r="B279" s="9">
        <f>IFERROR(K277,"")</f>
        <v/>
      </c>
      <c r="C279" s="9" t="n"/>
      <c r="D279" s="9" t="n"/>
      <c r="E279" s="9" t="n"/>
      <c r="F279" s="9" t="n"/>
      <c r="G279" s="9" t="n"/>
      <c r="H279" s="9" t="n"/>
      <c r="I279" s="7">
        <f>IFERROR(MAX(C279:H279),"")</f>
        <v/>
      </c>
      <c r="J279" s="7">
        <f>IFERROR(MATCH(I279,C279:H279,0),"")</f>
        <v/>
      </c>
      <c r="K279" s="7" t="n">
        <v>12</v>
      </c>
      <c r="L279" s="7">
        <f>IFERROR(I279*(1-(K279/100)),"")</f>
        <v/>
      </c>
      <c r="M279" s="7">
        <f>IFERROR(LOOKUP(9.99E+307,C279:H279),"")</f>
        <v/>
      </c>
      <c r="N279" s="7">
        <f>IFERROR(IF(M279="","",IF(M279&lt;=N279,"停组🛑","继续✓")),"")</f>
        <v/>
      </c>
      <c r="O279" s="7">
        <f>IFERROR(IF(M279="","",IF(M279&lt;0.15,"SAFETY_STOP","")),"")</f>
        <v/>
      </c>
      <c r="P279" s="7">
        <f>IFERROR(IF(M279="","",IF(M279&lt;0.15,"SAFETY_STOP",IF(M279&lt;=N279,"VL_THRESHOLD",""))),"")</f>
        <v/>
      </c>
      <c r="Q279" s="7">
        <f>IFERROR(IF(I279="","",IF(I279&gt;(0.75+0.05),"+5kg",IF(I279&gt;(0.75+0.02),"+2.5kg",IF(I279&gt;=(0.75-0.05),"保持",IF(I279&gt;=(0.75-0.08),"-2.5kg","-5kg"))))),"")</f>
        <v/>
      </c>
      <c r="R279" s="9" t="n"/>
    </row>
    <row r="280">
      <c r="A280" s="7" t="n">
        <v>2</v>
      </c>
      <c r="B280" s="9" t="n"/>
      <c r="C280" s="9" t="n"/>
      <c r="D280" s="9" t="n"/>
      <c r="E280" s="9" t="n"/>
      <c r="F280" s="9" t="n"/>
      <c r="G280" s="9" t="n"/>
      <c r="H280" s="9" t="n"/>
      <c r="I280" s="7">
        <f>IFERROR(MAX(C280:H280),"")</f>
        <v/>
      </c>
      <c r="J280" s="7">
        <f>IFERROR(MATCH(I280,C280:H280,0),"")</f>
        <v/>
      </c>
      <c r="K280" s="7" t="n">
        <v>12</v>
      </c>
      <c r="L280" s="7">
        <f>IFERROR(I280*(1-(K280/100)),"")</f>
        <v/>
      </c>
      <c r="M280" s="7">
        <f>IFERROR(LOOKUP(9.99E+307,C280:H280),"")</f>
        <v/>
      </c>
      <c r="N280" s="7">
        <f>IFERROR(IF(M280="","",IF(M280&lt;=N280,"停组🛑","继续✓")),"")</f>
        <v/>
      </c>
      <c r="O280" s="7">
        <f>IFERROR(IF(M280="","",IF(M280&lt;0.15,"SAFETY_STOP","")),"")</f>
        <v/>
      </c>
      <c r="P280" s="7">
        <f>IFERROR(IF(M280="","",IF(M280&lt;0.15,"SAFETY_STOP",IF(M280&lt;=N280,"VL_THRESHOLD",""))),"")</f>
        <v/>
      </c>
      <c r="Q280" s="7">
        <f>IFERROR(IF(I280="","",IF(I280&gt;(0.75+0.05),"+5kg",IF(I280&gt;(0.75+0.02),"+2.5kg",IF(I280&gt;=(0.75-0.05),"保持",IF(I280&gt;=(0.75-0.08),"-2.5kg","-5kg"))))),"")</f>
        <v/>
      </c>
      <c r="R280" s="9" t="n"/>
    </row>
    <row r="281">
      <c r="A281" s="7" t="n">
        <v>3</v>
      </c>
      <c r="B281" s="9" t="n"/>
      <c r="C281" s="9" t="n"/>
      <c r="D281" s="9" t="n"/>
      <c r="E281" s="9" t="n"/>
      <c r="F281" s="9" t="n"/>
      <c r="G281" s="9" t="n"/>
      <c r="H281" s="9" t="n"/>
      <c r="I281" s="7">
        <f>IFERROR(MAX(C281:H281),"")</f>
        <v/>
      </c>
      <c r="J281" s="7">
        <f>IFERROR(MATCH(I281,C281:H281,0),"")</f>
        <v/>
      </c>
      <c r="K281" s="7" t="n">
        <v>12</v>
      </c>
      <c r="L281" s="7">
        <f>IFERROR(I281*(1-(K281/100)),"")</f>
        <v/>
      </c>
      <c r="M281" s="7">
        <f>IFERROR(LOOKUP(9.99E+307,C281:H281),"")</f>
        <v/>
      </c>
      <c r="N281" s="7">
        <f>IFERROR(IF(M281="","",IF(M281&lt;=N281,"停组🛑","继续✓")),"")</f>
        <v/>
      </c>
      <c r="O281" s="7">
        <f>IFERROR(IF(M281="","",IF(M281&lt;0.15,"SAFETY_STOP","")),"")</f>
        <v/>
      </c>
      <c r="P281" s="7">
        <f>IFERROR(IF(M281="","",IF(M281&lt;0.15,"SAFETY_STOP",IF(M281&lt;=N281,"VL_THRESHOLD",""))),"")</f>
        <v/>
      </c>
      <c r="Q281" s="7">
        <f>IFERROR(IF(I281="","",IF(I281&gt;(0.75+0.05),"+5kg",IF(I281&gt;(0.75+0.02),"+2.5kg",IF(I281&gt;=(0.75-0.05),"保持",IF(I281&gt;=(0.75-0.08),"-2.5kg","-5kg"))))),"")</f>
        <v/>
      </c>
      <c r="R281" s="9" t="n"/>
    </row>
    <row r="282">
      <c r="A282" s="7" t="n">
        <v>4</v>
      </c>
      <c r="B282" s="9" t="n"/>
      <c r="C282" s="9" t="n"/>
      <c r="D282" s="9" t="n"/>
      <c r="E282" s="9" t="n"/>
      <c r="F282" s="9" t="n"/>
      <c r="G282" s="9" t="n"/>
      <c r="H282" s="9" t="n"/>
      <c r="I282" s="7">
        <f>IFERROR(MAX(C282:H282),"")</f>
        <v/>
      </c>
      <c r="J282" s="7">
        <f>IFERROR(MATCH(I282,C282:H282,0),"")</f>
        <v/>
      </c>
      <c r="K282" s="7" t="n">
        <v>12</v>
      </c>
      <c r="L282" s="7">
        <f>IFERROR(I282*(1-(K282/100)),"")</f>
        <v/>
      </c>
      <c r="M282" s="7">
        <f>IFERROR(LOOKUP(9.99E+307,C282:H282),"")</f>
        <v/>
      </c>
      <c r="N282" s="7">
        <f>IFERROR(IF(M282="","",IF(M282&lt;=N282,"停组🛑","继续✓")),"")</f>
        <v/>
      </c>
      <c r="O282" s="7">
        <f>IFERROR(IF(M282="","",IF(M282&lt;0.15,"SAFETY_STOP","")),"")</f>
        <v/>
      </c>
      <c r="P282" s="7">
        <f>IFERROR(IF(M282="","",IF(M282&lt;0.15,"SAFETY_STOP",IF(M282&lt;=N282,"VL_THRESHOLD",""))),"")</f>
        <v/>
      </c>
      <c r="Q282" s="7">
        <f>IFERROR(IF(I282="","",IF(I282&gt;(0.75+0.05),"+5kg",IF(I282&gt;(0.75+0.02),"+2.5kg",IF(I282&gt;=(0.75-0.05),"保持",IF(I282&gt;=(0.75-0.08),"-2.5kg","-5kg"))))),"")</f>
        <v/>
      </c>
      <c r="R282" s="9" t="n"/>
    </row>
    <row r="283">
      <c r="A283" s="7" t="n">
        <v>5</v>
      </c>
      <c r="B283" s="9" t="n"/>
      <c r="C283" s="9" t="n"/>
      <c r="D283" s="9" t="n"/>
      <c r="E283" s="9" t="n"/>
      <c r="F283" s="9" t="n"/>
      <c r="G283" s="9" t="n"/>
      <c r="H283" s="9" t="n"/>
      <c r="I283" s="7">
        <f>IFERROR(MAX(C283:H283),"")</f>
        <v/>
      </c>
      <c r="J283" s="7">
        <f>IFERROR(MATCH(I283,C283:H283,0),"")</f>
        <v/>
      </c>
      <c r="K283" s="7" t="n">
        <v>12</v>
      </c>
      <c r="L283" s="7">
        <f>IFERROR(I283*(1-(K283/100)),"")</f>
        <v/>
      </c>
      <c r="M283" s="7">
        <f>IFERROR(LOOKUP(9.99E+307,C283:H283),"")</f>
        <v/>
      </c>
      <c r="N283" s="7">
        <f>IFERROR(IF(M283="","",IF(M283&lt;=N283,"停组🛑","继续✓")),"")</f>
        <v/>
      </c>
      <c r="O283" s="7">
        <f>IFERROR(IF(M283="","",IF(M283&lt;0.15,"SAFETY_STOP","")),"")</f>
        <v/>
      </c>
      <c r="P283" s="7">
        <f>IFERROR(IF(M283="","",IF(M283&lt;0.15,"SAFETY_STOP",IF(M283&lt;=N283,"VL_THRESHOLD",""))),"")</f>
        <v/>
      </c>
      <c r="Q283" s="7">
        <f>IFERROR(IF(I283="","",IF(I283&gt;(0.75+0.05),"+5kg",IF(I283&gt;(0.75+0.02),"+2.5kg",IF(I283&gt;=(0.75-0.05),"保持",IF(I283&gt;=(0.75-0.08),"-2.5kg","-5kg"))))),"")</f>
        <v/>
      </c>
      <c r="R283" s="9" t="n"/>
    </row>
    <row r="284">
      <c r="A284" s="7" t="n">
        <v>6</v>
      </c>
      <c r="B284" s="9" t="n"/>
      <c r="C284" s="9" t="n"/>
      <c r="D284" s="9" t="n"/>
      <c r="E284" s="9" t="n"/>
      <c r="F284" s="9" t="n"/>
      <c r="G284" s="9" t="n"/>
      <c r="H284" s="9" t="n"/>
      <c r="I284" s="7">
        <f>IFERROR(MAX(C284:H284),"")</f>
        <v/>
      </c>
      <c r="J284" s="7">
        <f>IFERROR(MATCH(I284,C284:H284,0),"")</f>
        <v/>
      </c>
      <c r="K284" s="7" t="n">
        <v>12</v>
      </c>
      <c r="L284" s="7">
        <f>IFERROR(I284*(1-(K284/100)),"")</f>
        <v/>
      </c>
      <c r="M284" s="7">
        <f>IFERROR(LOOKUP(9.99E+307,C284:H284),"")</f>
        <v/>
      </c>
      <c r="N284" s="7">
        <f>IFERROR(IF(M284="","",IF(M284&lt;=N284,"停组🛑","继续✓")),"")</f>
        <v/>
      </c>
      <c r="O284" s="7">
        <f>IFERROR(IF(M284="","",IF(M284&lt;0.15,"SAFETY_STOP","")),"")</f>
        <v/>
      </c>
      <c r="P284" s="7">
        <f>IFERROR(IF(M284="","",IF(M284&lt;0.15,"SAFETY_STOP",IF(M284&lt;=N284,"VL_THRESHOLD",""))),"")</f>
        <v/>
      </c>
      <c r="Q284" s="7">
        <f>IFERROR(IF(I284="","",IF(I284&gt;(0.75+0.05),"+5kg",IF(I284&gt;(0.75+0.02),"+2.5kg",IF(I284&gt;=(0.75-0.05),"保持",IF(I284&gt;=(0.75-0.08),"-2.5kg","-5kg"))))),"")</f>
        <v/>
      </c>
      <c r="R284" s="9" t="n"/>
    </row>
    <row r="285">
      <c r="A285" s="13" t="inlineStr">
        <is>
          <t>辅助</t>
        </is>
      </c>
      <c r="D285" s="14" t="inlineStr">
        <is>
          <t>保加利亚单腿蹲</t>
        </is>
      </c>
      <c r="E285" s="14" t="inlineStr">
        <is>
          <t>负荷</t>
        </is>
      </c>
      <c r="F285" s="14" t="inlineStr">
        <is>
          <t>完成</t>
        </is>
      </c>
      <c r="I285" t="inlineStr">
        <is>
          <t>VL</t>
        </is>
      </c>
    </row>
    <row r="286">
      <c r="A286" s="15" t="inlineStr">
        <is>
          <t>训练后</t>
        </is>
      </c>
      <c r="B286" s="15" t="inlineStr">
        <is>
          <t>开始</t>
        </is>
      </c>
      <c r="C286" s="15" t="inlineStr">
        <is>
          <t>结束</t>
        </is>
      </c>
      <c r="D286" s="15" t="inlineStr">
        <is>
          <t>时长min</t>
        </is>
      </c>
      <c r="E286" s="15" t="inlineStr">
        <is>
          <t>sRPE</t>
        </is>
      </c>
      <c r="F286" s="15" t="inlineStr">
        <is>
          <t>load</t>
        </is>
      </c>
      <c r="G286" s="15" t="inlineStr">
        <is>
          <t>不适?</t>
        </is>
      </c>
      <c r="H286" s="15" t="inlineStr">
        <is>
          <t>备注</t>
        </is>
      </c>
      <c r="I286" s="15" t="inlineStr">
        <is>
          <t>签名</t>
        </is>
      </c>
    </row>
    <row r="287">
      <c r="A287" s="7" t="n"/>
      <c r="B287" s="9" t="n"/>
      <c r="C287" s="9" t="n"/>
      <c r="D287" s="11">
        <f>IFERROR((C287-B287)*1440,"")</f>
        <v/>
      </c>
      <c r="E287" s="9" t="n"/>
      <c r="F287" s="11">
        <f>IFERROR(E287*D287,"")</f>
        <v/>
      </c>
      <c r="G287" s="9" t="n"/>
      <c r="H287" s="9" t="n"/>
      <c r="I287" s="9" t="n"/>
    </row>
    <row r="288">
      <c r="A288" s="16" t="inlineStr">
        <is>
          <t>跳跃</t>
        </is>
      </c>
      <c r="B288" s="16" t="inlineStr">
        <is>
          <t>类型</t>
        </is>
      </c>
      <c r="C288" s="16" t="inlineStr">
        <is>
          <t>组×次</t>
        </is>
      </c>
      <c r="D288" s="16" t="inlineStr">
        <is>
          <t>负荷kg</t>
        </is>
      </c>
      <c r="E288" s="16" t="inlineStr">
        <is>
          <t>接触</t>
        </is>
      </c>
    </row>
    <row r="289">
      <c r="B289" t="inlineStr">
        <is>
          <t>SJ</t>
        </is>
      </c>
      <c r="C289" t="inlineStr">
        <is>
          <t>3×3</t>
        </is>
      </c>
      <c r="D289" t="n">
        <v>0</v>
      </c>
      <c r="E289" t="n">
        <v>9</v>
      </c>
    </row>
    <row r="290">
      <c r="B290" t="inlineStr">
        <is>
          <t>负重跳</t>
        </is>
      </c>
      <c r="C290" t="inlineStr">
        <is>
          <t>3×4</t>
        </is>
      </c>
      <c r="D290" s="14" t="n"/>
      <c r="E290" s="14" t="n"/>
    </row>
    <row r="291">
      <c r="A291" s="17" t="inlineStr">
        <is>
          <t>▶ 暴露量汇总</t>
        </is>
      </c>
      <c r="B291" s="17" t="inlineStr">
        <is>
          <t>说明</t>
        </is>
      </c>
      <c r="C291" s="17" t="inlineStr">
        <is>
          <t>公式/来源</t>
        </is>
      </c>
      <c r="D291" s="17" t="inlineStr">
        <is>
          <t>数值</t>
        </is>
      </c>
    </row>
    <row r="292">
      <c r="A292" s="18" t="inlineStr">
        <is>
          <t>① 无负荷跳跃接触</t>
        </is>
      </c>
      <c r="B292" s="18" t="inlineStr">
        <is>
          <t>CMJ+SJ+箱跳</t>
        </is>
      </c>
      <c r="C292" s="19">
        <f>IFERROR(E289+E290,2)</f>
        <v/>
      </c>
    </row>
    <row r="293">
      <c r="A293" s="18" t="inlineStr">
        <is>
          <t>② 负重跳跃接触</t>
        </is>
      </c>
      <c r="B293" s="18" t="inlineStr">
        <is>
          <t>负重深蹲跳</t>
        </is>
      </c>
      <c r="C293" s="19">
        <f>IFERROR(E290,"")</f>
        <v/>
      </c>
    </row>
    <row r="294">
      <c r="A294" s="18" t="inlineStr">
        <is>
          <t>③ 跳跃总计</t>
        </is>
      </c>
      <c r="B294" s="18" t="inlineStr">
        <is>
          <t>①+②</t>
        </is>
      </c>
      <c r="C294" s="19">
        <f>IFERROR(B292+B293,"")</f>
        <v/>
      </c>
    </row>
    <row r="295">
      <c r="A295" s="18" t="inlineStr">
        <is>
          <t>④ 热身VL</t>
        </is>
      </c>
      <c r="B295" s="18" t="inlineStr">
        <is>
          <t>20×5+50%×3(+70%×2)</t>
        </is>
      </c>
      <c r="C295" s="19">
        <f>IFERROR(20*5+ROUND(V275*0.5,0)*3,"-")</f>
        <v/>
      </c>
    </row>
    <row r="296">
      <c r="A296" s="20" t="inlineStr">
        <is>
          <t>⑤ 主项工作组VL ★</t>
        </is>
      </c>
      <c r="B296" s="20" t="inlineStr">
        <is>
          <t>Σ(负荷×次数)</t>
        </is>
      </c>
      <c r="C296" s="21">
        <f>SUMPRODUCT($B$279:$B$284,$R$279:$R$284)</f>
        <v/>
      </c>
    </row>
    <row r="297">
      <c r="A297" s="18" t="inlineStr">
        <is>
          <t>⑥ 主项总VL</t>
        </is>
      </c>
      <c r="B297" s="18" t="inlineStr">
        <is>
          <t>④+⑤</t>
        </is>
      </c>
      <c r="C297" s="19">
        <f>IFERROR(D292+D293,"")</f>
        <v/>
      </c>
    </row>
    <row r="298">
      <c r="A298" s="18" t="inlineStr">
        <is>
          <t>⑦ 辅助VL</t>
        </is>
      </c>
      <c r="B298" s="18" t="inlineStr">
        <is>
          <t>RDL/保加利亚</t>
        </is>
      </c>
      <c r="C298" s="19">
        <f>IFERROR(I285,"")</f>
        <v/>
      </c>
    </row>
    <row r="299">
      <c r="A299" s="18" t="inlineStr">
        <is>
          <t>⑧ 总外部负荷</t>
        </is>
      </c>
      <c r="B299" s="18" t="inlineStr">
        <is>
          <t>⑥+⑦(+负重跳)</t>
        </is>
      </c>
      <c r="C299" s="19">
        <f>IFERROR(F292+G292,"")</f>
        <v/>
      </c>
    </row>
    <row r="300">
      <c r="A300" s="18" t="inlineStr">
        <is>
          <t>⑨ sRPE load</t>
        </is>
      </c>
      <c r="B300" s="18" t="inlineStr">
        <is>
          <t>sRPE×时长</t>
        </is>
      </c>
      <c r="C300" s="19">
        <f>IFERROR(F287,"")</f>
        <v/>
      </c>
    </row>
    <row r="303">
      <c r="A303" s="5" t="inlineStr">
        <is>
          <t>P010 张锦荣  a=1.26 b=-0.006 1RM=120</t>
        </is>
      </c>
    </row>
    <row r="304">
      <c r="A304" s="6" t="inlineStr">
        <is>
          <t>编号</t>
        </is>
      </c>
      <c r="B304" s="6" t="inlineStr">
        <is>
          <t>姓名</t>
        </is>
      </c>
      <c r="C304" s="6" t="inlineStr">
        <is>
          <t>身高</t>
        </is>
      </c>
      <c r="D304" s="6" t="inlineStr">
        <is>
          <t>1RM</t>
        </is>
      </c>
      <c r="E304" s="6" t="inlineStr">
        <is>
          <t>Hooper睡</t>
        </is>
      </c>
      <c r="F304" s="6" t="inlineStr">
        <is>
          <t>Hooper压</t>
        </is>
      </c>
      <c r="G304" s="6" t="inlineStr">
        <is>
          <t>Hooper疲</t>
        </is>
      </c>
      <c r="H304" s="6" t="inlineStr">
        <is>
          <t>Hooper酸</t>
        </is>
      </c>
      <c r="I304" s="6" t="inlineStr">
        <is>
          <t>H总</t>
        </is>
      </c>
      <c r="J304" s="6" t="inlineStr">
        <is>
          <t>不适?</t>
        </is>
      </c>
      <c r="K304" s="6" t="inlineStr">
        <is>
          <t>说明</t>
        </is>
      </c>
      <c r="L304" s="6" t="inlineStr">
        <is>
          <t>CMJ1</t>
        </is>
      </c>
      <c r="M304" s="6" t="inlineStr">
        <is>
          <t>CMJ2</t>
        </is>
      </c>
      <c r="N304" s="6" t="inlineStr">
        <is>
          <t>CMJ3</t>
        </is>
      </c>
      <c r="O304" s="6" t="inlineStr">
        <is>
          <t>CMJμ</t>
        </is>
      </c>
      <c r="P304" s="6" t="inlineStr">
        <is>
          <t>&lt;95%</t>
        </is>
      </c>
      <c r="Q304" s="6" t="inlineStr">
        <is>
          <t>减组</t>
        </is>
      </c>
      <c r="R304" s="6" t="inlineStr">
        <is>
          <t>组数</t>
        </is>
      </c>
      <c r="S304" s="6" t="inlineStr">
        <is>
          <t>a(V0)</t>
        </is>
      </c>
      <c r="T304" s="6" t="inlineStr">
        <is>
          <t>b</t>
        </is>
      </c>
      <c r="U304" s="6" t="inlineStr">
        <is>
          <t>等级</t>
        </is>
      </c>
      <c r="V304" s="6" t="inlineStr">
        <is>
          <t>预测起始</t>
        </is>
      </c>
    </row>
    <row r="305">
      <c r="A305" s="7" t="inlineStr">
        <is>
          <t>P010</t>
        </is>
      </c>
      <c r="B305" s="7" t="inlineStr">
        <is>
          <t>张锦荣</t>
        </is>
      </c>
      <c r="C305" s="7" t="n">
        <v>174</v>
      </c>
      <c r="D305" s="8" t="n">
        <v>120</v>
      </c>
      <c r="E305" s="9" t="n"/>
      <c r="F305" s="9" t="n"/>
      <c r="G305" s="9" t="n"/>
      <c r="H305" s="9" t="n"/>
      <c r="I305" s="7">
        <f>IFERROR(SUM(E305:H305),"")</f>
        <v/>
      </c>
      <c r="J305" s="9" t="n"/>
      <c r="K305" s="9" t="n"/>
      <c r="L305" s="9" t="n"/>
      <c r="M305" s="9" t="n"/>
      <c r="N305" s="9" t="n"/>
      <c r="O305" s="7">
        <f>IFERROR(AVERAGE(L305:N305),"")</f>
        <v/>
      </c>
      <c r="P305" s="7">
        <f>IF(O305="","",IF(O305&lt;50.42,"是⚠","否"))</f>
        <v/>
      </c>
      <c r="Q305" s="7">
        <f>IF(O305="","",IF(O305&lt;50.42,5-1,5))</f>
        <v/>
      </c>
      <c r="R305" s="7" t="n"/>
      <c r="S305" s="8" t="n">
        <v>1.26</v>
      </c>
      <c r="T305" s="8" t="n">
        <v>-0.006</v>
      </c>
      <c r="U305" s="7" t="inlineStr">
        <is>
          <t>B</t>
        </is>
      </c>
      <c r="V305" s="8" t="n">
        <v>85</v>
      </c>
    </row>
    <row r="306">
      <c r="A306" s="10" t="inlineStr">
        <is>
          <t>热身校准</t>
        </is>
      </c>
      <c r="B306" s="10" t="inlineStr">
        <is>
          <t>a</t>
        </is>
      </c>
      <c r="C306" s="10" t="inlineStr">
        <is>
          <t>b</t>
        </is>
      </c>
      <c r="D306" s="10" t="inlineStr">
        <is>
          <t>50%热身</t>
        </is>
      </c>
      <c r="E306" s="10" t="inlineStr">
        <is>
          <t>70%热身</t>
        </is>
      </c>
      <c r="F306" s="10" t="inlineStr">
        <is>
          <t>热身负荷</t>
        </is>
      </c>
      <c r="G306" s="10" t="inlineStr">
        <is>
          <t>实测MCV</t>
        </is>
      </c>
      <c r="H306" s="10" t="inlineStr">
        <is>
          <t>预测MCV</t>
        </is>
      </c>
      <c r="I306" s="10" t="inlineStr">
        <is>
          <t>Δv</t>
        </is>
      </c>
      <c r="J306" s="10" t="inlineStr">
        <is>
          <t>调整量</t>
        </is>
      </c>
      <c r="K306" s="10" t="inlineStr">
        <is>
          <t>校准第1组</t>
        </is>
      </c>
    </row>
    <row r="307">
      <c r="A307" s="7" t="n"/>
      <c r="B307" s="11" t="n">
        <v>1.26</v>
      </c>
      <c r="C307" s="11" t="n">
        <v>-0.006</v>
      </c>
      <c r="D307" s="11">
        <f>IFERROR(ROUND(V305*0.5/2.5,0)*2.5,"")</f>
        <v/>
      </c>
      <c r="E307" s="11" t="inlineStr"/>
      <c r="F307" s="11">
        <f>IFERROR(ROUND(V305*0.5/2.5,0)*2.5,"")</f>
        <v/>
      </c>
      <c r="G307" s="9" t="n"/>
      <c r="H307" s="11">
        <f>IFERROR(B307+C307*F307,"")</f>
        <v/>
      </c>
      <c r="I307" s="11">
        <f>IFERROR(G307-H307,"")</f>
        <v/>
      </c>
      <c r="J307" s="11">
        <f>IFERROR(IF(I307&gt;0.08,5,IF(I307&gt;0.04,2.5,IF(I307&gt;=-0.04,0,IF(I307&gt;=-0.08,-2.5,-5)))),"")</f>
        <v/>
      </c>
      <c r="K307" s="11">
        <f>IFERROR(ROUND(V305+J307,0),"")</f>
        <v/>
      </c>
    </row>
    <row r="308">
      <c r="A308" s="12" t="inlineStr">
        <is>
          <t>组</t>
        </is>
      </c>
      <c r="B308" s="12" t="inlineStr">
        <is>
          <t>负荷</t>
        </is>
      </c>
      <c r="C308" s="12" t="inlineStr">
        <is>
          <t>rep1</t>
        </is>
      </c>
      <c r="D308" s="12" t="inlineStr">
        <is>
          <t>rep2</t>
        </is>
      </c>
      <c r="E308" s="12" t="inlineStr">
        <is>
          <t>rep3</t>
        </is>
      </c>
      <c r="F308" s="12" t="inlineStr">
        <is>
          <t>rep4</t>
        </is>
      </c>
      <c r="G308" s="12" t="inlineStr">
        <is>
          <t>rep5</t>
        </is>
      </c>
      <c r="H308" s="12" t="inlineStr">
        <is>
          <t>rep6</t>
        </is>
      </c>
      <c r="I308" s="12" t="inlineStr">
        <is>
          <t>best</t>
        </is>
      </c>
      <c r="J308" s="12" t="inlineStr">
        <is>
          <t>best#</t>
        </is>
      </c>
      <c r="K308" s="12" t="inlineStr">
        <is>
          <t>VL%</t>
        </is>
      </c>
      <c r="L308" s="12" t="inlineStr">
        <is>
          <t>stop_th</t>
        </is>
      </c>
      <c r="M308" s="12" t="inlineStr">
        <is>
          <t>latest</t>
        </is>
      </c>
      <c r="N308" s="12" t="inlineStr">
        <is>
          <t>VL_flag</t>
        </is>
      </c>
      <c r="O308" s="12" t="inlineStr">
        <is>
          <t>safety</t>
        </is>
      </c>
      <c r="P308" s="12" t="inlineStr">
        <is>
          <t>原因</t>
        </is>
      </c>
      <c r="Q308" s="12" t="inlineStr">
        <is>
          <t>建议</t>
        </is>
      </c>
      <c r="R308" s="12" t="inlineStr">
        <is>
          <t>次数</t>
        </is>
      </c>
    </row>
    <row r="309">
      <c r="A309" s="7" t="n">
        <v>1</v>
      </c>
      <c r="B309" s="9">
        <f>IFERROR(K307,"")</f>
        <v/>
      </c>
      <c r="C309" s="9" t="n"/>
      <c r="D309" s="9" t="n"/>
      <c r="E309" s="9" t="n"/>
      <c r="F309" s="9" t="n"/>
      <c r="G309" s="9" t="n"/>
      <c r="H309" s="9" t="n"/>
      <c r="I309" s="7">
        <f>IFERROR(MAX(C309:H309),"")</f>
        <v/>
      </c>
      <c r="J309" s="7">
        <f>IFERROR(MATCH(I309,C309:H309,0),"")</f>
        <v/>
      </c>
      <c r="K309" s="7" t="n">
        <v>12</v>
      </c>
      <c r="L309" s="7">
        <f>IFERROR(I309*(1-(K309/100)),"")</f>
        <v/>
      </c>
      <c r="M309" s="7">
        <f>IFERROR(LOOKUP(9.99E+307,C309:H309),"")</f>
        <v/>
      </c>
      <c r="N309" s="7">
        <f>IFERROR(IF(M309="","",IF(M309&lt;=N309,"停组🛑","继续✓")),"")</f>
        <v/>
      </c>
      <c r="O309" s="7">
        <f>IFERROR(IF(M309="","",IF(M309&lt;0.15,"SAFETY_STOP","")),"")</f>
        <v/>
      </c>
      <c r="P309" s="7">
        <f>IFERROR(IF(M309="","",IF(M309&lt;0.15,"SAFETY_STOP",IF(M309&lt;=N309,"VL_THRESHOLD",""))),"")</f>
        <v/>
      </c>
      <c r="Q309" s="7">
        <f>IFERROR(IF(I309="","",IF(I309&gt;(0.75+0.05),"+5kg",IF(I309&gt;(0.75+0.02),"+2.5kg",IF(I309&gt;=(0.75-0.05),"保持",IF(I309&gt;=(0.75-0.08),"-2.5kg","-5kg"))))),"")</f>
        <v/>
      </c>
      <c r="R309" s="9" t="n"/>
    </row>
    <row r="310">
      <c r="A310" s="7" t="n">
        <v>2</v>
      </c>
      <c r="B310" s="9" t="n"/>
      <c r="C310" s="9" t="n"/>
      <c r="D310" s="9" t="n"/>
      <c r="E310" s="9" t="n"/>
      <c r="F310" s="9" t="n"/>
      <c r="G310" s="9" t="n"/>
      <c r="H310" s="9" t="n"/>
      <c r="I310" s="7">
        <f>IFERROR(MAX(C310:H310),"")</f>
        <v/>
      </c>
      <c r="J310" s="7">
        <f>IFERROR(MATCH(I310,C310:H310,0),"")</f>
        <v/>
      </c>
      <c r="K310" s="7" t="n">
        <v>12</v>
      </c>
      <c r="L310" s="7">
        <f>IFERROR(I310*(1-(K310/100)),"")</f>
        <v/>
      </c>
      <c r="M310" s="7">
        <f>IFERROR(LOOKUP(9.99E+307,C310:H310),"")</f>
        <v/>
      </c>
      <c r="N310" s="7">
        <f>IFERROR(IF(M310="","",IF(M310&lt;=N310,"停组🛑","继续✓")),"")</f>
        <v/>
      </c>
      <c r="O310" s="7">
        <f>IFERROR(IF(M310="","",IF(M310&lt;0.15,"SAFETY_STOP","")),"")</f>
        <v/>
      </c>
      <c r="P310" s="7">
        <f>IFERROR(IF(M310="","",IF(M310&lt;0.15,"SAFETY_STOP",IF(M310&lt;=N310,"VL_THRESHOLD",""))),"")</f>
        <v/>
      </c>
      <c r="Q310" s="7">
        <f>IFERROR(IF(I310="","",IF(I310&gt;(0.75+0.05),"+5kg",IF(I310&gt;(0.75+0.02),"+2.5kg",IF(I310&gt;=(0.75-0.05),"保持",IF(I310&gt;=(0.75-0.08),"-2.5kg","-5kg"))))),"")</f>
        <v/>
      </c>
      <c r="R310" s="9" t="n"/>
    </row>
    <row r="311">
      <c r="A311" s="7" t="n">
        <v>3</v>
      </c>
      <c r="B311" s="9" t="n"/>
      <c r="C311" s="9" t="n"/>
      <c r="D311" s="9" t="n"/>
      <c r="E311" s="9" t="n"/>
      <c r="F311" s="9" t="n"/>
      <c r="G311" s="9" t="n"/>
      <c r="H311" s="9" t="n"/>
      <c r="I311" s="7">
        <f>IFERROR(MAX(C311:H311),"")</f>
        <v/>
      </c>
      <c r="J311" s="7">
        <f>IFERROR(MATCH(I311,C311:H311,0),"")</f>
        <v/>
      </c>
      <c r="K311" s="7" t="n">
        <v>12</v>
      </c>
      <c r="L311" s="7">
        <f>IFERROR(I311*(1-(K311/100)),"")</f>
        <v/>
      </c>
      <c r="M311" s="7">
        <f>IFERROR(LOOKUP(9.99E+307,C311:H311),"")</f>
        <v/>
      </c>
      <c r="N311" s="7">
        <f>IFERROR(IF(M311="","",IF(M311&lt;=N311,"停组🛑","继续✓")),"")</f>
        <v/>
      </c>
      <c r="O311" s="7">
        <f>IFERROR(IF(M311="","",IF(M311&lt;0.15,"SAFETY_STOP","")),"")</f>
        <v/>
      </c>
      <c r="P311" s="7">
        <f>IFERROR(IF(M311="","",IF(M311&lt;0.15,"SAFETY_STOP",IF(M311&lt;=N311,"VL_THRESHOLD",""))),"")</f>
        <v/>
      </c>
      <c r="Q311" s="7">
        <f>IFERROR(IF(I311="","",IF(I311&gt;(0.75+0.05),"+5kg",IF(I311&gt;(0.75+0.02),"+2.5kg",IF(I311&gt;=(0.75-0.05),"保持",IF(I311&gt;=(0.75-0.08),"-2.5kg","-5kg"))))),"")</f>
        <v/>
      </c>
      <c r="R311" s="9" t="n"/>
    </row>
    <row r="312">
      <c r="A312" s="7" t="n">
        <v>4</v>
      </c>
      <c r="B312" s="9" t="n"/>
      <c r="C312" s="9" t="n"/>
      <c r="D312" s="9" t="n"/>
      <c r="E312" s="9" t="n"/>
      <c r="F312" s="9" t="n"/>
      <c r="G312" s="9" t="n"/>
      <c r="H312" s="9" t="n"/>
      <c r="I312" s="7">
        <f>IFERROR(MAX(C312:H312),"")</f>
        <v/>
      </c>
      <c r="J312" s="7">
        <f>IFERROR(MATCH(I312,C312:H312,0),"")</f>
        <v/>
      </c>
      <c r="K312" s="7" t="n">
        <v>12</v>
      </c>
      <c r="L312" s="7">
        <f>IFERROR(I312*(1-(K312/100)),"")</f>
        <v/>
      </c>
      <c r="M312" s="7">
        <f>IFERROR(LOOKUP(9.99E+307,C312:H312),"")</f>
        <v/>
      </c>
      <c r="N312" s="7">
        <f>IFERROR(IF(M312="","",IF(M312&lt;=N312,"停组🛑","继续✓")),"")</f>
        <v/>
      </c>
      <c r="O312" s="7">
        <f>IFERROR(IF(M312="","",IF(M312&lt;0.15,"SAFETY_STOP","")),"")</f>
        <v/>
      </c>
      <c r="P312" s="7">
        <f>IFERROR(IF(M312="","",IF(M312&lt;0.15,"SAFETY_STOP",IF(M312&lt;=N312,"VL_THRESHOLD",""))),"")</f>
        <v/>
      </c>
      <c r="Q312" s="7">
        <f>IFERROR(IF(I312="","",IF(I312&gt;(0.75+0.05),"+5kg",IF(I312&gt;(0.75+0.02),"+2.5kg",IF(I312&gt;=(0.75-0.05),"保持",IF(I312&gt;=(0.75-0.08),"-2.5kg","-5kg"))))),"")</f>
        <v/>
      </c>
      <c r="R312" s="9" t="n"/>
    </row>
    <row r="313">
      <c r="A313" s="7" t="n">
        <v>5</v>
      </c>
      <c r="B313" s="9" t="n"/>
      <c r="C313" s="9" t="n"/>
      <c r="D313" s="9" t="n"/>
      <c r="E313" s="9" t="n"/>
      <c r="F313" s="9" t="n"/>
      <c r="G313" s="9" t="n"/>
      <c r="H313" s="9" t="n"/>
      <c r="I313" s="7">
        <f>IFERROR(MAX(C313:H313),"")</f>
        <v/>
      </c>
      <c r="J313" s="7">
        <f>IFERROR(MATCH(I313,C313:H313,0),"")</f>
        <v/>
      </c>
      <c r="K313" s="7" t="n">
        <v>12</v>
      </c>
      <c r="L313" s="7">
        <f>IFERROR(I313*(1-(K313/100)),"")</f>
        <v/>
      </c>
      <c r="M313" s="7">
        <f>IFERROR(LOOKUP(9.99E+307,C313:H313),"")</f>
        <v/>
      </c>
      <c r="N313" s="7">
        <f>IFERROR(IF(M313="","",IF(M313&lt;=N313,"停组🛑","继续✓")),"")</f>
        <v/>
      </c>
      <c r="O313" s="7">
        <f>IFERROR(IF(M313="","",IF(M313&lt;0.15,"SAFETY_STOP","")),"")</f>
        <v/>
      </c>
      <c r="P313" s="7">
        <f>IFERROR(IF(M313="","",IF(M313&lt;0.15,"SAFETY_STOP",IF(M313&lt;=N313,"VL_THRESHOLD",""))),"")</f>
        <v/>
      </c>
      <c r="Q313" s="7">
        <f>IFERROR(IF(I313="","",IF(I313&gt;(0.75+0.05),"+5kg",IF(I313&gt;(0.75+0.02),"+2.5kg",IF(I313&gt;=(0.75-0.05),"保持",IF(I313&gt;=(0.75-0.08),"-2.5kg","-5kg"))))),"")</f>
        <v/>
      </c>
      <c r="R313" s="9" t="n"/>
    </row>
    <row r="314">
      <c r="A314" s="7" t="n">
        <v>6</v>
      </c>
      <c r="B314" s="9" t="n"/>
      <c r="C314" s="9" t="n"/>
      <c r="D314" s="9" t="n"/>
      <c r="E314" s="9" t="n"/>
      <c r="F314" s="9" t="n"/>
      <c r="G314" s="9" t="n"/>
      <c r="H314" s="9" t="n"/>
      <c r="I314" s="7">
        <f>IFERROR(MAX(C314:H314),"")</f>
        <v/>
      </c>
      <c r="J314" s="7">
        <f>IFERROR(MATCH(I314,C314:H314,0),"")</f>
        <v/>
      </c>
      <c r="K314" s="7" t="n">
        <v>12</v>
      </c>
      <c r="L314" s="7">
        <f>IFERROR(I314*(1-(K314/100)),"")</f>
        <v/>
      </c>
      <c r="M314" s="7">
        <f>IFERROR(LOOKUP(9.99E+307,C314:H314),"")</f>
        <v/>
      </c>
      <c r="N314" s="7">
        <f>IFERROR(IF(M314="","",IF(M314&lt;=N314,"停组🛑","继续✓")),"")</f>
        <v/>
      </c>
      <c r="O314" s="7">
        <f>IFERROR(IF(M314="","",IF(M314&lt;0.15,"SAFETY_STOP","")),"")</f>
        <v/>
      </c>
      <c r="P314" s="7">
        <f>IFERROR(IF(M314="","",IF(M314&lt;0.15,"SAFETY_STOP",IF(M314&lt;=N314,"VL_THRESHOLD",""))),"")</f>
        <v/>
      </c>
      <c r="Q314" s="7">
        <f>IFERROR(IF(I314="","",IF(I314&gt;(0.75+0.05),"+5kg",IF(I314&gt;(0.75+0.02),"+2.5kg",IF(I314&gt;=(0.75-0.05),"保持",IF(I314&gt;=(0.75-0.08),"-2.5kg","-5kg"))))),"")</f>
        <v/>
      </c>
      <c r="R314" s="9" t="n"/>
    </row>
    <row r="315">
      <c r="A315" s="13" t="inlineStr">
        <is>
          <t>辅助</t>
        </is>
      </c>
      <c r="D315" s="14" t="inlineStr">
        <is>
          <t>保加利亚单腿蹲</t>
        </is>
      </c>
      <c r="E315" s="14" t="inlineStr">
        <is>
          <t>负荷</t>
        </is>
      </c>
      <c r="F315" s="14" t="inlineStr">
        <is>
          <t>完成</t>
        </is>
      </c>
      <c r="I315" t="inlineStr">
        <is>
          <t>VL</t>
        </is>
      </c>
    </row>
    <row r="316">
      <c r="A316" s="15" t="inlineStr">
        <is>
          <t>训练后</t>
        </is>
      </c>
      <c r="B316" s="15" t="inlineStr">
        <is>
          <t>开始</t>
        </is>
      </c>
      <c r="C316" s="15" t="inlineStr">
        <is>
          <t>结束</t>
        </is>
      </c>
      <c r="D316" s="15" t="inlineStr">
        <is>
          <t>时长min</t>
        </is>
      </c>
      <c r="E316" s="15" t="inlineStr">
        <is>
          <t>sRPE</t>
        </is>
      </c>
      <c r="F316" s="15" t="inlineStr">
        <is>
          <t>load</t>
        </is>
      </c>
      <c r="G316" s="15" t="inlineStr">
        <is>
          <t>不适?</t>
        </is>
      </c>
      <c r="H316" s="15" t="inlineStr">
        <is>
          <t>备注</t>
        </is>
      </c>
      <c r="I316" s="15" t="inlineStr">
        <is>
          <t>签名</t>
        </is>
      </c>
    </row>
    <row r="317">
      <c r="A317" s="7" t="n"/>
      <c r="B317" s="9" t="n"/>
      <c r="C317" s="9" t="n"/>
      <c r="D317" s="11">
        <f>IFERROR((C317-B317)*1440,"")</f>
        <v/>
      </c>
      <c r="E317" s="9" t="n"/>
      <c r="F317" s="11">
        <f>IFERROR(E317*D317,"")</f>
        <v/>
      </c>
      <c r="G317" s="9" t="n"/>
      <c r="H317" s="9" t="n"/>
      <c r="I317" s="9" t="n"/>
    </row>
    <row r="318">
      <c r="A318" s="16" t="inlineStr">
        <is>
          <t>跳跃</t>
        </is>
      </c>
      <c r="B318" s="16" t="inlineStr">
        <is>
          <t>类型</t>
        </is>
      </c>
      <c r="C318" s="16" t="inlineStr">
        <is>
          <t>组×次</t>
        </is>
      </c>
      <c r="D318" s="16" t="inlineStr">
        <is>
          <t>负荷kg</t>
        </is>
      </c>
      <c r="E318" s="16" t="inlineStr">
        <is>
          <t>接触</t>
        </is>
      </c>
    </row>
    <row r="319">
      <c r="B319" t="inlineStr">
        <is>
          <t>SJ</t>
        </is>
      </c>
      <c r="C319" t="inlineStr">
        <is>
          <t>3×3</t>
        </is>
      </c>
      <c r="D319" t="n">
        <v>0</v>
      </c>
      <c r="E319" t="n">
        <v>9</v>
      </c>
    </row>
    <row r="320">
      <c r="B320" t="inlineStr">
        <is>
          <t>负重跳</t>
        </is>
      </c>
      <c r="C320" t="inlineStr">
        <is>
          <t>3×4</t>
        </is>
      </c>
      <c r="D320" s="14" t="n"/>
      <c r="E320" s="14" t="n"/>
    </row>
    <row r="321">
      <c r="A321" s="17" t="inlineStr">
        <is>
          <t>▶ 暴露量汇总</t>
        </is>
      </c>
      <c r="B321" s="17" t="inlineStr">
        <is>
          <t>说明</t>
        </is>
      </c>
      <c r="C321" s="17" t="inlineStr">
        <is>
          <t>公式/来源</t>
        </is>
      </c>
      <c r="D321" s="17" t="inlineStr">
        <is>
          <t>数值</t>
        </is>
      </c>
    </row>
    <row r="322">
      <c r="A322" s="18" t="inlineStr">
        <is>
          <t>① 无负荷跳跃接触</t>
        </is>
      </c>
      <c r="B322" s="18" t="inlineStr">
        <is>
          <t>CMJ+SJ+箱跳</t>
        </is>
      </c>
      <c r="C322" s="19">
        <f>IFERROR(E319+E320,2)</f>
        <v/>
      </c>
    </row>
    <row r="323">
      <c r="A323" s="18" t="inlineStr">
        <is>
          <t>② 负重跳跃接触</t>
        </is>
      </c>
      <c r="B323" s="18" t="inlineStr">
        <is>
          <t>负重深蹲跳</t>
        </is>
      </c>
      <c r="C323" s="19">
        <f>IFERROR(E320,"")</f>
        <v/>
      </c>
    </row>
    <row r="324">
      <c r="A324" s="18" t="inlineStr">
        <is>
          <t>③ 跳跃总计</t>
        </is>
      </c>
      <c r="B324" s="18" t="inlineStr">
        <is>
          <t>①+②</t>
        </is>
      </c>
      <c r="C324" s="19">
        <f>IFERROR(B322+B323,"")</f>
        <v/>
      </c>
    </row>
    <row r="325">
      <c r="A325" s="18" t="inlineStr">
        <is>
          <t>④ 热身VL</t>
        </is>
      </c>
      <c r="B325" s="18" t="inlineStr">
        <is>
          <t>20×5+50%×3(+70%×2)</t>
        </is>
      </c>
      <c r="C325" s="19">
        <f>IFERROR(20*5+ROUND(V305*0.5,0)*3,"-")</f>
        <v/>
      </c>
    </row>
    <row r="326">
      <c r="A326" s="20" t="inlineStr">
        <is>
          <t>⑤ 主项工作组VL ★</t>
        </is>
      </c>
      <c r="B326" s="20" t="inlineStr">
        <is>
          <t>Σ(负荷×次数)</t>
        </is>
      </c>
      <c r="C326" s="21">
        <f>SUMPRODUCT($B$309:$B$314,$R$309:$R$314)</f>
        <v/>
      </c>
    </row>
    <row r="327">
      <c r="A327" s="18" t="inlineStr">
        <is>
          <t>⑥ 主项总VL</t>
        </is>
      </c>
      <c r="B327" s="18" t="inlineStr">
        <is>
          <t>④+⑤</t>
        </is>
      </c>
      <c r="C327" s="19">
        <f>IFERROR(D322+D323,"")</f>
        <v/>
      </c>
    </row>
    <row r="328">
      <c r="A328" s="18" t="inlineStr">
        <is>
          <t>⑦ 辅助VL</t>
        </is>
      </c>
      <c r="B328" s="18" t="inlineStr">
        <is>
          <t>RDL/保加利亚</t>
        </is>
      </c>
      <c r="C328" s="19">
        <f>IFERROR(I315,"")</f>
        <v/>
      </c>
    </row>
    <row r="329">
      <c r="A329" s="18" t="inlineStr">
        <is>
          <t>⑧ 总外部负荷</t>
        </is>
      </c>
      <c r="B329" s="18" t="inlineStr">
        <is>
          <t>⑥+⑦(+负重跳)</t>
        </is>
      </c>
      <c r="C329" s="19">
        <f>IFERROR(F322+G322,"")</f>
        <v/>
      </c>
    </row>
    <row r="330">
      <c r="A330" s="18" t="inlineStr">
        <is>
          <t>⑨ sRPE load</t>
        </is>
      </c>
      <c r="B330" s="18" t="inlineStr">
        <is>
          <t>sRPE×时长</t>
        </is>
      </c>
      <c r="C330" s="19">
        <f>IFERROR(F317,"")</f>
        <v/>
      </c>
    </row>
    <row r="333">
      <c r="A333" s="5" t="inlineStr">
        <is>
          <t>P009 王宏池  a=1.567 b=-0.0085 1RM=135</t>
        </is>
      </c>
    </row>
    <row r="334">
      <c r="A334" s="6" t="inlineStr">
        <is>
          <t>编号</t>
        </is>
      </c>
      <c r="B334" s="6" t="inlineStr">
        <is>
          <t>姓名</t>
        </is>
      </c>
      <c r="C334" s="6" t="inlineStr">
        <is>
          <t>身高</t>
        </is>
      </c>
      <c r="D334" s="6" t="inlineStr">
        <is>
          <t>1RM</t>
        </is>
      </c>
      <c r="E334" s="6" t="inlineStr">
        <is>
          <t>Hooper睡</t>
        </is>
      </c>
      <c r="F334" s="6" t="inlineStr">
        <is>
          <t>Hooper压</t>
        </is>
      </c>
      <c r="G334" s="6" t="inlineStr">
        <is>
          <t>Hooper疲</t>
        </is>
      </c>
      <c r="H334" s="6" t="inlineStr">
        <is>
          <t>Hooper酸</t>
        </is>
      </c>
      <c r="I334" s="6" t="inlineStr">
        <is>
          <t>H总</t>
        </is>
      </c>
      <c r="J334" s="6" t="inlineStr">
        <is>
          <t>不适?</t>
        </is>
      </c>
      <c r="K334" s="6" t="inlineStr">
        <is>
          <t>说明</t>
        </is>
      </c>
      <c r="L334" s="6" t="inlineStr">
        <is>
          <t>CMJ1</t>
        </is>
      </c>
      <c r="M334" s="6" t="inlineStr">
        <is>
          <t>CMJ2</t>
        </is>
      </c>
      <c r="N334" s="6" t="inlineStr">
        <is>
          <t>CMJ3</t>
        </is>
      </c>
      <c r="O334" s="6" t="inlineStr">
        <is>
          <t>CMJμ</t>
        </is>
      </c>
      <c r="P334" s="6" t="inlineStr">
        <is>
          <t>&lt;95%</t>
        </is>
      </c>
      <c r="Q334" s="6" t="inlineStr">
        <is>
          <t>减组</t>
        </is>
      </c>
      <c r="R334" s="6" t="inlineStr">
        <is>
          <t>组数</t>
        </is>
      </c>
      <c r="S334" s="6" t="inlineStr">
        <is>
          <t>a(V0)</t>
        </is>
      </c>
      <c r="T334" s="6" t="inlineStr">
        <is>
          <t>b</t>
        </is>
      </c>
      <c r="U334" s="6" t="inlineStr">
        <is>
          <t>等级</t>
        </is>
      </c>
      <c r="V334" s="6" t="inlineStr">
        <is>
          <t>预测起始</t>
        </is>
      </c>
    </row>
    <row r="335">
      <c r="A335" s="7" t="inlineStr">
        <is>
          <t>P009</t>
        </is>
      </c>
      <c r="B335" s="7" t="inlineStr">
        <is>
          <t>王宏池</t>
        </is>
      </c>
      <c r="C335" s="7" t="n">
        <v>185</v>
      </c>
      <c r="D335" s="8" t="n">
        <v>135</v>
      </c>
      <c r="E335" s="9" t="n"/>
      <c r="F335" s="9" t="n"/>
      <c r="G335" s="9" t="n"/>
      <c r="H335" s="9" t="n"/>
      <c r="I335" s="7">
        <f>IFERROR(SUM(E335:H335),"")</f>
        <v/>
      </c>
      <c r="J335" s="9" t="n"/>
      <c r="K335" s="9" t="n"/>
      <c r="L335" s="9" t="n"/>
      <c r="M335" s="9" t="n"/>
      <c r="N335" s="9" t="n"/>
      <c r="O335" s="7">
        <f>IFERROR(AVERAGE(L335:N335),"")</f>
        <v/>
      </c>
      <c r="P335" s="7">
        <f>IF(O335="","",IF(O335&lt;54.27,"是⚠","否"))</f>
        <v/>
      </c>
      <c r="Q335" s="7">
        <f>IF(O335="","",IF(O335&lt;54.27,5-1,5))</f>
        <v/>
      </c>
      <c r="R335" s="7" t="n"/>
      <c r="S335" s="8" t="n">
        <v>1.567</v>
      </c>
      <c r="T335" s="8" t="n">
        <v>-0.008500000000000001</v>
      </c>
      <c r="U335" s="7" t="inlineStr">
        <is>
          <t>B</t>
        </is>
      </c>
      <c r="V335" s="8" t="n">
        <v>95</v>
      </c>
    </row>
    <row r="336">
      <c r="A336" s="10" t="inlineStr">
        <is>
          <t>热身校准</t>
        </is>
      </c>
      <c r="B336" s="10" t="inlineStr">
        <is>
          <t>a</t>
        </is>
      </c>
      <c r="C336" s="10" t="inlineStr">
        <is>
          <t>b</t>
        </is>
      </c>
      <c r="D336" s="10" t="inlineStr">
        <is>
          <t>50%热身</t>
        </is>
      </c>
      <c r="E336" s="10" t="inlineStr">
        <is>
          <t>70%热身</t>
        </is>
      </c>
      <c r="F336" s="10" t="inlineStr">
        <is>
          <t>热身负荷</t>
        </is>
      </c>
      <c r="G336" s="10" t="inlineStr">
        <is>
          <t>实测MCV</t>
        </is>
      </c>
      <c r="H336" s="10" t="inlineStr">
        <is>
          <t>预测MCV</t>
        </is>
      </c>
      <c r="I336" s="10" t="inlineStr">
        <is>
          <t>Δv</t>
        </is>
      </c>
      <c r="J336" s="10" t="inlineStr">
        <is>
          <t>调整量</t>
        </is>
      </c>
      <c r="K336" s="10" t="inlineStr">
        <is>
          <t>校准第1组</t>
        </is>
      </c>
    </row>
    <row r="337">
      <c r="A337" s="7" t="n"/>
      <c r="B337" s="11" t="n">
        <v>1.567</v>
      </c>
      <c r="C337" s="11" t="n">
        <v>-0.008500000000000001</v>
      </c>
      <c r="D337" s="11">
        <f>IFERROR(ROUND(V335*0.5/2.5,0)*2.5,"")</f>
        <v/>
      </c>
      <c r="E337" s="11" t="inlineStr"/>
      <c r="F337" s="11">
        <f>IFERROR(ROUND(V335*0.5/2.5,0)*2.5,"")</f>
        <v/>
      </c>
      <c r="G337" s="9" t="n"/>
      <c r="H337" s="11">
        <f>IFERROR(B337+C337*F337,"")</f>
        <v/>
      </c>
      <c r="I337" s="11">
        <f>IFERROR(G337-H337,"")</f>
        <v/>
      </c>
      <c r="J337" s="11">
        <f>IFERROR(IF(I337&gt;0.08,5,IF(I337&gt;0.04,2.5,IF(I337&gt;=-0.04,0,IF(I337&gt;=-0.08,-2.5,-5)))),"")</f>
        <v/>
      </c>
      <c r="K337" s="11">
        <f>IFERROR(ROUND(V335+J337,0),"")</f>
        <v/>
      </c>
    </row>
    <row r="338">
      <c r="A338" s="12" t="inlineStr">
        <is>
          <t>组</t>
        </is>
      </c>
      <c r="B338" s="12" t="inlineStr">
        <is>
          <t>负荷</t>
        </is>
      </c>
      <c r="C338" s="12" t="inlineStr">
        <is>
          <t>rep1</t>
        </is>
      </c>
      <c r="D338" s="12" t="inlineStr">
        <is>
          <t>rep2</t>
        </is>
      </c>
      <c r="E338" s="12" t="inlineStr">
        <is>
          <t>rep3</t>
        </is>
      </c>
      <c r="F338" s="12" t="inlineStr">
        <is>
          <t>rep4</t>
        </is>
      </c>
      <c r="G338" s="12" t="inlineStr">
        <is>
          <t>rep5</t>
        </is>
      </c>
      <c r="H338" s="12" t="inlineStr">
        <is>
          <t>rep6</t>
        </is>
      </c>
      <c r="I338" s="12" t="inlineStr">
        <is>
          <t>best</t>
        </is>
      </c>
      <c r="J338" s="12" t="inlineStr">
        <is>
          <t>best#</t>
        </is>
      </c>
      <c r="K338" s="12" t="inlineStr">
        <is>
          <t>VL%</t>
        </is>
      </c>
      <c r="L338" s="12" t="inlineStr">
        <is>
          <t>stop_th</t>
        </is>
      </c>
      <c r="M338" s="12" t="inlineStr">
        <is>
          <t>latest</t>
        </is>
      </c>
      <c r="N338" s="12" t="inlineStr">
        <is>
          <t>VL_flag</t>
        </is>
      </c>
      <c r="O338" s="12" t="inlineStr">
        <is>
          <t>safety</t>
        </is>
      </c>
      <c r="P338" s="12" t="inlineStr">
        <is>
          <t>原因</t>
        </is>
      </c>
      <c r="Q338" s="12" t="inlineStr">
        <is>
          <t>建议</t>
        </is>
      </c>
      <c r="R338" s="12" t="inlineStr">
        <is>
          <t>次数</t>
        </is>
      </c>
    </row>
    <row r="339">
      <c r="A339" s="7" t="n">
        <v>1</v>
      </c>
      <c r="B339" s="9">
        <f>IFERROR(K337,"")</f>
        <v/>
      </c>
      <c r="C339" s="9" t="n"/>
      <c r="D339" s="9" t="n"/>
      <c r="E339" s="9" t="n"/>
      <c r="F339" s="9" t="n"/>
      <c r="G339" s="9" t="n"/>
      <c r="H339" s="9" t="n"/>
      <c r="I339" s="7">
        <f>IFERROR(MAX(C339:H339),"")</f>
        <v/>
      </c>
      <c r="J339" s="7">
        <f>IFERROR(MATCH(I339,C339:H339,0),"")</f>
        <v/>
      </c>
      <c r="K339" s="7" t="n">
        <v>12</v>
      </c>
      <c r="L339" s="7">
        <f>IFERROR(I339*(1-(K339/100)),"")</f>
        <v/>
      </c>
      <c r="M339" s="7">
        <f>IFERROR(LOOKUP(9.99E+307,C339:H339),"")</f>
        <v/>
      </c>
      <c r="N339" s="7">
        <f>IFERROR(IF(M339="","",IF(M339&lt;=N339,"停组🛑","继续✓")),"")</f>
        <v/>
      </c>
      <c r="O339" s="7">
        <f>IFERROR(IF(M339="","",IF(M339&lt;0.15,"SAFETY_STOP","")),"")</f>
        <v/>
      </c>
      <c r="P339" s="7">
        <f>IFERROR(IF(M339="","",IF(M339&lt;0.15,"SAFETY_STOP",IF(M339&lt;=N339,"VL_THRESHOLD",""))),"")</f>
        <v/>
      </c>
      <c r="Q339" s="7">
        <f>IFERROR(IF(I339="","",IF(I339&gt;(0.75+0.05),"+5kg",IF(I339&gt;(0.75+0.02),"+2.5kg",IF(I339&gt;=(0.75-0.05),"保持",IF(I339&gt;=(0.75-0.08),"-2.5kg","-5kg"))))),"")</f>
        <v/>
      </c>
      <c r="R339" s="9" t="n"/>
    </row>
    <row r="340">
      <c r="A340" s="7" t="n">
        <v>2</v>
      </c>
      <c r="B340" s="9" t="n"/>
      <c r="C340" s="9" t="n"/>
      <c r="D340" s="9" t="n"/>
      <c r="E340" s="9" t="n"/>
      <c r="F340" s="9" t="n"/>
      <c r="G340" s="9" t="n"/>
      <c r="H340" s="9" t="n"/>
      <c r="I340" s="7">
        <f>IFERROR(MAX(C340:H340),"")</f>
        <v/>
      </c>
      <c r="J340" s="7">
        <f>IFERROR(MATCH(I340,C340:H340,0),"")</f>
        <v/>
      </c>
      <c r="K340" s="7" t="n">
        <v>12</v>
      </c>
      <c r="L340" s="7">
        <f>IFERROR(I340*(1-(K340/100)),"")</f>
        <v/>
      </c>
      <c r="M340" s="7">
        <f>IFERROR(LOOKUP(9.99E+307,C340:H340),"")</f>
        <v/>
      </c>
      <c r="N340" s="7">
        <f>IFERROR(IF(M340="","",IF(M340&lt;=N340,"停组🛑","继续✓")),"")</f>
        <v/>
      </c>
      <c r="O340" s="7">
        <f>IFERROR(IF(M340="","",IF(M340&lt;0.15,"SAFETY_STOP","")),"")</f>
        <v/>
      </c>
      <c r="P340" s="7">
        <f>IFERROR(IF(M340="","",IF(M340&lt;0.15,"SAFETY_STOP",IF(M340&lt;=N340,"VL_THRESHOLD",""))),"")</f>
        <v/>
      </c>
      <c r="Q340" s="7">
        <f>IFERROR(IF(I340="","",IF(I340&gt;(0.75+0.05),"+5kg",IF(I340&gt;(0.75+0.02),"+2.5kg",IF(I340&gt;=(0.75-0.05),"保持",IF(I340&gt;=(0.75-0.08),"-2.5kg","-5kg"))))),"")</f>
        <v/>
      </c>
      <c r="R340" s="9" t="n"/>
    </row>
    <row r="341">
      <c r="A341" s="7" t="n">
        <v>3</v>
      </c>
      <c r="B341" s="9" t="n"/>
      <c r="C341" s="9" t="n"/>
      <c r="D341" s="9" t="n"/>
      <c r="E341" s="9" t="n"/>
      <c r="F341" s="9" t="n"/>
      <c r="G341" s="9" t="n"/>
      <c r="H341" s="9" t="n"/>
      <c r="I341" s="7">
        <f>IFERROR(MAX(C341:H341),"")</f>
        <v/>
      </c>
      <c r="J341" s="7">
        <f>IFERROR(MATCH(I341,C341:H341,0),"")</f>
        <v/>
      </c>
      <c r="K341" s="7" t="n">
        <v>12</v>
      </c>
      <c r="L341" s="7">
        <f>IFERROR(I341*(1-(K341/100)),"")</f>
        <v/>
      </c>
      <c r="M341" s="7">
        <f>IFERROR(LOOKUP(9.99E+307,C341:H341),"")</f>
        <v/>
      </c>
      <c r="N341" s="7">
        <f>IFERROR(IF(M341="","",IF(M341&lt;=N341,"停组🛑","继续✓")),"")</f>
        <v/>
      </c>
      <c r="O341" s="7">
        <f>IFERROR(IF(M341="","",IF(M341&lt;0.15,"SAFETY_STOP","")),"")</f>
        <v/>
      </c>
      <c r="P341" s="7">
        <f>IFERROR(IF(M341="","",IF(M341&lt;0.15,"SAFETY_STOP",IF(M341&lt;=N341,"VL_THRESHOLD",""))),"")</f>
        <v/>
      </c>
      <c r="Q341" s="7">
        <f>IFERROR(IF(I341="","",IF(I341&gt;(0.75+0.05),"+5kg",IF(I341&gt;(0.75+0.02),"+2.5kg",IF(I341&gt;=(0.75-0.05),"保持",IF(I341&gt;=(0.75-0.08),"-2.5kg","-5kg"))))),"")</f>
        <v/>
      </c>
      <c r="R341" s="9" t="n"/>
    </row>
    <row r="342">
      <c r="A342" s="7" t="n">
        <v>4</v>
      </c>
      <c r="B342" s="9" t="n"/>
      <c r="C342" s="9" t="n"/>
      <c r="D342" s="9" t="n"/>
      <c r="E342" s="9" t="n"/>
      <c r="F342" s="9" t="n"/>
      <c r="G342" s="9" t="n"/>
      <c r="H342" s="9" t="n"/>
      <c r="I342" s="7">
        <f>IFERROR(MAX(C342:H342),"")</f>
        <v/>
      </c>
      <c r="J342" s="7">
        <f>IFERROR(MATCH(I342,C342:H342,0),"")</f>
        <v/>
      </c>
      <c r="K342" s="7" t="n">
        <v>12</v>
      </c>
      <c r="L342" s="7">
        <f>IFERROR(I342*(1-(K342/100)),"")</f>
        <v/>
      </c>
      <c r="M342" s="7">
        <f>IFERROR(LOOKUP(9.99E+307,C342:H342),"")</f>
        <v/>
      </c>
      <c r="N342" s="7">
        <f>IFERROR(IF(M342="","",IF(M342&lt;=N342,"停组🛑","继续✓")),"")</f>
        <v/>
      </c>
      <c r="O342" s="7">
        <f>IFERROR(IF(M342="","",IF(M342&lt;0.15,"SAFETY_STOP","")),"")</f>
        <v/>
      </c>
      <c r="P342" s="7">
        <f>IFERROR(IF(M342="","",IF(M342&lt;0.15,"SAFETY_STOP",IF(M342&lt;=N342,"VL_THRESHOLD",""))),"")</f>
        <v/>
      </c>
      <c r="Q342" s="7">
        <f>IFERROR(IF(I342="","",IF(I342&gt;(0.75+0.05),"+5kg",IF(I342&gt;(0.75+0.02),"+2.5kg",IF(I342&gt;=(0.75-0.05),"保持",IF(I342&gt;=(0.75-0.08),"-2.5kg","-5kg"))))),"")</f>
        <v/>
      </c>
      <c r="R342" s="9" t="n"/>
    </row>
    <row r="343">
      <c r="A343" s="7" t="n">
        <v>5</v>
      </c>
      <c r="B343" s="9" t="n"/>
      <c r="C343" s="9" t="n"/>
      <c r="D343" s="9" t="n"/>
      <c r="E343" s="9" t="n"/>
      <c r="F343" s="9" t="n"/>
      <c r="G343" s="9" t="n"/>
      <c r="H343" s="9" t="n"/>
      <c r="I343" s="7">
        <f>IFERROR(MAX(C343:H343),"")</f>
        <v/>
      </c>
      <c r="J343" s="7">
        <f>IFERROR(MATCH(I343,C343:H343,0),"")</f>
        <v/>
      </c>
      <c r="K343" s="7" t="n">
        <v>12</v>
      </c>
      <c r="L343" s="7">
        <f>IFERROR(I343*(1-(K343/100)),"")</f>
        <v/>
      </c>
      <c r="M343" s="7">
        <f>IFERROR(LOOKUP(9.99E+307,C343:H343),"")</f>
        <v/>
      </c>
      <c r="N343" s="7">
        <f>IFERROR(IF(M343="","",IF(M343&lt;=N343,"停组🛑","继续✓")),"")</f>
        <v/>
      </c>
      <c r="O343" s="7">
        <f>IFERROR(IF(M343="","",IF(M343&lt;0.15,"SAFETY_STOP","")),"")</f>
        <v/>
      </c>
      <c r="P343" s="7">
        <f>IFERROR(IF(M343="","",IF(M343&lt;0.15,"SAFETY_STOP",IF(M343&lt;=N343,"VL_THRESHOLD",""))),"")</f>
        <v/>
      </c>
      <c r="Q343" s="7">
        <f>IFERROR(IF(I343="","",IF(I343&gt;(0.75+0.05),"+5kg",IF(I343&gt;(0.75+0.02),"+2.5kg",IF(I343&gt;=(0.75-0.05),"保持",IF(I343&gt;=(0.75-0.08),"-2.5kg","-5kg"))))),"")</f>
        <v/>
      </c>
      <c r="R343" s="9" t="n"/>
    </row>
    <row r="344">
      <c r="A344" s="7" t="n">
        <v>6</v>
      </c>
      <c r="B344" s="9" t="n"/>
      <c r="C344" s="9" t="n"/>
      <c r="D344" s="9" t="n"/>
      <c r="E344" s="9" t="n"/>
      <c r="F344" s="9" t="n"/>
      <c r="G344" s="9" t="n"/>
      <c r="H344" s="9" t="n"/>
      <c r="I344" s="7">
        <f>IFERROR(MAX(C344:H344),"")</f>
        <v/>
      </c>
      <c r="J344" s="7">
        <f>IFERROR(MATCH(I344,C344:H344,0),"")</f>
        <v/>
      </c>
      <c r="K344" s="7" t="n">
        <v>12</v>
      </c>
      <c r="L344" s="7">
        <f>IFERROR(I344*(1-(K344/100)),"")</f>
        <v/>
      </c>
      <c r="M344" s="7">
        <f>IFERROR(LOOKUP(9.99E+307,C344:H344),"")</f>
        <v/>
      </c>
      <c r="N344" s="7">
        <f>IFERROR(IF(M344="","",IF(M344&lt;=N344,"停组🛑","继续✓")),"")</f>
        <v/>
      </c>
      <c r="O344" s="7">
        <f>IFERROR(IF(M344="","",IF(M344&lt;0.15,"SAFETY_STOP","")),"")</f>
        <v/>
      </c>
      <c r="P344" s="7">
        <f>IFERROR(IF(M344="","",IF(M344&lt;0.15,"SAFETY_STOP",IF(M344&lt;=N344,"VL_THRESHOLD",""))),"")</f>
        <v/>
      </c>
      <c r="Q344" s="7">
        <f>IFERROR(IF(I344="","",IF(I344&gt;(0.75+0.05),"+5kg",IF(I344&gt;(0.75+0.02),"+2.5kg",IF(I344&gt;=(0.75-0.05),"保持",IF(I344&gt;=(0.75-0.08),"-2.5kg","-5kg"))))),"")</f>
        <v/>
      </c>
      <c r="R344" s="9" t="n"/>
    </row>
    <row r="345">
      <c r="A345" s="13" t="inlineStr">
        <is>
          <t>辅助</t>
        </is>
      </c>
      <c r="D345" s="14" t="inlineStr">
        <is>
          <t>保加利亚单腿蹲</t>
        </is>
      </c>
      <c r="E345" s="14" t="inlineStr">
        <is>
          <t>负荷</t>
        </is>
      </c>
      <c r="F345" s="14" t="inlineStr">
        <is>
          <t>完成</t>
        </is>
      </c>
      <c r="I345" t="inlineStr">
        <is>
          <t>VL</t>
        </is>
      </c>
    </row>
    <row r="346">
      <c r="A346" s="15" t="inlineStr">
        <is>
          <t>训练后</t>
        </is>
      </c>
      <c r="B346" s="15" t="inlineStr">
        <is>
          <t>开始</t>
        </is>
      </c>
      <c r="C346" s="15" t="inlineStr">
        <is>
          <t>结束</t>
        </is>
      </c>
      <c r="D346" s="15" t="inlineStr">
        <is>
          <t>时长min</t>
        </is>
      </c>
      <c r="E346" s="15" t="inlineStr">
        <is>
          <t>sRPE</t>
        </is>
      </c>
      <c r="F346" s="15" t="inlineStr">
        <is>
          <t>load</t>
        </is>
      </c>
      <c r="G346" s="15" t="inlineStr">
        <is>
          <t>不适?</t>
        </is>
      </c>
      <c r="H346" s="15" t="inlineStr">
        <is>
          <t>备注</t>
        </is>
      </c>
      <c r="I346" s="15" t="inlineStr">
        <is>
          <t>签名</t>
        </is>
      </c>
    </row>
    <row r="347">
      <c r="A347" s="7" t="n"/>
      <c r="B347" s="9" t="n"/>
      <c r="C347" s="9" t="n"/>
      <c r="D347" s="11">
        <f>IFERROR((C347-B347)*1440,"")</f>
        <v/>
      </c>
      <c r="E347" s="9" t="n"/>
      <c r="F347" s="11">
        <f>IFERROR(E347*D347,"")</f>
        <v/>
      </c>
      <c r="G347" s="9" t="n"/>
      <c r="H347" s="9" t="n"/>
      <c r="I347" s="9" t="n"/>
    </row>
    <row r="348">
      <c r="A348" s="16" t="inlineStr">
        <is>
          <t>跳跃</t>
        </is>
      </c>
      <c r="B348" s="16" t="inlineStr">
        <is>
          <t>类型</t>
        </is>
      </c>
      <c r="C348" s="16" t="inlineStr">
        <is>
          <t>组×次</t>
        </is>
      </c>
      <c r="D348" s="16" t="inlineStr">
        <is>
          <t>负荷kg</t>
        </is>
      </c>
      <c r="E348" s="16" t="inlineStr">
        <is>
          <t>接触</t>
        </is>
      </c>
    </row>
    <row r="349">
      <c r="B349" t="inlineStr">
        <is>
          <t>SJ</t>
        </is>
      </c>
      <c r="C349" t="inlineStr">
        <is>
          <t>3×3</t>
        </is>
      </c>
      <c r="D349" t="n">
        <v>0</v>
      </c>
      <c r="E349" t="n">
        <v>9</v>
      </c>
    </row>
    <row r="350">
      <c r="B350" t="inlineStr">
        <is>
          <t>负重跳</t>
        </is>
      </c>
      <c r="C350" t="inlineStr">
        <is>
          <t>3×4</t>
        </is>
      </c>
      <c r="D350" s="14" t="n"/>
      <c r="E350" s="14" t="n"/>
    </row>
    <row r="351">
      <c r="A351" s="17" t="inlineStr">
        <is>
          <t>▶ 暴露量汇总</t>
        </is>
      </c>
      <c r="B351" s="17" t="inlineStr">
        <is>
          <t>说明</t>
        </is>
      </c>
      <c r="C351" s="17" t="inlineStr">
        <is>
          <t>公式/来源</t>
        </is>
      </c>
      <c r="D351" s="17" t="inlineStr">
        <is>
          <t>数值</t>
        </is>
      </c>
    </row>
    <row r="352">
      <c r="A352" s="18" t="inlineStr">
        <is>
          <t>① 无负荷跳跃接触</t>
        </is>
      </c>
      <c r="B352" s="18" t="inlineStr">
        <is>
          <t>CMJ+SJ+箱跳</t>
        </is>
      </c>
      <c r="C352" s="19">
        <f>IFERROR(E349+E350,2)</f>
        <v/>
      </c>
    </row>
    <row r="353">
      <c r="A353" s="18" t="inlineStr">
        <is>
          <t>② 负重跳跃接触</t>
        </is>
      </c>
      <c r="B353" s="18" t="inlineStr">
        <is>
          <t>负重深蹲跳</t>
        </is>
      </c>
      <c r="C353" s="19">
        <f>IFERROR(E350,"")</f>
        <v/>
      </c>
    </row>
    <row r="354">
      <c r="A354" s="18" t="inlineStr">
        <is>
          <t>③ 跳跃总计</t>
        </is>
      </c>
      <c r="B354" s="18" t="inlineStr">
        <is>
          <t>①+②</t>
        </is>
      </c>
      <c r="C354" s="19">
        <f>IFERROR(B352+B353,"")</f>
        <v/>
      </c>
    </row>
    <row r="355">
      <c r="A355" s="18" t="inlineStr">
        <is>
          <t>④ 热身VL</t>
        </is>
      </c>
      <c r="B355" s="18" t="inlineStr">
        <is>
          <t>20×5+50%×3(+70%×2)</t>
        </is>
      </c>
      <c r="C355" s="19">
        <f>IFERROR(20*5+ROUND(V335*0.5,0)*3,"-")</f>
        <v/>
      </c>
    </row>
    <row r="356">
      <c r="A356" s="20" t="inlineStr">
        <is>
          <t>⑤ 主项工作组VL ★</t>
        </is>
      </c>
      <c r="B356" s="20" t="inlineStr">
        <is>
          <t>Σ(负荷×次数)</t>
        </is>
      </c>
      <c r="C356" s="21">
        <f>SUMPRODUCT($B$339:$B$344,$R$339:$R$344)</f>
        <v/>
      </c>
    </row>
    <row r="357">
      <c r="A357" s="18" t="inlineStr">
        <is>
          <t>⑥ 主项总VL</t>
        </is>
      </c>
      <c r="B357" s="18" t="inlineStr">
        <is>
          <t>④+⑤</t>
        </is>
      </c>
      <c r="C357" s="19">
        <f>IFERROR(D352+D353,"")</f>
        <v/>
      </c>
    </row>
    <row r="358">
      <c r="A358" s="18" t="inlineStr">
        <is>
          <t>⑦ 辅助VL</t>
        </is>
      </c>
      <c r="B358" s="18" t="inlineStr">
        <is>
          <t>RDL/保加利亚</t>
        </is>
      </c>
      <c r="C358" s="19">
        <f>IFERROR(I345,"")</f>
        <v/>
      </c>
    </row>
    <row r="359">
      <c r="A359" s="18" t="inlineStr">
        <is>
          <t>⑧ 总外部负荷</t>
        </is>
      </c>
      <c r="B359" s="18" t="inlineStr">
        <is>
          <t>⑥+⑦(+负重跳)</t>
        </is>
      </c>
      <c r="C359" s="19">
        <f>IFERROR(F352+G352,"")</f>
        <v/>
      </c>
    </row>
    <row r="360">
      <c r="A360" s="18" t="inlineStr">
        <is>
          <t>⑨ sRPE load</t>
        </is>
      </c>
      <c r="B360" s="18" t="inlineStr">
        <is>
          <t>sRPE×时长</t>
        </is>
      </c>
      <c r="C360" s="19">
        <f>IFERROR(F347,"")</f>
        <v/>
      </c>
    </row>
  </sheetData>
  <mergeCells count="25">
    <mergeCell ref="A213:V213"/>
    <mergeCell ref="A255:C255"/>
    <mergeCell ref="A33:V33"/>
    <mergeCell ref="A75:C75"/>
    <mergeCell ref="A303:V303"/>
    <mergeCell ref="A105:C105"/>
    <mergeCell ref="A285:C285"/>
    <mergeCell ref="A333:V333"/>
    <mergeCell ref="A195:C195"/>
    <mergeCell ref="A63:V63"/>
    <mergeCell ref="A93:V93"/>
    <mergeCell ref="A135:C135"/>
    <mergeCell ref="A165:C165"/>
    <mergeCell ref="A1:V1"/>
    <mergeCell ref="A123:V123"/>
    <mergeCell ref="A153:V153"/>
    <mergeCell ref="A15:C15"/>
    <mergeCell ref="A243:V243"/>
    <mergeCell ref="A183:V183"/>
    <mergeCell ref="A225:C225"/>
    <mergeCell ref="A45:C45"/>
    <mergeCell ref="A273:V273"/>
    <mergeCell ref="A315:C315"/>
    <mergeCell ref="A3:V3"/>
    <mergeCell ref="A345:C3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12" customWidth="1" min="12" max="12"/>
    <col width="10" customWidth="1" min="13" max="13"/>
    <col width="10" customWidth="1" min="14" max="14"/>
    <col width="12" customWidth="1" min="15" max="15"/>
    <col width="18" customWidth="1" min="16" max="16"/>
    <col width="12" customWidth="1" min="17" max="17"/>
    <col width="10" customWidth="1" min="18" max="18"/>
    <col width="12" customWidth="1" min="19" max="19"/>
    <col width="16" customWidth="1" min="20" max="20"/>
    <col width="14" customWidth="1" min="21" max="21"/>
    <col width="14" customWidth="1" min="22" max="22"/>
  </cols>
  <sheetData>
    <row r="1">
      <c r="A1" s="1" t="inlineStr">
        <is>
          <t>研究二AI组 W3_A (A日) MC=0.40-0.55 VL%=25</t>
        </is>
      </c>
    </row>
    <row r="2">
      <c r="A2" s="2" t="inlineStr">
        <is>
          <t>MC区间</t>
        </is>
      </c>
      <c r="B2" s="3" t="inlineStr">
        <is>
          <t>MC中点</t>
        </is>
      </c>
      <c r="C2" s="3" t="inlineStr">
        <is>
          <t>VL%</t>
        </is>
      </c>
      <c r="D2" s="3" t="inlineStr">
        <is>
          <t>安全停止</t>
        </is>
      </c>
      <c r="E2" s="3" t="inlineStr">
        <is>
          <t>组数</t>
        </is>
      </c>
      <c r="F2" s="3" t="inlineStr">
        <is>
          <t>热身</t>
        </is>
      </c>
      <c r="G2" s="4" t="inlineStr">
        <is>
          <t>A</t>
        </is>
      </c>
    </row>
    <row r="3">
      <c r="A3" s="5" t="inlineStr">
        <is>
          <t>P007 陈鑫  a=1.65 b=-0.0125 1RM=110</t>
        </is>
      </c>
    </row>
    <row r="4">
      <c r="A4" s="6" t="inlineStr">
        <is>
          <t>编号</t>
        </is>
      </c>
      <c r="B4" s="6" t="inlineStr">
        <is>
          <t>姓名</t>
        </is>
      </c>
      <c r="C4" s="6" t="inlineStr">
        <is>
          <t>身高</t>
        </is>
      </c>
      <c r="D4" s="6" t="inlineStr">
        <is>
          <t>1RM</t>
        </is>
      </c>
      <c r="E4" s="6" t="inlineStr">
        <is>
          <t>Hooper睡</t>
        </is>
      </c>
      <c r="F4" s="6" t="inlineStr">
        <is>
          <t>Hooper压</t>
        </is>
      </c>
      <c r="G4" s="6" t="inlineStr">
        <is>
          <t>Hooper疲</t>
        </is>
      </c>
      <c r="H4" s="6" t="inlineStr">
        <is>
          <t>Hooper酸</t>
        </is>
      </c>
      <c r="I4" s="6" t="inlineStr">
        <is>
          <t>H总</t>
        </is>
      </c>
      <c r="J4" s="6" t="inlineStr">
        <is>
          <t>不适?</t>
        </is>
      </c>
      <c r="K4" s="6" t="inlineStr">
        <is>
          <t>说明</t>
        </is>
      </c>
      <c r="L4" s="6" t="inlineStr">
        <is>
          <t>CMJ1</t>
        </is>
      </c>
      <c r="M4" s="6" t="inlineStr">
        <is>
          <t>CMJ2</t>
        </is>
      </c>
      <c r="N4" s="6" t="inlineStr">
        <is>
          <t>CMJ3</t>
        </is>
      </c>
      <c r="O4" s="6" t="inlineStr">
        <is>
          <t>CMJμ</t>
        </is>
      </c>
      <c r="P4" s="6" t="inlineStr">
        <is>
          <t>&lt;95%</t>
        </is>
      </c>
      <c r="Q4" s="6" t="inlineStr">
        <is>
          <t>减组</t>
        </is>
      </c>
      <c r="R4" s="6" t="inlineStr">
        <is>
          <t>组数</t>
        </is>
      </c>
      <c r="S4" s="6" t="inlineStr">
        <is>
          <t>a(V0)</t>
        </is>
      </c>
      <c r="T4" s="6" t="inlineStr">
        <is>
          <t>b</t>
        </is>
      </c>
      <c r="U4" s="6" t="inlineStr">
        <is>
          <t>等级</t>
        </is>
      </c>
      <c r="V4" s="6" t="inlineStr">
        <is>
          <t>预测起始</t>
        </is>
      </c>
    </row>
    <row r="5">
      <c r="A5" s="7" t="inlineStr">
        <is>
          <t>P007</t>
        </is>
      </c>
      <c r="B5" s="7" t="inlineStr">
        <is>
          <t>陈鑫</t>
        </is>
      </c>
      <c r="C5" s="7" t="n">
        <v>173</v>
      </c>
      <c r="D5" s="8" t="n">
        <v>110</v>
      </c>
      <c r="E5" s="9" t="n"/>
      <c r="F5" s="9" t="n"/>
      <c r="G5" s="9" t="n"/>
      <c r="H5" s="9" t="n"/>
      <c r="I5" s="7">
        <f>IFERROR(SUM(E5:H5),"")</f>
        <v/>
      </c>
      <c r="J5" s="9" t="n"/>
      <c r="K5" s="9" t="n"/>
      <c r="L5" s="9" t="n"/>
      <c r="M5" s="9" t="n"/>
      <c r="N5" s="9" t="n"/>
      <c r="O5" s="7">
        <f>IFERROR(AVERAGE(L5:N5),"")</f>
        <v/>
      </c>
      <c r="P5" s="7">
        <f>IF(O5="","",IF(O5&lt;63.01,"是⚠","否"))</f>
        <v/>
      </c>
      <c r="Q5" s="7">
        <f>IF(O5="","",IF(O5&lt;63.01,5-1,5))</f>
        <v/>
      </c>
      <c r="R5" s="7" t="n"/>
      <c r="S5" s="8" t="n">
        <v>1.65</v>
      </c>
      <c r="T5" s="8" t="n">
        <v>-0.0125</v>
      </c>
      <c r="U5" s="7" t="inlineStr">
        <is>
          <t>A</t>
        </is>
      </c>
      <c r="V5" s="8" t="n">
        <v>95</v>
      </c>
    </row>
    <row r="6">
      <c r="A6" s="10" t="inlineStr">
        <is>
          <t>热身校准</t>
        </is>
      </c>
      <c r="B6" s="10" t="inlineStr">
        <is>
          <t>a</t>
        </is>
      </c>
      <c r="C6" s="10" t="inlineStr">
        <is>
          <t>b</t>
        </is>
      </c>
      <c r="D6" s="10" t="inlineStr">
        <is>
          <t>50%热身</t>
        </is>
      </c>
      <c r="E6" s="10" t="inlineStr">
        <is>
          <t>70%热身</t>
        </is>
      </c>
      <c r="F6" s="10" t="inlineStr">
        <is>
          <t>热身负荷</t>
        </is>
      </c>
      <c r="G6" s="10" t="inlineStr">
        <is>
          <t>实测MCV</t>
        </is>
      </c>
      <c r="H6" s="10" t="inlineStr">
        <is>
          <t>预测MCV</t>
        </is>
      </c>
      <c r="I6" s="10" t="inlineStr">
        <is>
          <t>Δv</t>
        </is>
      </c>
      <c r="J6" s="10" t="inlineStr">
        <is>
          <t>调整量</t>
        </is>
      </c>
      <c r="K6" s="10" t="inlineStr">
        <is>
          <t>校准第1组</t>
        </is>
      </c>
    </row>
    <row r="7">
      <c r="A7" s="7" t="n"/>
      <c r="B7" s="11" t="n">
        <v>1.65</v>
      </c>
      <c r="C7" s="11" t="n">
        <v>-0.0125</v>
      </c>
      <c r="D7" s="11">
        <f>IFERROR(ROUND(V5*0.5/2.5,0)*2.5,"")</f>
        <v/>
      </c>
      <c r="E7" s="11">
        <f>IFERROR(ROUND(V5*0.7/2.5,0)*2.5,"")</f>
        <v/>
      </c>
      <c r="F7" s="11">
        <f>IFERROR(ROUND(V5*0.6/2.5,0)*2.5,"")</f>
        <v/>
      </c>
      <c r="G7" s="9" t="n"/>
      <c r="H7" s="11">
        <f>IFERROR(B7+C7*F7,"")</f>
        <v/>
      </c>
      <c r="I7" s="11">
        <f>IFERROR(G7-H7,"")</f>
        <v/>
      </c>
      <c r="J7" s="11">
        <f>IFERROR(IF(I7&gt;0.08,5,IF(I7&gt;0.04,2.5,IF(I7&gt;=-0.04,0,IF(I7&gt;=-0.08,-2.5,-5)))),"")</f>
        <v/>
      </c>
      <c r="K7" s="11">
        <f>IFERROR(ROUND(V5+J7,0),"")</f>
        <v/>
      </c>
    </row>
    <row r="8">
      <c r="A8" s="12" t="inlineStr">
        <is>
          <t>组</t>
        </is>
      </c>
      <c r="B8" s="12" t="inlineStr">
        <is>
          <t>负荷</t>
        </is>
      </c>
      <c r="C8" s="12" t="inlineStr">
        <is>
          <t>rep1</t>
        </is>
      </c>
      <c r="D8" s="12" t="inlineStr">
        <is>
          <t>rep2</t>
        </is>
      </c>
      <c r="E8" s="12" t="inlineStr">
        <is>
          <t>rep3</t>
        </is>
      </c>
      <c r="F8" s="12" t="inlineStr">
        <is>
          <t>rep4</t>
        </is>
      </c>
      <c r="G8" s="12" t="inlineStr">
        <is>
          <t>rep5</t>
        </is>
      </c>
      <c r="H8" s="12" t="inlineStr">
        <is>
          <t>rep6</t>
        </is>
      </c>
      <c r="I8" s="12" t="inlineStr">
        <is>
          <t>best</t>
        </is>
      </c>
      <c r="J8" s="12" t="inlineStr">
        <is>
          <t>best#</t>
        </is>
      </c>
      <c r="K8" s="12" t="inlineStr">
        <is>
          <t>VL%</t>
        </is>
      </c>
      <c r="L8" s="12" t="inlineStr">
        <is>
          <t>stop_th</t>
        </is>
      </c>
      <c r="M8" s="12" t="inlineStr">
        <is>
          <t>latest</t>
        </is>
      </c>
      <c r="N8" s="12" t="inlineStr">
        <is>
          <t>VL_flag</t>
        </is>
      </c>
      <c r="O8" s="12" t="inlineStr">
        <is>
          <t>safety</t>
        </is>
      </c>
      <c r="P8" s="12" t="inlineStr">
        <is>
          <t>原因</t>
        </is>
      </c>
      <c r="Q8" s="12" t="inlineStr">
        <is>
          <t>建议</t>
        </is>
      </c>
      <c r="R8" s="12" t="inlineStr">
        <is>
          <t>次数</t>
        </is>
      </c>
    </row>
    <row r="9">
      <c r="A9" s="7" t="n">
        <v>1</v>
      </c>
      <c r="B9" s="9">
        <f>IFERROR(K7,"")</f>
        <v/>
      </c>
      <c r="C9" s="9" t="n"/>
      <c r="D9" s="9" t="n"/>
      <c r="E9" s="9" t="n"/>
      <c r="F9" s="9" t="n"/>
      <c r="G9" s="9" t="n"/>
      <c r="H9" s="9" t="n"/>
      <c r="I9" s="7">
        <f>IFERROR(MAX(C9:H9),"")</f>
        <v/>
      </c>
      <c r="J9" s="7">
        <f>IFERROR(MATCH(I9,C9:H9,0),"")</f>
        <v/>
      </c>
      <c r="K9" s="7" t="n">
        <v>25</v>
      </c>
      <c r="L9" s="7">
        <f>IFERROR(I9*(1-(K9/100)),"")</f>
        <v/>
      </c>
      <c r="M9" s="7">
        <f>IFERROR(LOOKUP(9.99E+307,C9:H9),"")</f>
        <v/>
      </c>
      <c r="N9" s="7">
        <f>IFERROR(IF(M9="","",IF(M9&lt;=N9,"停组🛑","继续✓")),"")</f>
        <v/>
      </c>
      <c r="O9" s="7">
        <f>IFERROR(IF(M9="","",IF(M9&lt;0.15,"SAFETY_STOP","")),"")</f>
        <v/>
      </c>
      <c r="P9" s="7">
        <f>IFERROR(IF(M9="","",IF(M9&lt;0.15,"SAFETY_STOP",IF(M9&lt;=N9,"VL_THRESHOLD",""))),"")</f>
        <v/>
      </c>
      <c r="Q9" s="7">
        <f>IFERROR(IF(I9="","",IF(I9&gt;(0.475+0.05),"+5kg",IF(I9&gt;(0.475+0.02),"+2.5kg",IF(I9&gt;=(0.475-0.05),"保持",IF(I9&gt;=(0.475-0.08),"-2.5kg","-5kg"))))),"")</f>
        <v/>
      </c>
      <c r="R9" s="9" t="n"/>
    </row>
    <row r="10">
      <c r="A10" s="7" t="n">
        <v>2</v>
      </c>
      <c r="B10" s="9" t="n"/>
      <c r="C10" s="9" t="n"/>
      <c r="D10" s="9" t="n"/>
      <c r="E10" s="9" t="n"/>
      <c r="F10" s="9" t="n"/>
      <c r="G10" s="9" t="n"/>
      <c r="H10" s="9" t="n"/>
      <c r="I10" s="7">
        <f>IFERROR(MAX(C10:H10),"")</f>
        <v/>
      </c>
      <c r="J10" s="7">
        <f>IFERROR(MATCH(I10,C10:H10,0),"")</f>
        <v/>
      </c>
      <c r="K10" s="7" t="n">
        <v>25</v>
      </c>
      <c r="L10" s="7">
        <f>IFERROR(I10*(1-(K10/100)),"")</f>
        <v/>
      </c>
      <c r="M10" s="7">
        <f>IFERROR(LOOKUP(9.99E+307,C10:H10),"")</f>
        <v/>
      </c>
      <c r="N10" s="7">
        <f>IFERROR(IF(M10="","",IF(M10&lt;=N10,"停组🛑","继续✓")),"")</f>
        <v/>
      </c>
      <c r="O10" s="7">
        <f>IFERROR(IF(M10="","",IF(M10&lt;0.15,"SAFETY_STOP","")),"")</f>
        <v/>
      </c>
      <c r="P10" s="7">
        <f>IFERROR(IF(M10="","",IF(M10&lt;0.15,"SAFETY_STOP",IF(M10&lt;=N10,"VL_THRESHOLD",""))),"")</f>
        <v/>
      </c>
      <c r="Q10" s="7">
        <f>IFERROR(IF(I10="","",IF(I10&gt;(0.475+0.05),"+5kg",IF(I10&gt;(0.475+0.02),"+2.5kg",IF(I10&gt;=(0.475-0.05),"保持",IF(I10&gt;=(0.475-0.08),"-2.5kg","-5kg"))))),"")</f>
        <v/>
      </c>
      <c r="R10" s="9" t="n"/>
    </row>
    <row r="11">
      <c r="A11" s="7" t="n">
        <v>3</v>
      </c>
      <c r="B11" s="9" t="n"/>
      <c r="C11" s="9" t="n"/>
      <c r="D11" s="9" t="n"/>
      <c r="E11" s="9" t="n"/>
      <c r="F11" s="9" t="n"/>
      <c r="G11" s="9" t="n"/>
      <c r="H11" s="9" t="n"/>
      <c r="I11" s="7">
        <f>IFERROR(MAX(C11:H11),"")</f>
        <v/>
      </c>
      <c r="J11" s="7">
        <f>IFERROR(MATCH(I11,C11:H11,0),"")</f>
        <v/>
      </c>
      <c r="K11" s="7" t="n">
        <v>25</v>
      </c>
      <c r="L11" s="7">
        <f>IFERROR(I11*(1-(K11/100)),"")</f>
        <v/>
      </c>
      <c r="M11" s="7">
        <f>IFERROR(LOOKUP(9.99E+307,C11:H11),"")</f>
        <v/>
      </c>
      <c r="N11" s="7">
        <f>IFERROR(IF(M11="","",IF(M11&lt;=N11,"停组🛑","继续✓")),"")</f>
        <v/>
      </c>
      <c r="O11" s="7">
        <f>IFERROR(IF(M11="","",IF(M11&lt;0.15,"SAFETY_STOP","")),"")</f>
        <v/>
      </c>
      <c r="P11" s="7">
        <f>IFERROR(IF(M11="","",IF(M11&lt;0.15,"SAFETY_STOP",IF(M11&lt;=N11,"VL_THRESHOLD",""))),"")</f>
        <v/>
      </c>
      <c r="Q11" s="7">
        <f>IFERROR(IF(I11="","",IF(I11&gt;(0.475+0.05),"+5kg",IF(I11&gt;(0.475+0.02),"+2.5kg",IF(I11&gt;=(0.475-0.05),"保持",IF(I11&gt;=(0.475-0.08),"-2.5kg","-5kg"))))),"")</f>
        <v/>
      </c>
      <c r="R11" s="9" t="n"/>
    </row>
    <row r="12">
      <c r="A12" s="7" t="n">
        <v>4</v>
      </c>
      <c r="B12" s="9" t="n"/>
      <c r="C12" s="9" t="n"/>
      <c r="D12" s="9" t="n"/>
      <c r="E12" s="9" t="n"/>
      <c r="F12" s="9" t="n"/>
      <c r="G12" s="9" t="n"/>
      <c r="H12" s="9" t="n"/>
      <c r="I12" s="7">
        <f>IFERROR(MAX(C12:H12),"")</f>
        <v/>
      </c>
      <c r="J12" s="7">
        <f>IFERROR(MATCH(I12,C12:H12,0),"")</f>
        <v/>
      </c>
      <c r="K12" s="7" t="n">
        <v>25</v>
      </c>
      <c r="L12" s="7">
        <f>IFERROR(I12*(1-(K12/100)),"")</f>
        <v/>
      </c>
      <c r="M12" s="7">
        <f>IFERROR(LOOKUP(9.99E+307,C12:H12),"")</f>
        <v/>
      </c>
      <c r="N12" s="7">
        <f>IFERROR(IF(M12="","",IF(M12&lt;=N12,"停组🛑","继续✓")),"")</f>
        <v/>
      </c>
      <c r="O12" s="7">
        <f>IFERROR(IF(M12="","",IF(M12&lt;0.15,"SAFETY_STOP","")),"")</f>
        <v/>
      </c>
      <c r="P12" s="7">
        <f>IFERROR(IF(M12="","",IF(M12&lt;0.15,"SAFETY_STOP",IF(M12&lt;=N12,"VL_THRESHOLD",""))),"")</f>
        <v/>
      </c>
      <c r="Q12" s="7">
        <f>IFERROR(IF(I12="","",IF(I12&gt;(0.475+0.05),"+5kg",IF(I12&gt;(0.475+0.02),"+2.5kg",IF(I12&gt;=(0.475-0.05),"保持",IF(I12&gt;=(0.475-0.08),"-2.5kg","-5kg"))))),"")</f>
        <v/>
      </c>
      <c r="R12" s="9" t="n"/>
    </row>
    <row r="13">
      <c r="A13" s="7" t="n">
        <v>5</v>
      </c>
      <c r="B13" s="9" t="n"/>
      <c r="C13" s="9" t="n"/>
      <c r="D13" s="9" t="n"/>
      <c r="E13" s="9" t="n"/>
      <c r="F13" s="9" t="n"/>
      <c r="G13" s="9" t="n"/>
      <c r="H13" s="9" t="n"/>
      <c r="I13" s="7">
        <f>IFERROR(MAX(C13:H13),"")</f>
        <v/>
      </c>
      <c r="J13" s="7">
        <f>IFERROR(MATCH(I13,C13:H13,0),"")</f>
        <v/>
      </c>
      <c r="K13" s="7" t="n">
        <v>25</v>
      </c>
      <c r="L13" s="7">
        <f>IFERROR(I13*(1-(K13/100)),"")</f>
        <v/>
      </c>
      <c r="M13" s="7">
        <f>IFERROR(LOOKUP(9.99E+307,C13:H13),"")</f>
        <v/>
      </c>
      <c r="N13" s="7">
        <f>IFERROR(IF(M13="","",IF(M13&lt;=N13,"停组🛑","继续✓")),"")</f>
        <v/>
      </c>
      <c r="O13" s="7">
        <f>IFERROR(IF(M13="","",IF(M13&lt;0.15,"SAFETY_STOP","")),"")</f>
        <v/>
      </c>
      <c r="P13" s="7">
        <f>IFERROR(IF(M13="","",IF(M13&lt;0.15,"SAFETY_STOP",IF(M13&lt;=N13,"VL_THRESHOLD",""))),"")</f>
        <v/>
      </c>
      <c r="Q13" s="7">
        <f>IFERROR(IF(I13="","",IF(I13&gt;(0.475+0.05),"+5kg",IF(I13&gt;(0.475+0.02),"+2.5kg",IF(I13&gt;=(0.475-0.05),"保持",IF(I13&gt;=(0.475-0.08),"-2.5kg","-5kg"))))),"")</f>
        <v/>
      </c>
      <c r="R13" s="9" t="n"/>
    </row>
    <row r="14">
      <c r="A14" s="7" t="n">
        <v>6</v>
      </c>
      <c r="B14" s="9" t="n"/>
      <c r="C14" s="9" t="n"/>
      <c r="D14" s="9" t="n"/>
      <c r="E14" s="9" t="n"/>
      <c r="F14" s="9" t="n"/>
      <c r="G14" s="9" t="n"/>
      <c r="H14" s="9" t="n"/>
      <c r="I14" s="7">
        <f>IFERROR(MAX(C14:H14),"")</f>
        <v/>
      </c>
      <c r="J14" s="7">
        <f>IFERROR(MATCH(I14,C14:H14,0),"")</f>
        <v/>
      </c>
      <c r="K14" s="7" t="n">
        <v>25</v>
      </c>
      <c r="L14" s="7">
        <f>IFERROR(I14*(1-(K14/100)),"")</f>
        <v/>
      </c>
      <c r="M14" s="7">
        <f>IFERROR(LOOKUP(9.99E+307,C14:H14),"")</f>
        <v/>
      </c>
      <c r="N14" s="7">
        <f>IFERROR(IF(M14="","",IF(M14&lt;=N14,"停组🛑","继续✓")),"")</f>
        <v/>
      </c>
      <c r="O14" s="7">
        <f>IFERROR(IF(M14="","",IF(M14&lt;0.15,"SAFETY_STOP","")),"")</f>
        <v/>
      </c>
      <c r="P14" s="7">
        <f>IFERROR(IF(M14="","",IF(M14&lt;0.15,"SAFETY_STOP",IF(M14&lt;=N14,"VL_THRESHOLD",""))),"")</f>
        <v/>
      </c>
      <c r="Q14" s="7">
        <f>IFERROR(IF(I14="","",IF(I14&gt;(0.475+0.05),"+5kg",IF(I14&gt;(0.475+0.02),"+2.5kg",IF(I14&gt;=(0.475-0.05),"保持",IF(I14&gt;=(0.475-0.08),"-2.5kg","-5kg"))))),"")</f>
        <v/>
      </c>
      <c r="R14" s="9" t="n"/>
    </row>
    <row r="15">
      <c r="A15" s="13" t="inlineStr">
        <is>
          <t>辅助</t>
        </is>
      </c>
      <c r="D15" s="14" t="inlineStr">
        <is>
          <t>RDL</t>
        </is>
      </c>
      <c r="E15" s="14" t="inlineStr">
        <is>
          <t>负荷</t>
        </is>
      </c>
      <c r="F15" s="14" t="inlineStr">
        <is>
          <t>完成</t>
        </is>
      </c>
      <c r="I15" t="inlineStr">
        <is>
          <t>VL</t>
        </is>
      </c>
    </row>
    <row r="16">
      <c r="A16" s="15" t="inlineStr">
        <is>
          <t>训练后</t>
        </is>
      </c>
      <c r="B16" s="15" t="inlineStr">
        <is>
          <t>开始</t>
        </is>
      </c>
      <c r="C16" s="15" t="inlineStr">
        <is>
          <t>结束</t>
        </is>
      </c>
      <c r="D16" s="15" t="inlineStr">
        <is>
          <t>时长min</t>
        </is>
      </c>
      <c r="E16" s="15" t="inlineStr">
        <is>
          <t>sRPE</t>
        </is>
      </c>
      <c r="F16" s="15" t="inlineStr">
        <is>
          <t>load</t>
        </is>
      </c>
      <c r="G16" s="15" t="inlineStr">
        <is>
          <t>不适?</t>
        </is>
      </c>
      <c r="H16" s="15" t="inlineStr">
        <is>
          <t>备注</t>
        </is>
      </c>
      <c r="I16" s="15" t="inlineStr">
        <is>
          <t>签名</t>
        </is>
      </c>
    </row>
    <row r="17">
      <c r="A17" s="7" t="n"/>
      <c r="B17" s="9" t="n"/>
      <c r="C17" s="9" t="n"/>
      <c r="D17" s="11">
        <f>IFERROR((C17-B17)*1440,"")</f>
        <v/>
      </c>
      <c r="E17" s="9" t="n"/>
      <c r="F17" s="11">
        <f>IFERROR(E17*D17,"")</f>
        <v/>
      </c>
      <c r="G17" s="9" t="n"/>
      <c r="H17" s="9" t="n"/>
      <c r="I17" s="9" t="n"/>
    </row>
    <row r="18">
      <c r="A18" s="16" t="inlineStr">
        <is>
          <t>跳跃</t>
        </is>
      </c>
      <c r="B18" s="16" t="inlineStr">
        <is>
          <t>类型</t>
        </is>
      </c>
      <c r="C18" s="16" t="inlineStr">
        <is>
          <t>组×次</t>
        </is>
      </c>
      <c r="D18" s="16" t="inlineStr">
        <is>
          <t>负荷kg</t>
        </is>
      </c>
      <c r="E18" s="16" t="inlineStr">
        <is>
          <t>接触</t>
        </is>
      </c>
    </row>
    <row r="19">
      <c r="B19" t="inlineStr">
        <is>
          <t>CMJ</t>
        </is>
      </c>
      <c r="C19" t="inlineStr">
        <is>
          <t>3×3</t>
        </is>
      </c>
      <c r="D19" t="n">
        <v>0</v>
      </c>
      <c r="E19" t="n">
        <v>9</v>
      </c>
    </row>
    <row r="20">
      <c r="B20" t="inlineStr">
        <is>
          <t>箱跳</t>
        </is>
      </c>
      <c r="C20" t="inlineStr">
        <is>
          <t>3×3</t>
        </is>
      </c>
      <c r="D20" t="n">
        <v>0</v>
      </c>
      <c r="E20" t="n">
        <v>9</v>
      </c>
    </row>
    <row r="21">
      <c r="A21" s="17" t="inlineStr">
        <is>
          <t>▶ 暴露量汇总</t>
        </is>
      </c>
      <c r="B21" s="17" t="inlineStr">
        <is>
          <t>说明</t>
        </is>
      </c>
      <c r="C21" s="17" t="inlineStr">
        <is>
          <t>公式/来源</t>
        </is>
      </c>
      <c r="D21" s="17" t="inlineStr">
        <is>
          <t>数值</t>
        </is>
      </c>
    </row>
    <row r="22">
      <c r="A22" s="18" t="inlineStr">
        <is>
          <t>① 无负荷跳跃接触</t>
        </is>
      </c>
      <c r="B22" s="18" t="inlineStr">
        <is>
          <t>CMJ+SJ+箱跳</t>
        </is>
      </c>
      <c r="C22" s="19">
        <f>IFERROR(E19+E20,2)</f>
        <v/>
      </c>
    </row>
    <row r="23">
      <c r="A23" s="18" t="inlineStr">
        <is>
          <t>② 负重跳跃接触</t>
        </is>
      </c>
      <c r="B23" s="18" t="inlineStr">
        <is>
          <t>负重深蹲跳</t>
        </is>
      </c>
      <c r="C23" s="19">
        <f>IFERROR(E19,"")</f>
        <v/>
      </c>
    </row>
    <row r="24">
      <c r="A24" s="18" t="inlineStr">
        <is>
          <t>③ 跳跃总计</t>
        </is>
      </c>
      <c r="B24" s="18" t="inlineStr">
        <is>
          <t>①+②</t>
        </is>
      </c>
      <c r="C24" s="19">
        <f>IFERROR(B22+B23,"")</f>
        <v/>
      </c>
    </row>
    <row r="25">
      <c r="A25" s="18" t="inlineStr">
        <is>
          <t>④ 热身VL</t>
        </is>
      </c>
      <c r="B25" s="18" t="inlineStr">
        <is>
          <t>20×5+50%×3(+70%×2)</t>
        </is>
      </c>
      <c r="C25" s="19">
        <f>IFERROR(20*5+ROUND(V5*0.5,0)*3+ROUND(V{dr}*0.7,0)*2,"-")</f>
        <v/>
      </c>
    </row>
    <row r="26">
      <c r="A26" s="20" t="inlineStr">
        <is>
          <t>⑤ 主项工作组VL ★</t>
        </is>
      </c>
      <c r="B26" s="20" t="inlineStr">
        <is>
          <t>Σ(负荷×次数)</t>
        </is>
      </c>
      <c r="C26" s="21">
        <f>SUMPRODUCT($B$9:$B$14,$R$9:$R$14)</f>
        <v/>
      </c>
    </row>
    <row r="27">
      <c r="A27" s="18" t="inlineStr">
        <is>
          <t>⑥ 主项总VL</t>
        </is>
      </c>
      <c r="B27" s="18" t="inlineStr">
        <is>
          <t>④+⑤</t>
        </is>
      </c>
      <c r="C27" s="19">
        <f>IFERROR(D22+D23,"")</f>
        <v/>
      </c>
    </row>
    <row r="28">
      <c r="A28" s="18" t="inlineStr">
        <is>
          <t>⑦ 辅助VL</t>
        </is>
      </c>
      <c r="B28" s="18" t="inlineStr">
        <is>
          <t>RDL/保加利亚</t>
        </is>
      </c>
      <c r="C28" s="19">
        <f>IFERROR(I15,"")</f>
        <v/>
      </c>
    </row>
    <row r="29">
      <c r="A29" s="18" t="inlineStr">
        <is>
          <t>⑧ 总外部负荷</t>
        </is>
      </c>
      <c r="B29" s="18" t="inlineStr">
        <is>
          <t>⑥+⑦(+负重跳)</t>
        </is>
      </c>
      <c r="C29" s="19">
        <f>IFERROR(F22+G22,"")</f>
        <v/>
      </c>
    </row>
    <row r="30">
      <c r="A30" s="18" t="inlineStr">
        <is>
          <t>⑨ sRPE load</t>
        </is>
      </c>
      <c r="B30" s="18" t="inlineStr">
        <is>
          <t>sRPE×时长</t>
        </is>
      </c>
      <c r="C30" s="19">
        <f>IFERROR(F17,"")</f>
        <v/>
      </c>
    </row>
    <row r="33">
      <c r="A33" s="5" t="inlineStr">
        <is>
          <t>P005 曾庆华  a=1.775 b=-0.00875 1RM=155</t>
        </is>
      </c>
    </row>
    <row r="34">
      <c r="A34" s="6" t="inlineStr">
        <is>
          <t>编号</t>
        </is>
      </c>
      <c r="B34" s="6" t="inlineStr">
        <is>
          <t>姓名</t>
        </is>
      </c>
      <c r="C34" s="6" t="inlineStr">
        <is>
          <t>身高</t>
        </is>
      </c>
      <c r="D34" s="6" t="inlineStr">
        <is>
          <t>1RM</t>
        </is>
      </c>
      <c r="E34" s="6" t="inlineStr">
        <is>
          <t>Hooper睡</t>
        </is>
      </c>
      <c r="F34" s="6" t="inlineStr">
        <is>
          <t>Hooper压</t>
        </is>
      </c>
      <c r="G34" s="6" t="inlineStr">
        <is>
          <t>Hooper疲</t>
        </is>
      </c>
      <c r="H34" s="6" t="inlineStr">
        <is>
          <t>Hooper酸</t>
        </is>
      </c>
      <c r="I34" s="6" t="inlineStr">
        <is>
          <t>H总</t>
        </is>
      </c>
      <c r="J34" s="6" t="inlineStr">
        <is>
          <t>不适?</t>
        </is>
      </c>
      <c r="K34" s="6" t="inlineStr">
        <is>
          <t>说明</t>
        </is>
      </c>
      <c r="L34" s="6" t="inlineStr">
        <is>
          <t>CMJ1</t>
        </is>
      </c>
      <c r="M34" s="6" t="inlineStr">
        <is>
          <t>CMJ2</t>
        </is>
      </c>
      <c r="N34" s="6" t="inlineStr">
        <is>
          <t>CMJ3</t>
        </is>
      </c>
      <c r="O34" s="6" t="inlineStr">
        <is>
          <t>CMJμ</t>
        </is>
      </c>
      <c r="P34" s="6" t="inlineStr">
        <is>
          <t>&lt;95%</t>
        </is>
      </c>
      <c r="Q34" s="6" t="inlineStr">
        <is>
          <t>减组</t>
        </is>
      </c>
      <c r="R34" s="6" t="inlineStr">
        <is>
          <t>组数</t>
        </is>
      </c>
      <c r="S34" s="6" t="inlineStr">
        <is>
          <t>a(V0)</t>
        </is>
      </c>
      <c r="T34" s="6" t="inlineStr">
        <is>
          <t>b</t>
        </is>
      </c>
      <c r="U34" s="6" t="inlineStr">
        <is>
          <t>等级</t>
        </is>
      </c>
      <c r="V34" s="6" t="inlineStr">
        <is>
          <t>预测起始</t>
        </is>
      </c>
    </row>
    <row r="35">
      <c r="A35" s="7" t="inlineStr">
        <is>
          <t>P005</t>
        </is>
      </c>
      <c r="B35" s="7" t="inlineStr">
        <is>
          <t>曾庆华</t>
        </is>
      </c>
      <c r="C35" s="7" t="n">
        <v>177</v>
      </c>
      <c r="D35" s="8" t="n">
        <v>155</v>
      </c>
      <c r="E35" s="9" t="n"/>
      <c r="F35" s="9" t="n"/>
      <c r="G35" s="9" t="n"/>
      <c r="H35" s="9" t="n"/>
      <c r="I35" s="7">
        <f>IFERROR(SUM(E35:H35),"")</f>
        <v/>
      </c>
      <c r="J35" s="9" t="n"/>
      <c r="K35" s="9" t="n"/>
      <c r="L35" s="9" t="n"/>
      <c r="M35" s="9" t="n"/>
      <c r="N35" s="9" t="n"/>
      <c r="O35" s="7">
        <f>IFERROR(AVERAGE(L35:N35),"")</f>
        <v/>
      </c>
      <c r="P35" s="7">
        <f>IF(O35="","",IF(O35&lt;57.57,"是⚠","否"))</f>
        <v/>
      </c>
      <c r="Q35" s="7">
        <f>IF(O35="","",IF(O35&lt;57.57,5-1,5))</f>
        <v/>
      </c>
      <c r="R35" s="7" t="n"/>
      <c r="S35" s="8" t="n">
        <v>1.775</v>
      </c>
      <c r="T35" s="8" t="n">
        <v>-0.008750000000000001</v>
      </c>
      <c r="U35" s="7" t="inlineStr">
        <is>
          <t>B</t>
        </is>
      </c>
      <c r="V35" s="8" t="n">
        <v>147.5</v>
      </c>
    </row>
    <row r="36">
      <c r="A36" s="10" t="inlineStr">
        <is>
          <t>热身校准</t>
        </is>
      </c>
      <c r="B36" s="10" t="inlineStr">
        <is>
          <t>a</t>
        </is>
      </c>
      <c r="C36" s="10" t="inlineStr">
        <is>
          <t>b</t>
        </is>
      </c>
      <c r="D36" s="10" t="inlineStr">
        <is>
          <t>50%热身</t>
        </is>
      </c>
      <c r="E36" s="10" t="inlineStr">
        <is>
          <t>70%热身</t>
        </is>
      </c>
      <c r="F36" s="10" t="inlineStr">
        <is>
          <t>热身负荷</t>
        </is>
      </c>
      <c r="G36" s="10" t="inlineStr">
        <is>
          <t>实测MCV</t>
        </is>
      </c>
      <c r="H36" s="10" t="inlineStr">
        <is>
          <t>预测MCV</t>
        </is>
      </c>
      <c r="I36" s="10" t="inlineStr">
        <is>
          <t>Δv</t>
        </is>
      </c>
      <c r="J36" s="10" t="inlineStr">
        <is>
          <t>调整量</t>
        </is>
      </c>
      <c r="K36" s="10" t="inlineStr">
        <is>
          <t>校准第1组</t>
        </is>
      </c>
    </row>
    <row r="37">
      <c r="A37" s="7" t="n"/>
      <c r="B37" s="11" t="n">
        <v>1.775</v>
      </c>
      <c r="C37" s="11" t="n">
        <v>-0.008750000000000001</v>
      </c>
      <c r="D37" s="11">
        <f>IFERROR(ROUND(V35*0.5/2.5,0)*2.5,"")</f>
        <v/>
      </c>
      <c r="E37" s="11">
        <f>IFERROR(ROUND(V35*0.7/2.5,0)*2.5,"")</f>
        <v/>
      </c>
      <c r="F37" s="11">
        <f>IFERROR(ROUND(V35*0.6/2.5,0)*2.5,"")</f>
        <v/>
      </c>
      <c r="G37" s="9" t="n"/>
      <c r="H37" s="11">
        <f>IFERROR(B37+C37*F37,"")</f>
        <v/>
      </c>
      <c r="I37" s="11">
        <f>IFERROR(G37-H37,"")</f>
        <v/>
      </c>
      <c r="J37" s="11">
        <f>IFERROR(IF(I37&gt;0.08,5,IF(I37&gt;0.04,2.5,IF(I37&gt;=-0.04,0,IF(I37&gt;=-0.08,-2.5,-5)))),"")</f>
        <v/>
      </c>
      <c r="K37" s="11">
        <f>IFERROR(ROUND(V35+J37,0),"")</f>
        <v/>
      </c>
    </row>
    <row r="38">
      <c r="A38" s="12" t="inlineStr">
        <is>
          <t>组</t>
        </is>
      </c>
      <c r="B38" s="12" t="inlineStr">
        <is>
          <t>负荷</t>
        </is>
      </c>
      <c r="C38" s="12" t="inlineStr">
        <is>
          <t>rep1</t>
        </is>
      </c>
      <c r="D38" s="12" t="inlineStr">
        <is>
          <t>rep2</t>
        </is>
      </c>
      <c r="E38" s="12" t="inlineStr">
        <is>
          <t>rep3</t>
        </is>
      </c>
      <c r="F38" s="12" t="inlineStr">
        <is>
          <t>rep4</t>
        </is>
      </c>
      <c r="G38" s="12" t="inlineStr">
        <is>
          <t>rep5</t>
        </is>
      </c>
      <c r="H38" s="12" t="inlineStr">
        <is>
          <t>rep6</t>
        </is>
      </c>
      <c r="I38" s="12" t="inlineStr">
        <is>
          <t>best</t>
        </is>
      </c>
      <c r="J38" s="12" t="inlineStr">
        <is>
          <t>best#</t>
        </is>
      </c>
      <c r="K38" s="12" t="inlineStr">
        <is>
          <t>VL%</t>
        </is>
      </c>
      <c r="L38" s="12" t="inlineStr">
        <is>
          <t>stop_th</t>
        </is>
      </c>
      <c r="M38" s="12" t="inlineStr">
        <is>
          <t>latest</t>
        </is>
      </c>
      <c r="N38" s="12" t="inlineStr">
        <is>
          <t>VL_flag</t>
        </is>
      </c>
      <c r="O38" s="12" t="inlineStr">
        <is>
          <t>safety</t>
        </is>
      </c>
      <c r="P38" s="12" t="inlineStr">
        <is>
          <t>原因</t>
        </is>
      </c>
      <c r="Q38" s="12" t="inlineStr">
        <is>
          <t>建议</t>
        </is>
      </c>
      <c r="R38" s="12" t="inlineStr">
        <is>
          <t>次数</t>
        </is>
      </c>
    </row>
    <row r="39">
      <c r="A39" s="7" t="n">
        <v>1</v>
      </c>
      <c r="B39" s="9">
        <f>IFERROR(K37,"")</f>
        <v/>
      </c>
      <c r="C39" s="9" t="n"/>
      <c r="D39" s="9" t="n"/>
      <c r="E39" s="9" t="n"/>
      <c r="F39" s="9" t="n"/>
      <c r="G39" s="9" t="n"/>
      <c r="H39" s="9" t="n"/>
      <c r="I39" s="7">
        <f>IFERROR(MAX(C39:H39),"")</f>
        <v/>
      </c>
      <c r="J39" s="7">
        <f>IFERROR(MATCH(I39,C39:H39,0),"")</f>
        <v/>
      </c>
      <c r="K39" s="7" t="n">
        <v>25</v>
      </c>
      <c r="L39" s="7">
        <f>IFERROR(I39*(1-(K39/100)),"")</f>
        <v/>
      </c>
      <c r="M39" s="7">
        <f>IFERROR(LOOKUP(9.99E+307,C39:H39),"")</f>
        <v/>
      </c>
      <c r="N39" s="7">
        <f>IFERROR(IF(M39="","",IF(M39&lt;=N39,"停组🛑","继续✓")),"")</f>
        <v/>
      </c>
      <c r="O39" s="7">
        <f>IFERROR(IF(M39="","",IF(M39&lt;0.15,"SAFETY_STOP","")),"")</f>
        <v/>
      </c>
      <c r="P39" s="7">
        <f>IFERROR(IF(M39="","",IF(M39&lt;0.15,"SAFETY_STOP",IF(M39&lt;=N39,"VL_THRESHOLD",""))),"")</f>
        <v/>
      </c>
      <c r="Q39" s="7">
        <f>IFERROR(IF(I39="","",IF(I39&gt;(0.475+0.05),"+5kg",IF(I39&gt;(0.475+0.02),"+2.5kg",IF(I39&gt;=(0.475-0.05),"保持",IF(I39&gt;=(0.475-0.08),"-2.5kg","-5kg"))))),"")</f>
        <v/>
      </c>
      <c r="R39" s="9" t="n"/>
    </row>
    <row r="40">
      <c r="A40" s="7" t="n">
        <v>2</v>
      </c>
      <c r="B40" s="9" t="n"/>
      <c r="C40" s="9" t="n"/>
      <c r="D40" s="9" t="n"/>
      <c r="E40" s="9" t="n"/>
      <c r="F40" s="9" t="n"/>
      <c r="G40" s="9" t="n"/>
      <c r="H40" s="9" t="n"/>
      <c r="I40" s="7">
        <f>IFERROR(MAX(C40:H40),"")</f>
        <v/>
      </c>
      <c r="J40" s="7">
        <f>IFERROR(MATCH(I40,C40:H40,0),"")</f>
        <v/>
      </c>
      <c r="K40" s="7" t="n">
        <v>25</v>
      </c>
      <c r="L40" s="7">
        <f>IFERROR(I40*(1-(K40/100)),"")</f>
        <v/>
      </c>
      <c r="M40" s="7">
        <f>IFERROR(LOOKUP(9.99E+307,C40:H40),"")</f>
        <v/>
      </c>
      <c r="N40" s="7">
        <f>IFERROR(IF(M40="","",IF(M40&lt;=N40,"停组🛑","继续✓")),"")</f>
        <v/>
      </c>
      <c r="O40" s="7">
        <f>IFERROR(IF(M40="","",IF(M40&lt;0.15,"SAFETY_STOP","")),"")</f>
        <v/>
      </c>
      <c r="P40" s="7">
        <f>IFERROR(IF(M40="","",IF(M40&lt;0.15,"SAFETY_STOP",IF(M40&lt;=N40,"VL_THRESHOLD",""))),"")</f>
        <v/>
      </c>
      <c r="Q40" s="7">
        <f>IFERROR(IF(I40="","",IF(I40&gt;(0.475+0.05),"+5kg",IF(I40&gt;(0.475+0.02),"+2.5kg",IF(I40&gt;=(0.475-0.05),"保持",IF(I40&gt;=(0.475-0.08),"-2.5kg","-5kg"))))),"")</f>
        <v/>
      </c>
      <c r="R40" s="9" t="n"/>
    </row>
    <row r="41">
      <c r="A41" s="7" t="n">
        <v>3</v>
      </c>
      <c r="B41" s="9" t="n"/>
      <c r="C41" s="9" t="n"/>
      <c r="D41" s="9" t="n"/>
      <c r="E41" s="9" t="n"/>
      <c r="F41" s="9" t="n"/>
      <c r="G41" s="9" t="n"/>
      <c r="H41" s="9" t="n"/>
      <c r="I41" s="7">
        <f>IFERROR(MAX(C41:H41),"")</f>
        <v/>
      </c>
      <c r="J41" s="7">
        <f>IFERROR(MATCH(I41,C41:H41,0),"")</f>
        <v/>
      </c>
      <c r="K41" s="7" t="n">
        <v>25</v>
      </c>
      <c r="L41" s="7">
        <f>IFERROR(I41*(1-(K41/100)),"")</f>
        <v/>
      </c>
      <c r="M41" s="7">
        <f>IFERROR(LOOKUP(9.99E+307,C41:H41),"")</f>
        <v/>
      </c>
      <c r="N41" s="7">
        <f>IFERROR(IF(M41="","",IF(M41&lt;=N41,"停组🛑","继续✓")),"")</f>
        <v/>
      </c>
      <c r="O41" s="7">
        <f>IFERROR(IF(M41="","",IF(M41&lt;0.15,"SAFETY_STOP","")),"")</f>
        <v/>
      </c>
      <c r="P41" s="7">
        <f>IFERROR(IF(M41="","",IF(M41&lt;0.15,"SAFETY_STOP",IF(M41&lt;=N41,"VL_THRESHOLD",""))),"")</f>
        <v/>
      </c>
      <c r="Q41" s="7">
        <f>IFERROR(IF(I41="","",IF(I41&gt;(0.475+0.05),"+5kg",IF(I41&gt;(0.475+0.02),"+2.5kg",IF(I41&gt;=(0.475-0.05),"保持",IF(I41&gt;=(0.475-0.08),"-2.5kg","-5kg"))))),"")</f>
        <v/>
      </c>
      <c r="R41" s="9" t="n"/>
    </row>
    <row r="42">
      <c r="A42" s="7" t="n">
        <v>4</v>
      </c>
      <c r="B42" s="9" t="n"/>
      <c r="C42" s="9" t="n"/>
      <c r="D42" s="9" t="n"/>
      <c r="E42" s="9" t="n"/>
      <c r="F42" s="9" t="n"/>
      <c r="G42" s="9" t="n"/>
      <c r="H42" s="9" t="n"/>
      <c r="I42" s="7">
        <f>IFERROR(MAX(C42:H42),"")</f>
        <v/>
      </c>
      <c r="J42" s="7">
        <f>IFERROR(MATCH(I42,C42:H42,0),"")</f>
        <v/>
      </c>
      <c r="K42" s="7" t="n">
        <v>25</v>
      </c>
      <c r="L42" s="7">
        <f>IFERROR(I42*(1-(K42/100)),"")</f>
        <v/>
      </c>
      <c r="M42" s="7">
        <f>IFERROR(LOOKUP(9.99E+307,C42:H42),"")</f>
        <v/>
      </c>
      <c r="N42" s="7">
        <f>IFERROR(IF(M42="","",IF(M42&lt;=N42,"停组🛑","继续✓")),"")</f>
        <v/>
      </c>
      <c r="O42" s="7">
        <f>IFERROR(IF(M42="","",IF(M42&lt;0.15,"SAFETY_STOP","")),"")</f>
        <v/>
      </c>
      <c r="P42" s="7">
        <f>IFERROR(IF(M42="","",IF(M42&lt;0.15,"SAFETY_STOP",IF(M42&lt;=N42,"VL_THRESHOLD",""))),"")</f>
        <v/>
      </c>
      <c r="Q42" s="7">
        <f>IFERROR(IF(I42="","",IF(I42&gt;(0.475+0.05),"+5kg",IF(I42&gt;(0.475+0.02),"+2.5kg",IF(I42&gt;=(0.475-0.05),"保持",IF(I42&gt;=(0.475-0.08),"-2.5kg","-5kg"))))),"")</f>
        <v/>
      </c>
      <c r="R42" s="9" t="n"/>
    </row>
    <row r="43">
      <c r="A43" s="7" t="n">
        <v>5</v>
      </c>
      <c r="B43" s="9" t="n"/>
      <c r="C43" s="9" t="n"/>
      <c r="D43" s="9" t="n"/>
      <c r="E43" s="9" t="n"/>
      <c r="F43" s="9" t="n"/>
      <c r="G43" s="9" t="n"/>
      <c r="H43" s="9" t="n"/>
      <c r="I43" s="7">
        <f>IFERROR(MAX(C43:H43),"")</f>
        <v/>
      </c>
      <c r="J43" s="7">
        <f>IFERROR(MATCH(I43,C43:H43,0),"")</f>
        <v/>
      </c>
      <c r="K43" s="7" t="n">
        <v>25</v>
      </c>
      <c r="L43" s="7">
        <f>IFERROR(I43*(1-(K43/100)),"")</f>
        <v/>
      </c>
      <c r="M43" s="7">
        <f>IFERROR(LOOKUP(9.99E+307,C43:H43),"")</f>
        <v/>
      </c>
      <c r="N43" s="7">
        <f>IFERROR(IF(M43="","",IF(M43&lt;=N43,"停组🛑","继续✓")),"")</f>
        <v/>
      </c>
      <c r="O43" s="7">
        <f>IFERROR(IF(M43="","",IF(M43&lt;0.15,"SAFETY_STOP","")),"")</f>
        <v/>
      </c>
      <c r="P43" s="7">
        <f>IFERROR(IF(M43="","",IF(M43&lt;0.15,"SAFETY_STOP",IF(M43&lt;=N43,"VL_THRESHOLD",""))),"")</f>
        <v/>
      </c>
      <c r="Q43" s="7">
        <f>IFERROR(IF(I43="","",IF(I43&gt;(0.475+0.05),"+5kg",IF(I43&gt;(0.475+0.02),"+2.5kg",IF(I43&gt;=(0.475-0.05),"保持",IF(I43&gt;=(0.475-0.08),"-2.5kg","-5kg"))))),"")</f>
        <v/>
      </c>
      <c r="R43" s="9" t="n"/>
    </row>
    <row r="44">
      <c r="A44" s="7" t="n">
        <v>6</v>
      </c>
      <c r="B44" s="9" t="n"/>
      <c r="C44" s="9" t="n"/>
      <c r="D44" s="9" t="n"/>
      <c r="E44" s="9" t="n"/>
      <c r="F44" s="9" t="n"/>
      <c r="G44" s="9" t="n"/>
      <c r="H44" s="9" t="n"/>
      <c r="I44" s="7">
        <f>IFERROR(MAX(C44:H44),"")</f>
        <v/>
      </c>
      <c r="J44" s="7">
        <f>IFERROR(MATCH(I44,C44:H44,0),"")</f>
        <v/>
      </c>
      <c r="K44" s="7" t="n">
        <v>25</v>
      </c>
      <c r="L44" s="7">
        <f>IFERROR(I44*(1-(K44/100)),"")</f>
        <v/>
      </c>
      <c r="M44" s="7">
        <f>IFERROR(LOOKUP(9.99E+307,C44:H44),"")</f>
        <v/>
      </c>
      <c r="N44" s="7">
        <f>IFERROR(IF(M44="","",IF(M44&lt;=N44,"停组🛑","继续✓")),"")</f>
        <v/>
      </c>
      <c r="O44" s="7">
        <f>IFERROR(IF(M44="","",IF(M44&lt;0.15,"SAFETY_STOP","")),"")</f>
        <v/>
      </c>
      <c r="P44" s="7">
        <f>IFERROR(IF(M44="","",IF(M44&lt;0.15,"SAFETY_STOP",IF(M44&lt;=N44,"VL_THRESHOLD",""))),"")</f>
        <v/>
      </c>
      <c r="Q44" s="7">
        <f>IFERROR(IF(I44="","",IF(I44&gt;(0.475+0.05),"+5kg",IF(I44&gt;(0.475+0.02),"+2.5kg",IF(I44&gt;=(0.475-0.05),"保持",IF(I44&gt;=(0.475-0.08),"-2.5kg","-5kg"))))),"")</f>
        <v/>
      </c>
      <c r="R44" s="9" t="n"/>
    </row>
    <row r="45">
      <c r="A45" s="13" t="inlineStr">
        <is>
          <t>辅助</t>
        </is>
      </c>
      <c r="D45" s="14" t="inlineStr">
        <is>
          <t>RDL</t>
        </is>
      </c>
      <c r="E45" s="14" t="inlineStr">
        <is>
          <t>负荷</t>
        </is>
      </c>
      <c r="F45" s="14" t="inlineStr">
        <is>
          <t>完成</t>
        </is>
      </c>
      <c r="I45" t="inlineStr">
        <is>
          <t>VL</t>
        </is>
      </c>
    </row>
    <row r="46">
      <c r="A46" s="15" t="inlineStr">
        <is>
          <t>训练后</t>
        </is>
      </c>
      <c r="B46" s="15" t="inlineStr">
        <is>
          <t>开始</t>
        </is>
      </c>
      <c r="C46" s="15" t="inlineStr">
        <is>
          <t>结束</t>
        </is>
      </c>
      <c r="D46" s="15" t="inlineStr">
        <is>
          <t>时长min</t>
        </is>
      </c>
      <c r="E46" s="15" t="inlineStr">
        <is>
          <t>sRPE</t>
        </is>
      </c>
      <c r="F46" s="15" t="inlineStr">
        <is>
          <t>load</t>
        </is>
      </c>
      <c r="G46" s="15" t="inlineStr">
        <is>
          <t>不适?</t>
        </is>
      </c>
      <c r="H46" s="15" t="inlineStr">
        <is>
          <t>备注</t>
        </is>
      </c>
      <c r="I46" s="15" t="inlineStr">
        <is>
          <t>签名</t>
        </is>
      </c>
    </row>
    <row r="47">
      <c r="A47" s="7" t="n"/>
      <c r="B47" s="9" t="n"/>
      <c r="C47" s="9" t="n"/>
      <c r="D47" s="11">
        <f>IFERROR((C47-B47)*1440,"")</f>
        <v/>
      </c>
      <c r="E47" s="9" t="n"/>
      <c r="F47" s="11">
        <f>IFERROR(E47*D47,"")</f>
        <v/>
      </c>
      <c r="G47" s="9" t="n"/>
      <c r="H47" s="9" t="n"/>
      <c r="I47" s="9" t="n"/>
    </row>
    <row r="48">
      <c r="A48" s="16" t="inlineStr">
        <is>
          <t>跳跃</t>
        </is>
      </c>
      <c r="B48" s="16" t="inlineStr">
        <is>
          <t>类型</t>
        </is>
      </c>
      <c r="C48" s="16" t="inlineStr">
        <is>
          <t>组×次</t>
        </is>
      </c>
      <c r="D48" s="16" t="inlineStr">
        <is>
          <t>负荷kg</t>
        </is>
      </c>
      <c r="E48" s="16" t="inlineStr">
        <is>
          <t>接触</t>
        </is>
      </c>
    </row>
    <row r="49">
      <c r="B49" t="inlineStr">
        <is>
          <t>CMJ</t>
        </is>
      </c>
      <c r="C49" t="inlineStr">
        <is>
          <t>3×3</t>
        </is>
      </c>
      <c r="D49" t="n">
        <v>0</v>
      </c>
      <c r="E49" t="n">
        <v>9</v>
      </c>
    </row>
    <row r="50">
      <c r="B50" t="inlineStr">
        <is>
          <t>箱跳</t>
        </is>
      </c>
      <c r="C50" t="inlineStr">
        <is>
          <t>3×3</t>
        </is>
      </c>
      <c r="D50" t="n">
        <v>0</v>
      </c>
      <c r="E50" t="n">
        <v>9</v>
      </c>
    </row>
    <row r="51">
      <c r="A51" s="17" t="inlineStr">
        <is>
          <t>▶ 暴露量汇总</t>
        </is>
      </c>
      <c r="B51" s="17" t="inlineStr">
        <is>
          <t>说明</t>
        </is>
      </c>
      <c r="C51" s="17" t="inlineStr">
        <is>
          <t>公式/来源</t>
        </is>
      </c>
      <c r="D51" s="17" t="inlineStr">
        <is>
          <t>数值</t>
        </is>
      </c>
    </row>
    <row r="52">
      <c r="A52" s="18" t="inlineStr">
        <is>
          <t>① 无负荷跳跃接触</t>
        </is>
      </c>
      <c r="B52" s="18" t="inlineStr">
        <is>
          <t>CMJ+SJ+箱跳</t>
        </is>
      </c>
      <c r="C52" s="19">
        <f>IFERROR(E49+E50,2)</f>
        <v/>
      </c>
    </row>
    <row r="53">
      <c r="A53" s="18" t="inlineStr">
        <is>
          <t>② 负重跳跃接触</t>
        </is>
      </c>
      <c r="B53" s="18" t="inlineStr">
        <is>
          <t>负重深蹲跳</t>
        </is>
      </c>
      <c r="C53" s="19">
        <f>IFERROR(E49,"")</f>
        <v/>
      </c>
    </row>
    <row r="54">
      <c r="A54" s="18" t="inlineStr">
        <is>
          <t>③ 跳跃总计</t>
        </is>
      </c>
      <c r="B54" s="18" t="inlineStr">
        <is>
          <t>①+②</t>
        </is>
      </c>
      <c r="C54" s="19">
        <f>IFERROR(B52+B53,"")</f>
        <v/>
      </c>
    </row>
    <row r="55">
      <c r="A55" s="18" t="inlineStr">
        <is>
          <t>④ 热身VL</t>
        </is>
      </c>
      <c r="B55" s="18" t="inlineStr">
        <is>
          <t>20×5+50%×3(+70%×2)</t>
        </is>
      </c>
      <c r="C55" s="19">
        <f>IFERROR(20*5+ROUND(V35*0.5,0)*3+ROUND(V{dr}*0.7,0)*2,"-")</f>
        <v/>
      </c>
    </row>
    <row r="56">
      <c r="A56" s="20" t="inlineStr">
        <is>
          <t>⑤ 主项工作组VL ★</t>
        </is>
      </c>
      <c r="B56" s="20" t="inlineStr">
        <is>
          <t>Σ(负荷×次数)</t>
        </is>
      </c>
      <c r="C56" s="21">
        <f>SUMPRODUCT($B$39:$B$44,$R$39:$R$44)</f>
        <v/>
      </c>
    </row>
    <row r="57">
      <c r="A57" s="18" t="inlineStr">
        <is>
          <t>⑥ 主项总VL</t>
        </is>
      </c>
      <c r="B57" s="18" t="inlineStr">
        <is>
          <t>④+⑤</t>
        </is>
      </c>
      <c r="C57" s="19">
        <f>IFERROR(D52+D53,"")</f>
        <v/>
      </c>
    </row>
    <row r="58">
      <c r="A58" s="18" t="inlineStr">
        <is>
          <t>⑦ 辅助VL</t>
        </is>
      </c>
      <c r="B58" s="18" t="inlineStr">
        <is>
          <t>RDL/保加利亚</t>
        </is>
      </c>
      <c r="C58" s="19">
        <f>IFERROR(I45,"")</f>
        <v/>
      </c>
    </row>
    <row r="59">
      <c r="A59" s="18" t="inlineStr">
        <is>
          <t>⑧ 总外部负荷</t>
        </is>
      </c>
      <c r="B59" s="18" t="inlineStr">
        <is>
          <t>⑥+⑦(+负重跳)</t>
        </is>
      </c>
      <c r="C59" s="19">
        <f>IFERROR(F52+G52,"")</f>
        <v/>
      </c>
    </row>
    <row r="60">
      <c r="A60" s="18" t="inlineStr">
        <is>
          <t>⑨ sRPE load</t>
        </is>
      </c>
      <c r="B60" s="18" t="inlineStr">
        <is>
          <t>sRPE×时长</t>
        </is>
      </c>
      <c r="C60" s="19">
        <f>IFERROR(F47,"")</f>
        <v/>
      </c>
    </row>
    <row r="63">
      <c r="A63" s="5" t="inlineStr">
        <is>
          <t>P002 何天元  a=1.487 b=-0.0054 1RM=150</t>
        </is>
      </c>
    </row>
    <row r="64">
      <c r="A64" s="6" t="inlineStr">
        <is>
          <t>编号</t>
        </is>
      </c>
      <c r="B64" s="6" t="inlineStr">
        <is>
          <t>姓名</t>
        </is>
      </c>
      <c r="C64" s="6" t="inlineStr">
        <is>
          <t>身高</t>
        </is>
      </c>
      <c r="D64" s="6" t="inlineStr">
        <is>
          <t>1RM</t>
        </is>
      </c>
      <c r="E64" s="6" t="inlineStr">
        <is>
          <t>Hooper睡</t>
        </is>
      </c>
      <c r="F64" s="6" t="inlineStr">
        <is>
          <t>Hooper压</t>
        </is>
      </c>
      <c r="G64" s="6" t="inlineStr">
        <is>
          <t>Hooper疲</t>
        </is>
      </c>
      <c r="H64" s="6" t="inlineStr">
        <is>
          <t>Hooper酸</t>
        </is>
      </c>
      <c r="I64" s="6" t="inlineStr">
        <is>
          <t>H总</t>
        </is>
      </c>
      <c r="J64" s="6" t="inlineStr">
        <is>
          <t>不适?</t>
        </is>
      </c>
      <c r="K64" s="6" t="inlineStr">
        <is>
          <t>说明</t>
        </is>
      </c>
      <c r="L64" s="6" t="inlineStr">
        <is>
          <t>CMJ1</t>
        </is>
      </c>
      <c r="M64" s="6" t="inlineStr">
        <is>
          <t>CMJ2</t>
        </is>
      </c>
      <c r="N64" s="6" t="inlineStr">
        <is>
          <t>CMJ3</t>
        </is>
      </c>
      <c r="O64" s="6" t="inlineStr">
        <is>
          <t>CMJμ</t>
        </is>
      </c>
      <c r="P64" s="6" t="inlineStr">
        <is>
          <t>&lt;95%</t>
        </is>
      </c>
      <c r="Q64" s="6" t="inlineStr">
        <is>
          <t>减组</t>
        </is>
      </c>
      <c r="R64" s="6" t="inlineStr">
        <is>
          <t>组数</t>
        </is>
      </c>
      <c r="S64" s="6" t="inlineStr">
        <is>
          <t>a(V0)</t>
        </is>
      </c>
      <c r="T64" s="6" t="inlineStr">
        <is>
          <t>b</t>
        </is>
      </c>
      <c r="U64" s="6" t="inlineStr">
        <is>
          <t>等级</t>
        </is>
      </c>
      <c r="V64" s="6" t="inlineStr">
        <is>
          <t>预测起始</t>
        </is>
      </c>
    </row>
    <row r="65">
      <c r="A65" s="7" t="inlineStr">
        <is>
          <t>P002</t>
        </is>
      </c>
      <c r="B65" s="7" t="inlineStr">
        <is>
          <t>何天元</t>
        </is>
      </c>
      <c r="C65" s="7" t="n">
        <v>178</v>
      </c>
      <c r="D65" s="8" t="n">
        <v>150</v>
      </c>
      <c r="E65" s="9" t="n"/>
      <c r="F65" s="9" t="n"/>
      <c r="G65" s="9" t="n"/>
      <c r="H65" s="9" t="n"/>
      <c r="I65" s="7">
        <f>IFERROR(SUM(E65:H65),"")</f>
        <v/>
      </c>
      <c r="J65" s="9" t="n"/>
      <c r="K65" s="9" t="n"/>
      <c r="L65" s="9" t="n"/>
      <c r="M65" s="9" t="n"/>
      <c r="N65" s="9" t="n"/>
      <c r="O65" s="7">
        <f>IFERROR(AVERAGE(L65:N65),"")</f>
        <v/>
      </c>
      <c r="P65" s="7">
        <f>IF(O65="","",IF(O65&lt;60.54,"是⚠","否"))</f>
        <v/>
      </c>
      <c r="Q65" s="7">
        <f>IF(O65="","",IF(O65&lt;60.54,5-1,5))</f>
        <v/>
      </c>
      <c r="R65" s="7" t="n"/>
      <c r="S65" s="8" t="n">
        <v>1.487</v>
      </c>
      <c r="T65" s="8" t="n">
        <v>-0.0054</v>
      </c>
      <c r="U65" s="7" t="inlineStr">
        <is>
          <t>B</t>
        </is>
      </c>
      <c r="V65" s="8" t="n">
        <v>187.5</v>
      </c>
    </row>
    <row r="66">
      <c r="A66" s="10" t="inlineStr">
        <is>
          <t>热身校准</t>
        </is>
      </c>
      <c r="B66" s="10" t="inlineStr">
        <is>
          <t>a</t>
        </is>
      </c>
      <c r="C66" s="10" t="inlineStr">
        <is>
          <t>b</t>
        </is>
      </c>
      <c r="D66" s="10" t="inlineStr">
        <is>
          <t>50%热身</t>
        </is>
      </c>
      <c r="E66" s="10" t="inlineStr">
        <is>
          <t>70%热身</t>
        </is>
      </c>
      <c r="F66" s="10" t="inlineStr">
        <is>
          <t>热身负荷</t>
        </is>
      </c>
      <c r="G66" s="10" t="inlineStr">
        <is>
          <t>实测MCV</t>
        </is>
      </c>
      <c r="H66" s="10" t="inlineStr">
        <is>
          <t>预测MCV</t>
        </is>
      </c>
      <c r="I66" s="10" t="inlineStr">
        <is>
          <t>Δv</t>
        </is>
      </c>
      <c r="J66" s="10" t="inlineStr">
        <is>
          <t>调整量</t>
        </is>
      </c>
      <c r="K66" s="10" t="inlineStr">
        <is>
          <t>校准第1组</t>
        </is>
      </c>
    </row>
    <row r="67">
      <c r="A67" s="7" t="n"/>
      <c r="B67" s="11" t="n">
        <v>1.487</v>
      </c>
      <c r="C67" s="11" t="n">
        <v>-0.0054</v>
      </c>
      <c r="D67" s="11">
        <f>IFERROR(ROUND(V65*0.5/2.5,0)*2.5,"")</f>
        <v/>
      </c>
      <c r="E67" s="11">
        <f>IFERROR(ROUND(V65*0.7/2.5,0)*2.5,"")</f>
        <v/>
      </c>
      <c r="F67" s="11">
        <f>IFERROR(ROUND(V65*0.6/2.5,0)*2.5,"")</f>
        <v/>
      </c>
      <c r="G67" s="9" t="n"/>
      <c r="H67" s="11">
        <f>IFERROR(B67+C67*F67,"")</f>
        <v/>
      </c>
      <c r="I67" s="11">
        <f>IFERROR(G67-H67,"")</f>
        <v/>
      </c>
      <c r="J67" s="11">
        <f>IFERROR(IF(I67&gt;0.08,5,IF(I67&gt;0.04,2.5,IF(I67&gt;=-0.04,0,IF(I67&gt;=-0.08,-2.5,-5)))),"")</f>
        <v/>
      </c>
      <c r="K67" s="11">
        <f>IFERROR(ROUND(V65+J67,0),"")</f>
        <v/>
      </c>
    </row>
    <row r="68">
      <c r="A68" s="12" t="inlineStr">
        <is>
          <t>组</t>
        </is>
      </c>
      <c r="B68" s="12" t="inlineStr">
        <is>
          <t>负荷</t>
        </is>
      </c>
      <c r="C68" s="12" t="inlineStr">
        <is>
          <t>rep1</t>
        </is>
      </c>
      <c r="D68" s="12" t="inlineStr">
        <is>
          <t>rep2</t>
        </is>
      </c>
      <c r="E68" s="12" t="inlineStr">
        <is>
          <t>rep3</t>
        </is>
      </c>
      <c r="F68" s="12" t="inlineStr">
        <is>
          <t>rep4</t>
        </is>
      </c>
      <c r="G68" s="12" t="inlineStr">
        <is>
          <t>rep5</t>
        </is>
      </c>
      <c r="H68" s="12" t="inlineStr">
        <is>
          <t>rep6</t>
        </is>
      </c>
      <c r="I68" s="12" t="inlineStr">
        <is>
          <t>best</t>
        </is>
      </c>
      <c r="J68" s="12" t="inlineStr">
        <is>
          <t>best#</t>
        </is>
      </c>
      <c r="K68" s="12" t="inlineStr">
        <is>
          <t>VL%</t>
        </is>
      </c>
      <c r="L68" s="12" t="inlineStr">
        <is>
          <t>stop_th</t>
        </is>
      </c>
      <c r="M68" s="12" t="inlineStr">
        <is>
          <t>latest</t>
        </is>
      </c>
      <c r="N68" s="12" t="inlineStr">
        <is>
          <t>VL_flag</t>
        </is>
      </c>
      <c r="O68" s="12" t="inlineStr">
        <is>
          <t>safety</t>
        </is>
      </c>
      <c r="P68" s="12" t="inlineStr">
        <is>
          <t>原因</t>
        </is>
      </c>
      <c r="Q68" s="12" t="inlineStr">
        <is>
          <t>建议</t>
        </is>
      </c>
      <c r="R68" s="12" t="inlineStr">
        <is>
          <t>次数</t>
        </is>
      </c>
    </row>
    <row r="69">
      <c r="A69" s="7" t="n">
        <v>1</v>
      </c>
      <c r="B69" s="9">
        <f>IFERROR(K67,"")</f>
        <v/>
      </c>
      <c r="C69" s="9" t="n"/>
      <c r="D69" s="9" t="n"/>
      <c r="E69" s="9" t="n"/>
      <c r="F69" s="9" t="n"/>
      <c r="G69" s="9" t="n"/>
      <c r="H69" s="9" t="n"/>
      <c r="I69" s="7">
        <f>IFERROR(MAX(C69:H69),"")</f>
        <v/>
      </c>
      <c r="J69" s="7">
        <f>IFERROR(MATCH(I69,C69:H69,0),"")</f>
        <v/>
      </c>
      <c r="K69" s="7" t="n">
        <v>25</v>
      </c>
      <c r="L69" s="7">
        <f>IFERROR(I69*(1-(K69/100)),"")</f>
        <v/>
      </c>
      <c r="M69" s="7">
        <f>IFERROR(LOOKUP(9.99E+307,C69:H69),"")</f>
        <v/>
      </c>
      <c r="N69" s="7">
        <f>IFERROR(IF(M69="","",IF(M69&lt;=N69,"停组🛑","继续✓")),"")</f>
        <v/>
      </c>
      <c r="O69" s="7">
        <f>IFERROR(IF(M69="","",IF(M69&lt;0.15,"SAFETY_STOP","")),"")</f>
        <v/>
      </c>
      <c r="P69" s="7">
        <f>IFERROR(IF(M69="","",IF(M69&lt;0.15,"SAFETY_STOP",IF(M69&lt;=N69,"VL_THRESHOLD",""))),"")</f>
        <v/>
      </c>
      <c r="Q69" s="7">
        <f>IFERROR(IF(I69="","",IF(I69&gt;(0.475+0.05),"+5kg",IF(I69&gt;(0.475+0.02),"+2.5kg",IF(I69&gt;=(0.475-0.05),"保持",IF(I69&gt;=(0.475-0.08),"-2.5kg","-5kg"))))),"")</f>
        <v/>
      </c>
      <c r="R69" s="9" t="n"/>
    </row>
    <row r="70">
      <c r="A70" s="7" t="n">
        <v>2</v>
      </c>
      <c r="B70" s="9" t="n"/>
      <c r="C70" s="9" t="n"/>
      <c r="D70" s="9" t="n"/>
      <c r="E70" s="9" t="n"/>
      <c r="F70" s="9" t="n"/>
      <c r="G70" s="9" t="n"/>
      <c r="H70" s="9" t="n"/>
      <c r="I70" s="7">
        <f>IFERROR(MAX(C70:H70),"")</f>
        <v/>
      </c>
      <c r="J70" s="7">
        <f>IFERROR(MATCH(I70,C70:H70,0),"")</f>
        <v/>
      </c>
      <c r="K70" s="7" t="n">
        <v>25</v>
      </c>
      <c r="L70" s="7">
        <f>IFERROR(I70*(1-(K70/100)),"")</f>
        <v/>
      </c>
      <c r="M70" s="7">
        <f>IFERROR(LOOKUP(9.99E+307,C70:H70),"")</f>
        <v/>
      </c>
      <c r="N70" s="7">
        <f>IFERROR(IF(M70="","",IF(M70&lt;=N70,"停组🛑","继续✓")),"")</f>
        <v/>
      </c>
      <c r="O70" s="7">
        <f>IFERROR(IF(M70="","",IF(M70&lt;0.15,"SAFETY_STOP","")),"")</f>
        <v/>
      </c>
      <c r="P70" s="7">
        <f>IFERROR(IF(M70="","",IF(M70&lt;0.15,"SAFETY_STOP",IF(M70&lt;=N70,"VL_THRESHOLD",""))),"")</f>
        <v/>
      </c>
      <c r="Q70" s="7">
        <f>IFERROR(IF(I70="","",IF(I70&gt;(0.475+0.05),"+5kg",IF(I70&gt;(0.475+0.02),"+2.5kg",IF(I70&gt;=(0.475-0.05),"保持",IF(I70&gt;=(0.475-0.08),"-2.5kg","-5kg"))))),"")</f>
        <v/>
      </c>
      <c r="R70" s="9" t="n"/>
    </row>
    <row r="71">
      <c r="A71" s="7" t="n">
        <v>3</v>
      </c>
      <c r="B71" s="9" t="n"/>
      <c r="C71" s="9" t="n"/>
      <c r="D71" s="9" t="n"/>
      <c r="E71" s="9" t="n"/>
      <c r="F71" s="9" t="n"/>
      <c r="G71" s="9" t="n"/>
      <c r="H71" s="9" t="n"/>
      <c r="I71" s="7">
        <f>IFERROR(MAX(C71:H71),"")</f>
        <v/>
      </c>
      <c r="J71" s="7">
        <f>IFERROR(MATCH(I71,C71:H71,0),"")</f>
        <v/>
      </c>
      <c r="K71" s="7" t="n">
        <v>25</v>
      </c>
      <c r="L71" s="7">
        <f>IFERROR(I71*(1-(K71/100)),"")</f>
        <v/>
      </c>
      <c r="M71" s="7">
        <f>IFERROR(LOOKUP(9.99E+307,C71:H71),"")</f>
        <v/>
      </c>
      <c r="N71" s="7">
        <f>IFERROR(IF(M71="","",IF(M71&lt;=N71,"停组🛑","继续✓")),"")</f>
        <v/>
      </c>
      <c r="O71" s="7">
        <f>IFERROR(IF(M71="","",IF(M71&lt;0.15,"SAFETY_STOP","")),"")</f>
        <v/>
      </c>
      <c r="P71" s="7">
        <f>IFERROR(IF(M71="","",IF(M71&lt;0.15,"SAFETY_STOP",IF(M71&lt;=N71,"VL_THRESHOLD",""))),"")</f>
        <v/>
      </c>
      <c r="Q71" s="7">
        <f>IFERROR(IF(I71="","",IF(I71&gt;(0.475+0.05),"+5kg",IF(I71&gt;(0.475+0.02),"+2.5kg",IF(I71&gt;=(0.475-0.05),"保持",IF(I71&gt;=(0.475-0.08),"-2.5kg","-5kg"))))),"")</f>
        <v/>
      </c>
      <c r="R71" s="9" t="n"/>
    </row>
    <row r="72">
      <c r="A72" s="7" t="n">
        <v>4</v>
      </c>
      <c r="B72" s="9" t="n"/>
      <c r="C72" s="9" t="n"/>
      <c r="D72" s="9" t="n"/>
      <c r="E72" s="9" t="n"/>
      <c r="F72" s="9" t="n"/>
      <c r="G72" s="9" t="n"/>
      <c r="H72" s="9" t="n"/>
      <c r="I72" s="7">
        <f>IFERROR(MAX(C72:H72),"")</f>
        <v/>
      </c>
      <c r="J72" s="7">
        <f>IFERROR(MATCH(I72,C72:H72,0),"")</f>
        <v/>
      </c>
      <c r="K72" s="7" t="n">
        <v>25</v>
      </c>
      <c r="L72" s="7">
        <f>IFERROR(I72*(1-(K72/100)),"")</f>
        <v/>
      </c>
      <c r="M72" s="7">
        <f>IFERROR(LOOKUP(9.99E+307,C72:H72),"")</f>
        <v/>
      </c>
      <c r="N72" s="7">
        <f>IFERROR(IF(M72="","",IF(M72&lt;=N72,"停组🛑","继续✓")),"")</f>
        <v/>
      </c>
      <c r="O72" s="7">
        <f>IFERROR(IF(M72="","",IF(M72&lt;0.15,"SAFETY_STOP","")),"")</f>
        <v/>
      </c>
      <c r="P72" s="7">
        <f>IFERROR(IF(M72="","",IF(M72&lt;0.15,"SAFETY_STOP",IF(M72&lt;=N72,"VL_THRESHOLD",""))),"")</f>
        <v/>
      </c>
      <c r="Q72" s="7">
        <f>IFERROR(IF(I72="","",IF(I72&gt;(0.475+0.05),"+5kg",IF(I72&gt;(0.475+0.02),"+2.5kg",IF(I72&gt;=(0.475-0.05),"保持",IF(I72&gt;=(0.475-0.08),"-2.5kg","-5kg"))))),"")</f>
        <v/>
      </c>
      <c r="R72" s="9" t="n"/>
    </row>
    <row r="73">
      <c r="A73" s="7" t="n">
        <v>5</v>
      </c>
      <c r="B73" s="9" t="n"/>
      <c r="C73" s="9" t="n"/>
      <c r="D73" s="9" t="n"/>
      <c r="E73" s="9" t="n"/>
      <c r="F73" s="9" t="n"/>
      <c r="G73" s="9" t="n"/>
      <c r="H73" s="9" t="n"/>
      <c r="I73" s="7">
        <f>IFERROR(MAX(C73:H73),"")</f>
        <v/>
      </c>
      <c r="J73" s="7">
        <f>IFERROR(MATCH(I73,C73:H73,0),"")</f>
        <v/>
      </c>
      <c r="K73" s="7" t="n">
        <v>25</v>
      </c>
      <c r="L73" s="7">
        <f>IFERROR(I73*(1-(K73/100)),"")</f>
        <v/>
      </c>
      <c r="M73" s="7">
        <f>IFERROR(LOOKUP(9.99E+307,C73:H73),"")</f>
        <v/>
      </c>
      <c r="N73" s="7">
        <f>IFERROR(IF(M73="","",IF(M73&lt;=N73,"停组🛑","继续✓")),"")</f>
        <v/>
      </c>
      <c r="O73" s="7">
        <f>IFERROR(IF(M73="","",IF(M73&lt;0.15,"SAFETY_STOP","")),"")</f>
        <v/>
      </c>
      <c r="P73" s="7">
        <f>IFERROR(IF(M73="","",IF(M73&lt;0.15,"SAFETY_STOP",IF(M73&lt;=N73,"VL_THRESHOLD",""))),"")</f>
        <v/>
      </c>
      <c r="Q73" s="7">
        <f>IFERROR(IF(I73="","",IF(I73&gt;(0.475+0.05),"+5kg",IF(I73&gt;(0.475+0.02),"+2.5kg",IF(I73&gt;=(0.475-0.05),"保持",IF(I73&gt;=(0.475-0.08),"-2.5kg","-5kg"))))),"")</f>
        <v/>
      </c>
      <c r="R73" s="9" t="n"/>
    </row>
    <row r="74">
      <c r="A74" s="7" t="n">
        <v>6</v>
      </c>
      <c r="B74" s="9" t="n"/>
      <c r="C74" s="9" t="n"/>
      <c r="D74" s="9" t="n"/>
      <c r="E74" s="9" t="n"/>
      <c r="F74" s="9" t="n"/>
      <c r="G74" s="9" t="n"/>
      <c r="H74" s="9" t="n"/>
      <c r="I74" s="7">
        <f>IFERROR(MAX(C74:H74),"")</f>
        <v/>
      </c>
      <c r="J74" s="7">
        <f>IFERROR(MATCH(I74,C74:H74,0),"")</f>
        <v/>
      </c>
      <c r="K74" s="7" t="n">
        <v>25</v>
      </c>
      <c r="L74" s="7">
        <f>IFERROR(I74*(1-(K74/100)),"")</f>
        <v/>
      </c>
      <c r="M74" s="7">
        <f>IFERROR(LOOKUP(9.99E+307,C74:H74),"")</f>
        <v/>
      </c>
      <c r="N74" s="7">
        <f>IFERROR(IF(M74="","",IF(M74&lt;=N74,"停组🛑","继续✓")),"")</f>
        <v/>
      </c>
      <c r="O74" s="7">
        <f>IFERROR(IF(M74="","",IF(M74&lt;0.15,"SAFETY_STOP","")),"")</f>
        <v/>
      </c>
      <c r="P74" s="7">
        <f>IFERROR(IF(M74="","",IF(M74&lt;0.15,"SAFETY_STOP",IF(M74&lt;=N74,"VL_THRESHOLD",""))),"")</f>
        <v/>
      </c>
      <c r="Q74" s="7">
        <f>IFERROR(IF(I74="","",IF(I74&gt;(0.475+0.05),"+5kg",IF(I74&gt;(0.475+0.02),"+2.5kg",IF(I74&gt;=(0.475-0.05),"保持",IF(I74&gt;=(0.475-0.08),"-2.5kg","-5kg"))))),"")</f>
        <v/>
      </c>
      <c r="R74" s="9" t="n"/>
    </row>
    <row r="75">
      <c r="A75" s="13" t="inlineStr">
        <is>
          <t>辅助</t>
        </is>
      </c>
      <c r="D75" s="14" t="inlineStr">
        <is>
          <t>RDL</t>
        </is>
      </c>
      <c r="E75" s="14" t="inlineStr">
        <is>
          <t>负荷</t>
        </is>
      </c>
      <c r="F75" s="14" t="inlineStr">
        <is>
          <t>完成</t>
        </is>
      </c>
      <c r="I75" t="inlineStr">
        <is>
          <t>VL</t>
        </is>
      </c>
    </row>
    <row r="76">
      <c r="A76" s="15" t="inlineStr">
        <is>
          <t>训练后</t>
        </is>
      </c>
      <c r="B76" s="15" t="inlineStr">
        <is>
          <t>开始</t>
        </is>
      </c>
      <c r="C76" s="15" t="inlineStr">
        <is>
          <t>结束</t>
        </is>
      </c>
      <c r="D76" s="15" t="inlineStr">
        <is>
          <t>时长min</t>
        </is>
      </c>
      <c r="E76" s="15" t="inlineStr">
        <is>
          <t>sRPE</t>
        </is>
      </c>
      <c r="F76" s="15" t="inlineStr">
        <is>
          <t>load</t>
        </is>
      </c>
      <c r="G76" s="15" t="inlineStr">
        <is>
          <t>不适?</t>
        </is>
      </c>
      <c r="H76" s="15" t="inlineStr">
        <is>
          <t>备注</t>
        </is>
      </c>
      <c r="I76" s="15" t="inlineStr">
        <is>
          <t>签名</t>
        </is>
      </c>
    </row>
    <row r="77">
      <c r="A77" s="7" t="n"/>
      <c r="B77" s="9" t="n"/>
      <c r="C77" s="9" t="n"/>
      <c r="D77" s="11">
        <f>IFERROR((C77-B77)*1440,"")</f>
        <v/>
      </c>
      <c r="E77" s="9" t="n"/>
      <c r="F77" s="11">
        <f>IFERROR(E77*D77,"")</f>
        <v/>
      </c>
      <c r="G77" s="9" t="n"/>
      <c r="H77" s="9" t="n"/>
      <c r="I77" s="9" t="n"/>
    </row>
    <row r="78">
      <c r="A78" s="16" t="inlineStr">
        <is>
          <t>跳跃</t>
        </is>
      </c>
      <c r="B78" s="16" t="inlineStr">
        <is>
          <t>类型</t>
        </is>
      </c>
      <c r="C78" s="16" t="inlineStr">
        <is>
          <t>组×次</t>
        </is>
      </c>
      <c r="D78" s="16" t="inlineStr">
        <is>
          <t>负荷kg</t>
        </is>
      </c>
      <c r="E78" s="16" t="inlineStr">
        <is>
          <t>接触</t>
        </is>
      </c>
    </row>
    <row r="79">
      <c r="B79" t="inlineStr">
        <is>
          <t>CMJ</t>
        </is>
      </c>
      <c r="C79" t="inlineStr">
        <is>
          <t>3×3</t>
        </is>
      </c>
      <c r="D79" t="n">
        <v>0</v>
      </c>
      <c r="E79" t="n">
        <v>9</v>
      </c>
    </row>
    <row r="80">
      <c r="B80" t="inlineStr">
        <is>
          <t>箱跳</t>
        </is>
      </c>
      <c r="C80" t="inlineStr">
        <is>
          <t>3×3</t>
        </is>
      </c>
      <c r="D80" t="n">
        <v>0</v>
      </c>
      <c r="E80" t="n">
        <v>9</v>
      </c>
    </row>
    <row r="81">
      <c r="A81" s="17" t="inlineStr">
        <is>
          <t>▶ 暴露量汇总</t>
        </is>
      </c>
      <c r="B81" s="17" t="inlineStr">
        <is>
          <t>说明</t>
        </is>
      </c>
      <c r="C81" s="17" t="inlineStr">
        <is>
          <t>公式/来源</t>
        </is>
      </c>
      <c r="D81" s="17" t="inlineStr">
        <is>
          <t>数值</t>
        </is>
      </c>
    </row>
    <row r="82">
      <c r="A82" s="18" t="inlineStr">
        <is>
          <t>① 无负荷跳跃接触</t>
        </is>
      </c>
      <c r="B82" s="18" t="inlineStr">
        <is>
          <t>CMJ+SJ+箱跳</t>
        </is>
      </c>
      <c r="C82" s="19">
        <f>IFERROR(E79+E80,2)</f>
        <v/>
      </c>
    </row>
    <row r="83">
      <c r="A83" s="18" t="inlineStr">
        <is>
          <t>② 负重跳跃接触</t>
        </is>
      </c>
      <c r="B83" s="18" t="inlineStr">
        <is>
          <t>负重深蹲跳</t>
        </is>
      </c>
      <c r="C83" s="19">
        <f>IFERROR(E79,"")</f>
        <v/>
      </c>
    </row>
    <row r="84">
      <c r="A84" s="18" t="inlineStr">
        <is>
          <t>③ 跳跃总计</t>
        </is>
      </c>
      <c r="B84" s="18" t="inlineStr">
        <is>
          <t>①+②</t>
        </is>
      </c>
      <c r="C84" s="19">
        <f>IFERROR(B82+B83,"")</f>
        <v/>
      </c>
    </row>
    <row r="85">
      <c r="A85" s="18" t="inlineStr">
        <is>
          <t>④ 热身VL</t>
        </is>
      </c>
      <c r="B85" s="18" t="inlineStr">
        <is>
          <t>20×5+50%×3(+70%×2)</t>
        </is>
      </c>
      <c r="C85" s="19">
        <f>IFERROR(20*5+ROUND(V65*0.5,0)*3+ROUND(V{dr}*0.7,0)*2,"-")</f>
        <v/>
      </c>
    </row>
    <row r="86">
      <c r="A86" s="20" t="inlineStr">
        <is>
          <t>⑤ 主项工作组VL ★</t>
        </is>
      </c>
      <c r="B86" s="20" t="inlineStr">
        <is>
          <t>Σ(负荷×次数)</t>
        </is>
      </c>
      <c r="C86" s="21">
        <f>SUMPRODUCT($B$69:$B$74,$R$69:$R$74)</f>
        <v/>
      </c>
    </row>
    <row r="87">
      <c r="A87" s="18" t="inlineStr">
        <is>
          <t>⑥ 主项总VL</t>
        </is>
      </c>
      <c r="B87" s="18" t="inlineStr">
        <is>
          <t>④+⑤</t>
        </is>
      </c>
      <c r="C87" s="19">
        <f>IFERROR(D82+D83,"")</f>
        <v/>
      </c>
    </row>
    <row r="88">
      <c r="A88" s="18" t="inlineStr">
        <is>
          <t>⑦ 辅助VL</t>
        </is>
      </c>
      <c r="B88" s="18" t="inlineStr">
        <is>
          <t>RDL/保加利亚</t>
        </is>
      </c>
      <c r="C88" s="19">
        <f>IFERROR(I75,"")</f>
        <v/>
      </c>
    </row>
    <row r="89">
      <c r="A89" s="18" t="inlineStr">
        <is>
          <t>⑧ 总外部负荷</t>
        </is>
      </c>
      <c r="B89" s="18" t="inlineStr">
        <is>
          <t>⑥+⑦(+负重跳)</t>
        </is>
      </c>
      <c r="C89" s="19">
        <f>IFERROR(F82+G82,"")</f>
        <v/>
      </c>
    </row>
    <row r="90">
      <c r="A90" s="18" t="inlineStr">
        <is>
          <t>⑨ sRPE load</t>
        </is>
      </c>
      <c r="B90" s="18" t="inlineStr">
        <is>
          <t>sRPE×时长</t>
        </is>
      </c>
      <c r="C90" s="19">
        <f>IFERROR(F77,"")</f>
        <v/>
      </c>
    </row>
    <row r="93">
      <c r="A93" s="5" t="inlineStr">
        <is>
          <t>P006 陈镕垚  a=1.694 b=-0.01015 1RM=145</t>
        </is>
      </c>
    </row>
    <row r="94">
      <c r="A94" s="6" t="inlineStr">
        <is>
          <t>编号</t>
        </is>
      </c>
      <c r="B94" s="6" t="inlineStr">
        <is>
          <t>姓名</t>
        </is>
      </c>
      <c r="C94" s="6" t="inlineStr">
        <is>
          <t>身高</t>
        </is>
      </c>
      <c r="D94" s="6" t="inlineStr">
        <is>
          <t>1RM</t>
        </is>
      </c>
      <c r="E94" s="6" t="inlineStr">
        <is>
          <t>Hooper睡</t>
        </is>
      </c>
      <c r="F94" s="6" t="inlineStr">
        <is>
          <t>Hooper压</t>
        </is>
      </c>
      <c r="G94" s="6" t="inlineStr">
        <is>
          <t>Hooper疲</t>
        </is>
      </c>
      <c r="H94" s="6" t="inlineStr">
        <is>
          <t>Hooper酸</t>
        </is>
      </c>
      <c r="I94" s="6" t="inlineStr">
        <is>
          <t>H总</t>
        </is>
      </c>
      <c r="J94" s="6" t="inlineStr">
        <is>
          <t>不适?</t>
        </is>
      </c>
      <c r="K94" s="6" t="inlineStr">
        <is>
          <t>说明</t>
        </is>
      </c>
      <c r="L94" s="6" t="inlineStr">
        <is>
          <t>CMJ1</t>
        </is>
      </c>
      <c r="M94" s="6" t="inlineStr">
        <is>
          <t>CMJ2</t>
        </is>
      </c>
      <c r="N94" s="6" t="inlineStr">
        <is>
          <t>CMJ3</t>
        </is>
      </c>
      <c r="O94" s="6" t="inlineStr">
        <is>
          <t>CMJμ</t>
        </is>
      </c>
      <c r="P94" s="6" t="inlineStr">
        <is>
          <t>&lt;95%</t>
        </is>
      </c>
      <c r="Q94" s="6" t="inlineStr">
        <is>
          <t>减组</t>
        </is>
      </c>
      <c r="R94" s="6" t="inlineStr">
        <is>
          <t>组数</t>
        </is>
      </c>
      <c r="S94" s="6" t="inlineStr">
        <is>
          <t>a(V0)</t>
        </is>
      </c>
      <c r="T94" s="6" t="inlineStr">
        <is>
          <t>b</t>
        </is>
      </c>
      <c r="U94" s="6" t="inlineStr">
        <is>
          <t>等级</t>
        </is>
      </c>
      <c r="V94" s="6" t="inlineStr">
        <is>
          <t>预测起始</t>
        </is>
      </c>
    </row>
    <row r="95">
      <c r="A95" s="7" t="inlineStr">
        <is>
          <t>P006</t>
        </is>
      </c>
      <c r="B95" s="7" t="inlineStr">
        <is>
          <t>陈镕垚</t>
        </is>
      </c>
      <c r="C95" s="7" t="n">
        <v>181</v>
      </c>
      <c r="D95" s="8" t="n">
        <v>145</v>
      </c>
      <c r="E95" s="9" t="n"/>
      <c r="F95" s="9" t="n"/>
      <c r="G95" s="9" t="n"/>
      <c r="H95" s="9" t="n"/>
      <c r="I95" s="7">
        <f>IFERROR(SUM(E95:H95),"")</f>
        <v/>
      </c>
      <c r="J95" s="9" t="n"/>
      <c r="K95" s="9" t="n"/>
      <c r="L95" s="9" t="n"/>
      <c r="M95" s="9" t="n"/>
      <c r="N95" s="9" t="n"/>
      <c r="O95" s="7">
        <f>IFERROR(AVERAGE(L95:N95),"")</f>
        <v/>
      </c>
      <c r="P95" s="7">
        <f>IF(O95="","",IF(O95&lt;59.06,"是⚠","否"))</f>
        <v/>
      </c>
      <c r="Q95" s="7">
        <f>IF(O95="","",IF(O95&lt;59.06,5-1,5))</f>
        <v/>
      </c>
      <c r="R95" s="7" t="n"/>
      <c r="S95" s="8" t="n">
        <v>1.694</v>
      </c>
      <c r="T95" s="8" t="n">
        <v>-0.01015</v>
      </c>
      <c r="U95" s="7" t="inlineStr">
        <is>
          <t>A</t>
        </is>
      </c>
      <c r="V95" s="8" t="n">
        <v>120</v>
      </c>
    </row>
    <row r="96">
      <c r="A96" s="10" t="inlineStr">
        <is>
          <t>热身校准</t>
        </is>
      </c>
      <c r="B96" s="10" t="inlineStr">
        <is>
          <t>a</t>
        </is>
      </c>
      <c r="C96" s="10" t="inlineStr">
        <is>
          <t>b</t>
        </is>
      </c>
      <c r="D96" s="10" t="inlineStr">
        <is>
          <t>50%热身</t>
        </is>
      </c>
      <c r="E96" s="10" t="inlineStr">
        <is>
          <t>70%热身</t>
        </is>
      </c>
      <c r="F96" s="10" t="inlineStr">
        <is>
          <t>热身负荷</t>
        </is>
      </c>
      <c r="G96" s="10" t="inlineStr">
        <is>
          <t>实测MCV</t>
        </is>
      </c>
      <c r="H96" s="10" t="inlineStr">
        <is>
          <t>预测MCV</t>
        </is>
      </c>
      <c r="I96" s="10" t="inlineStr">
        <is>
          <t>Δv</t>
        </is>
      </c>
      <c r="J96" s="10" t="inlineStr">
        <is>
          <t>调整量</t>
        </is>
      </c>
      <c r="K96" s="10" t="inlineStr">
        <is>
          <t>校准第1组</t>
        </is>
      </c>
    </row>
    <row r="97">
      <c r="A97" s="7" t="n"/>
      <c r="B97" s="11" t="n">
        <v>1.694</v>
      </c>
      <c r="C97" s="11" t="n">
        <v>-0.01015</v>
      </c>
      <c r="D97" s="11">
        <f>IFERROR(ROUND(V95*0.5/2.5,0)*2.5,"")</f>
        <v/>
      </c>
      <c r="E97" s="11">
        <f>IFERROR(ROUND(V95*0.7/2.5,0)*2.5,"")</f>
        <v/>
      </c>
      <c r="F97" s="11">
        <f>IFERROR(ROUND(V95*0.6/2.5,0)*2.5,"")</f>
        <v/>
      </c>
      <c r="G97" s="9" t="n"/>
      <c r="H97" s="11">
        <f>IFERROR(B97+C97*F97,"")</f>
        <v/>
      </c>
      <c r="I97" s="11">
        <f>IFERROR(G97-H97,"")</f>
        <v/>
      </c>
      <c r="J97" s="11">
        <f>IFERROR(IF(I97&gt;0.08,5,IF(I97&gt;0.04,2.5,IF(I97&gt;=-0.04,0,IF(I97&gt;=-0.08,-2.5,-5)))),"")</f>
        <v/>
      </c>
      <c r="K97" s="11">
        <f>IFERROR(ROUND(V95+J97,0),"")</f>
        <v/>
      </c>
    </row>
    <row r="98">
      <c r="A98" s="12" t="inlineStr">
        <is>
          <t>组</t>
        </is>
      </c>
      <c r="B98" s="12" t="inlineStr">
        <is>
          <t>负荷</t>
        </is>
      </c>
      <c r="C98" s="12" t="inlineStr">
        <is>
          <t>rep1</t>
        </is>
      </c>
      <c r="D98" s="12" t="inlineStr">
        <is>
          <t>rep2</t>
        </is>
      </c>
      <c r="E98" s="12" t="inlineStr">
        <is>
          <t>rep3</t>
        </is>
      </c>
      <c r="F98" s="12" t="inlineStr">
        <is>
          <t>rep4</t>
        </is>
      </c>
      <c r="G98" s="12" t="inlineStr">
        <is>
          <t>rep5</t>
        </is>
      </c>
      <c r="H98" s="12" t="inlineStr">
        <is>
          <t>rep6</t>
        </is>
      </c>
      <c r="I98" s="12" t="inlineStr">
        <is>
          <t>best</t>
        </is>
      </c>
      <c r="J98" s="12" t="inlineStr">
        <is>
          <t>best#</t>
        </is>
      </c>
      <c r="K98" s="12" t="inlineStr">
        <is>
          <t>VL%</t>
        </is>
      </c>
      <c r="L98" s="12" t="inlineStr">
        <is>
          <t>stop_th</t>
        </is>
      </c>
      <c r="M98" s="12" t="inlineStr">
        <is>
          <t>latest</t>
        </is>
      </c>
      <c r="N98" s="12" t="inlineStr">
        <is>
          <t>VL_flag</t>
        </is>
      </c>
      <c r="O98" s="12" t="inlineStr">
        <is>
          <t>safety</t>
        </is>
      </c>
      <c r="P98" s="12" t="inlineStr">
        <is>
          <t>原因</t>
        </is>
      </c>
      <c r="Q98" s="12" t="inlineStr">
        <is>
          <t>建议</t>
        </is>
      </c>
      <c r="R98" s="12" t="inlineStr">
        <is>
          <t>次数</t>
        </is>
      </c>
    </row>
    <row r="99">
      <c r="A99" s="7" t="n">
        <v>1</v>
      </c>
      <c r="B99" s="9">
        <f>IFERROR(K97,"")</f>
        <v/>
      </c>
      <c r="C99" s="9" t="n"/>
      <c r="D99" s="9" t="n"/>
      <c r="E99" s="9" t="n"/>
      <c r="F99" s="9" t="n"/>
      <c r="G99" s="9" t="n"/>
      <c r="H99" s="9" t="n"/>
      <c r="I99" s="7">
        <f>IFERROR(MAX(C99:H99),"")</f>
        <v/>
      </c>
      <c r="J99" s="7">
        <f>IFERROR(MATCH(I99,C99:H99,0),"")</f>
        <v/>
      </c>
      <c r="K99" s="7" t="n">
        <v>25</v>
      </c>
      <c r="L99" s="7">
        <f>IFERROR(I99*(1-(K99/100)),"")</f>
        <v/>
      </c>
      <c r="M99" s="7">
        <f>IFERROR(LOOKUP(9.99E+307,C99:H99),"")</f>
        <v/>
      </c>
      <c r="N99" s="7">
        <f>IFERROR(IF(M99="","",IF(M99&lt;=N99,"停组🛑","继续✓")),"")</f>
        <v/>
      </c>
      <c r="O99" s="7">
        <f>IFERROR(IF(M99="","",IF(M99&lt;0.15,"SAFETY_STOP","")),"")</f>
        <v/>
      </c>
      <c r="P99" s="7">
        <f>IFERROR(IF(M99="","",IF(M99&lt;0.15,"SAFETY_STOP",IF(M99&lt;=N99,"VL_THRESHOLD",""))),"")</f>
        <v/>
      </c>
      <c r="Q99" s="7">
        <f>IFERROR(IF(I99="","",IF(I99&gt;(0.475+0.05),"+5kg",IF(I99&gt;(0.475+0.02),"+2.5kg",IF(I99&gt;=(0.475-0.05),"保持",IF(I99&gt;=(0.475-0.08),"-2.5kg","-5kg"))))),"")</f>
        <v/>
      </c>
      <c r="R99" s="9" t="n"/>
    </row>
    <row r="100">
      <c r="A100" s="7" t="n">
        <v>2</v>
      </c>
      <c r="B100" s="9" t="n"/>
      <c r="C100" s="9" t="n"/>
      <c r="D100" s="9" t="n"/>
      <c r="E100" s="9" t="n"/>
      <c r="F100" s="9" t="n"/>
      <c r="G100" s="9" t="n"/>
      <c r="H100" s="9" t="n"/>
      <c r="I100" s="7">
        <f>IFERROR(MAX(C100:H100),"")</f>
        <v/>
      </c>
      <c r="J100" s="7">
        <f>IFERROR(MATCH(I100,C100:H100,0),"")</f>
        <v/>
      </c>
      <c r="K100" s="7" t="n">
        <v>25</v>
      </c>
      <c r="L100" s="7">
        <f>IFERROR(I100*(1-(K100/100)),"")</f>
        <v/>
      </c>
      <c r="M100" s="7">
        <f>IFERROR(LOOKUP(9.99E+307,C100:H100),"")</f>
        <v/>
      </c>
      <c r="N100" s="7">
        <f>IFERROR(IF(M100="","",IF(M100&lt;=N100,"停组🛑","继续✓")),"")</f>
        <v/>
      </c>
      <c r="O100" s="7">
        <f>IFERROR(IF(M100="","",IF(M100&lt;0.15,"SAFETY_STOP","")),"")</f>
        <v/>
      </c>
      <c r="P100" s="7">
        <f>IFERROR(IF(M100="","",IF(M100&lt;0.15,"SAFETY_STOP",IF(M100&lt;=N100,"VL_THRESHOLD",""))),"")</f>
        <v/>
      </c>
      <c r="Q100" s="7">
        <f>IFERROR(IF(I100="","",IF(I100&gt;(0.475+0.05),"+5kg",IF(I100&gt;(0.475+0.02),"+2.5kg",IF(I100&gt;=(0.475-0.05),"保持",IF(I100&gt;=(0.475-0.08),"-2.5kg","-5kg"))))),"")</f>
        <v/>
      </c>
      <c r="R100" s="9" t="n"/>
    </row>
    <row r="101">
      <c r="A101" s="7" t="n">
        <v>3</v>
      </c>
      <c r="B101" s="9" t="n"/>
      <c r="C101" s="9" t="n"/>
      <c r="D101" s="9" t="n"/>
      <c r="E101" s="9" t="n"/>
      <c r="F101" s="9" t="n"/>
      <c r="G101" s="9" t="n"/>
      <c r="H101" s="9" t="n"/>
      <c r="I101" s="7">
        <f>IFERROR(MAX(C101:H101),"")</f>
        <v/>
      </c>
      <c r="J101" s="7">
        <f>IFERROR(MATCH(I101,C101:H101,0),"")</f>
        <v/>
      </c>
      <c r="K101" s="7" t="n">
        <v>25</v>
      </c>
      <c r="L101" s="7">
        <f>IFERROR(I101*(1-(K101/100)),"")</f>
        <v/>
      </c>
      <c r="M101" s="7">
        <f>IFERROR(LOOKUP(9.99E+307,C101:H101),"")</f>
        <v/>
      </c>
      <c r="N101" s="7">
        <f>IFERROR(IF(M101="","",IF(M101&lt;=N101,"停组🛑","继续✓")),"")</f>
        <v/>
      </c>
      <c r="O101" s="7">
        <f>IFERROR(IF(M101="","",IF(M101&lt;0.15,"SAFETY_STOP","")),"")</f>
        <v/>
      </c>
      <c r="P101" s="7">
        <f>IFERROR(IF(M101="","",IF(M101&lt;0.15,"SAFETY_STOP",IF(M101&lt;=N101,"VL_THRESHOLD",""))),"")</f>
        <v/>
      </c>
      <c r="Q101" s="7">
        <f>IFERROR(IF(I101="","",IF(I101&gt;(0.475+0.05),"+5kg",IF(I101&gt;(0.475+0.02),"+2.5kg",IF(I101&gt;=(0.475-0.05),"保持",IF(I101&gt;=(0.475-0.08),"-2.5kg","-5kg"))))),"")</f>
        <v/>
      </c>
      <c r="R101" s="9" t="n"/>
    </row>
    <row r="102">
      <c r="A102" s="7" t="n">
        <v>4</v>
      </c>
      <c r="B102" s="9" t="n"/>
      <c r="C102" s="9" t="n"/>
      <c r="D102" s="9" t="n"/>
      <c r="E102" s="9" t="n"/>
      <c r="F102" s="9" t="n"/>
      <c r="G102" s="9" t="n"/>
      <c r="H102" s="9" t="n"/>
      <c r="I102" s="7">
        <f>IFERROR(MAX(C102:H102),"")</f>
        <v/>
      </c>
      <c r="J102" s="7">
        <f>IFERROR(MATCH(I102,C102:H102,0),"")</f>
        <v/>
      </c>
      <c r="K102" s="7" t="n">
        <v>25</v>
      </c>
      <c r="L102" s="7">
        <f>IFERROR(I102*(1-(K102/100)),"")</f>
        <v/>
      </c>
      <c r="M102" s="7">
        <f>IFERROR(LOOKUP(9.99E+307,C102:H102),"")</f>
        <v/>
      </c>
      <c r="N102" s="7">
        <f>IFERROR(IF(M102="","",IF(M102&lt;=N102,"停组🛑","继续✓")),"")</f>
        <v/>
      </c>
      <c r="O102" s="7">
        <f>IFERROR(IF(M102="","",IF(M102&lt;0.15,"SAFETY_STOP","")),"")</f>
        <v/>
      </c>
      <c r="P102" s="7">
        <f>IFERROR(IF(M102="","",IF(M102&lt;0.15,"SAFETY_STOP",IF(M102&lt;=N102,"VL_THRESHOLD",""))),"")</f>
        <v/>
      </c>
      <c r="Q102" s="7">
        <f>IFERROR(IF(I102="","",IF(I102&gt;(0.475+0.05),"+5kg",IF(I102&gt;(0.475+0.02),"+2.5kg",IF(I102&gt;=(0.475-0.05),"保持",IF(I102&gt;=(0.475-0.08),"-2.5kg","-5kg"))))),"")</f>
        <v/>
      </c>
      <c r="R102" s="9" t="n"/>
    </row>
    <row r="103">
      <c r="A103" s="7" t="n">
        <v>5</v>
      </c>
      <c r="B103" s="9" t="n"/>
      <c r="C103" s="9" t="n"/>
      <c r="D103" s="9" t="n"/>
      <c r="E103" s="9" t="n"/>
      <c r="F103" s="9" t="n"/>
      <c r="G103" s="9" t="n"/>
      <c r="H103" s="9" t="n"/>
      <c r="I103" s="7">
        <f>IFERROR(MAX(C103:H103),"")</f>
        <v/>
      </c>
      <c r="J103" s="7">
        <f>IFERROR(MATCH(I103,C103:H103,0),"")</f>
        <v/>
      </c>
      <c r="K103" s="7" t="n">
        <v>25</v>
      </c>
      <c r="L103" s="7">
        <f>IFERROR(I103*(1-(K103/100)),"")</f>
        <v/>
      </c>
      <c r="M103" s="7">
        <f>IFERROR(LOOKUP(9.99E+307,C103:H103),"")</f>
        <v/>
      </c>
      <c r="N103" s="7">
        <f>IFERROR(IF(M103="","",IF(M103&lt;=N103,"停组🛑","继续✓")),"")</f>
        <v/>
      </c>
      <c r="O103" s="7">
        <f>IFERROR(IF(M103="","",IF(M103&lt;0.15,"SAFETY_STOP","")),"")</f>
        <v/>
      </c>
      <c r="P103" s="7">
        <f>IFERROR(IF(M103="","",IF(M103&lt;0.15,"SAFETY_STOP",IF(M103&lt;=N103,"VL_THRESHOLD",""))),"")</f>
        <v/>
      </c>
      <c r="Q103" s="7">
        <f>IFERROR(IF(I103="","",IF(I103&gt;(0.475+0.05),"+5kg",IF(I103&gt;(0.475+0.02),"+2.5kg",IF(I103&gt;=(0.475-0.05),"保持",IF(I103&gt;=(0.475-0.08),"-2.5kg","-5kg"))))),"")</f>
        <v/>
      </c>
      <c r="R103" s="9" t="n"/>
    </row>
    <row r="104">
      <c r="A104" s="7" t="n">
        <v>6</v>
      </c>
      <c r="B104" s="9" t="n"/>
      <c r="C104" s="9" t="n"/>
      <c r="D104" s="9" t="n"/>
      <c r="E104" s="9" t="n"/>
      <c r="F104" s="9" t="n"/>
      <c r="G104" s="9" t="n"/>
      <c r="H104" s="9" t="n"/>
      <c r="I104" s="7">
        <f>IFERROR(MAX(C104:H104),"")</f>
        <v/>
      </c>
      <c r="J104" s="7">
        <f>IFERROR(MATCH(I104,C104:H104,0),"")</f>
        <v/>
      </c>
      <c r="K104" s="7" t="n">
        <v>25</v>
      </c>
      <c r="L104" s="7">
        <f>IFERROR(I104*(1-(K104/100)),"")</f>
        <v/>
      </c>
      <c r="M104" s="7">
        <f>IFERROR(LOOKUP(9.99E+307,C104:H104),"")</f>
        <v/>
      </c>
      <c r="N104" s="7">
        <f>IFERROR(IF(M104="","",IF(M104&lt;=N104,"停组🛑","继续✓")),"")</f>
        <v/>
      </c>
      <c r="O104" s="7">
        <f>IFERROR(IF(M104="","",IF(M104&lt;0.15,"SAFETY_STOP","")),"")</f>
        <v/>
      </c>
      <c r="P104" s="7">
        <f>IFERROR(IF(M104="","",IF(M104&lt;0.15,"SAFETY_STOP",IF(M104&lt;=N104,"VL_THRESHOLD",""))),"")</f>
        <v/>
      </c>
      <c r="Q104" s="7">
        <f>IFERROR(IF(I104="","",IF(I104&gt;(0.475+0.05),"+5kg",IF(I104&gt;(0.475+0.02),"+2.5kg",IF(I104&gt;=(0.475-0.05),"保持",IF(I104&gt;=(0.475-0.08),"-2.5kg","-5kg"))))),"")</f>
        <v/>
      </c>
      <c r="R104" s="9" t="n"/>
    </row>
    <row r="105">
      <c r="A105" s="13" t="inlineStr">
        <is>
          <t>辅助</t>
        </is>
      </c>
      <c r="D105" s="14" t="inlineStr">
        <is>
          <t>RDL</t>
        </is>
      </c>
      <c r="E105" s="14" t="inlineStr">
        <is>
          <t>负荷</t>
        </is>
      </c>
      <c r="F105" s="14" t="inlineStr">
        <is>
          <t>完成</t>
        </is>
      </c>
      <c r="I105" t="inlineStr">
        <is>
          <t>VL</t>
        </is>
      </c>
    </row>
    <row r="106">
      <c r="A106" s="15" t="inlineStr">
        <is>
          <t>训练后</t>
        </is>
      </c>
      <c r="B106" s="15" t="inlineStr">
        <is>
          <t>开始</t>
        </is>
      </c>
      <c r="C106" s="15" t="inlineStr">
        <is>
          <t>结束</t>
        </is>
      </c>
      <c r="D106" s="15" t="inlineStr">
        <is>
          <t>时长min</t>
        </is>
      </c>
      <c r="E106" s="15" t="inlineStr">
        <is>
          <t>sRPE</t>
        </is>
      </c>
      <c r="F106" s="15" t="inlineStr">
        <is>
          <t>load</t>
        </is>
      </c>
      <c r="G106" s="15" t="inlineStr">
        <is>
          <t>不适?</t>
        </is>
      </c>
      <c r="H106" s="15" t="inlineStr">
        <is>
          <t>备注</t>
        </is>
      </c>
      <c r="I106" s="15" t="inlineStr">
        <is>
          <t>签名</t>
        </is>
      </c>
    </row>
    <row r="107">
      <c r="A107" s="7" t="n"/>
      <c r="B107" s="9" t="n"/>
      <c r="C107" s="9" t="n"/>
      <c r="D107" s="11">
        <f>IFERROR((C107-B107)*1440,"")</f>
        <v/>
      </c>
      <c r="E107" s="9" t="n"/>
      <c r="F107" s="11">
        <f>IFERROR(E107*D107,"")</f>
        <v/>
      </c>
      <c r="G107" s="9" t="n"/>
      <c r="H107" s="9" t="n"/>
      <c r="I107" s="9" t="n"/>
    </row>
    <row r="108">
      <c r="A108" s="16" t="inlineStr">
        <is>
          <t>跳跃</t>
        </is>
      </c>
      <c r="B108" s="16" t="inlineStr">
        <is>
          <t>类型</t>
        </is>
      </c>
      <c r="C108" s="16" t="inlineStr">
        <is>
          <t>组×次</t>
        </is>
      </c>
      <c r="D108" s="16" t="inlineStr">
        <is>
          <t>负荷kg</t>
        </is>
      </c>
      <c r="E108" s="16" t="inlineStr">
        <is>
          <t>接触</t>
        </is>
      </c>
    </row>
    <row r="109">
      <c r="B109" t="inlineStr">
        <is>
          <t>CMJ</t>
        </is>
      </c>
      <c r="C109" t="inlineStr">
        <is>
          <t>3×3</t>
        </is>
      </c>
      <c r="D109" t="n">
        <v>0</v>
      </c>
      <c r="E109" t="n">
        <v>9</v>
      </c>
    </row>
    <row r="110">
      <c r="B110" t="inlineStr">
        <is>
          <t>箱跳</t>
        </is>
      </c>
      <c r="C110" t="inlineStr">
        <is>
          <t>3×3</t>
        </is>
      </c>
      <c r="D110" t="n">
        <v>0</v>
      </c>
      <c r="E110" t="n">
        <v>9</v>
      </c>
    </row>
    <row r="111">
      <c r="A111" s="17" t="inlineStr">
        <is>
          <t>▶ 暴露量汇总</t>
        </is>
      </c>
      <c r="B111" s="17" t="inlineStr">
        <is>
          <t>说明</t>
        </is>
      </c>
      <c r="C111" s="17" t="inlineStr">
        <is>
          <t>公式/来源</t>
        </is>
      </c>
      <c r="D111" s="17" t="inlineStr">
        <is>
          <t>数值</t>
        </is>
      </c>
    </row>
    <row r="112">
      <c r="A112" s="18" t="inlineStr">
        <is>
          <t>① 无负荷跳跃接触</t>
        </is>
      </c>
      <c r="B112" s="18" t="inlineStr">
        <is>
          <t>CMJ+SJ+箱跳</t>
        </is>
      </c>
      <c r="C112" s="19">
        <f>IFERROR(E109+E110,2)</f>
        <v/>
      </c>
    </row>
    <row r="113">
      <c r="A113" s="18" t="inlineStr">
        <is>
          <t>② 负重跳跃接触</t>
        </is>
      </c>
      <c r="B113" s="18" t="inlineStr">
        <is>
          <t>负重深蹲跳</t>
        </is>
      </c>
      <c r="C113" s="19">
        <f>IFERROR(E109,"")</f>
        <v/>
      </c>
    </row>
    <row r="114">
      <c r="A114" s="18" t="inlineStr">
        <is>
          <t>③ 跳跃总计</t>
        </is>
      </c>
      <c r="B114" s="18" t="inlineStr">
        <is>
          <t>①+②</t>
        </is>
      </c>
      <c r="C114" s="19">
        <f>IFERROR(B112+B113,"")</f>
        <v/>
      </c>
    </row>
    <row r="115">
      <c r="A115" s="18" t="inlineStr">
        <is>
          <t>④ 热身VL</t>
        </is>
      </c>
      <c r="B115" s="18" t="inlineStr">
        <is>
          <t>20×5+50%×3(+70%×2)</t>
        </is>
      </c>
      <c r="C115" s="19">
        <f>IFERROR(20*5+ROUND(V95*0.5,0)*3+ROUND(V{dr}*0.7,0)*2,"-")</f>
        <v/>
      </c>
    </row>
    <row r="116">
      <c r="A116" s="20" t="inlineStr">
        <is>
          <t>⑤ 主项工作组VL ★</t>
        </is>
      </c>
      <c r="B116" s="20" t="inlineStr">
        <is>
          <t>Σ(负荷×次数)</t>
        </is>
      </c>
      <c r="C116" s="21">
        <f>SUMPRODUCT($B$99:$B$104,$R$99:$R$104)</f>
        <v/>
      </c>
    </row>
    <row r="117">
      <c r="A117" s="18" t="inlineStr">
        <is>
          <t>⑥ 主项总VL</t>
        </is>
      </c>
      <c r="B117" s="18" t="inlineStr">
        <is>
          <t>④+⑤</t>
        </is>
      </c>
      <c r="C117" s="19">
        <f>IFERROR(D112+D113,"")</f>
        <v/>
      </c>
    </row>
    <row r="118">
      <c r="A118" s="18" t="inlineStr">
        <is>
          <t>⑦ 辅助VL</t>
        </is>
      </c>
      <c r="B118" s="18" t="inlineStr">
        <is>
          <t>RDL/保加利亚</t>
        </is>
      </c>
      <c r="C118" s="19">
        <f>IFERROR(I105,"")</f>
        <v/>
      </c>
    </row>
    <row r="119">
      <c r="A119" s="18" t="inlineStr">
        <is>
          <t>⑧ 总外部负荷</t>
        </is>
      </c>
      <c r="B119" s="18" t="inlineStr">
        <is>
          <t>⑥+⑦(+负重跳)</t>
        </is>
      </c>
      <c r="C119" s="19">
        <f>IFERROR(F112+G112,"")</f>
        <v/>
      </c>
    </row>
    <row r="120">
      <c r="A120" s="18" t="inlineStr">
        <is>
          <t>⑨ sRPE load</t>
        </is>
      </c>
      <c r="B120" s="18" t="inlineStr">
        <is>
          <t>sRPE×时长</t>
        </is>
      </c>
      <c r="C120" s="19">
        <f>IFERROR(F107,"")</f>
        <v/>
      </c>
    </row>
    <row r="123">
      <c r="A123" s="5" t="inlineStr">
        <is>
          <t>P015 陈先栋  a=1.77 b=-0.01025 1RM=135</t>
        </is>
      </c>
    </row>
    <row r="124">
      <c r="A124" s="6" t="inlineStr">
        <is>
          <t>编号</t>
        </is>
      </c>
      <c r="B124" s="6" t="inlineStr">
        <is>
          <t>姓名</t>
        </is>
      </c>
      <c r="C124" s="6" t="inlineStr">
        <is>
          <t>身高</t>
        </is>
      </c>
      <c r="D124" s="6" t="inlineStr">
        <is>
          <t>1RM</t>
        </is>
      </c>
      <c r="E124" s="6" t="inlineStr">
        <is>
          <t>Hooper睡</t>
        </is>
      </c>
      <c r="F124" s="6" t="inlineStr">
        <is>
          <t>Hooper压</t>
        </is>
      </c>
      <c r="G124" s="6" t="inlineStr">
        <is>
          <t>Hooper疲</t>
        </is>
      </c>
      <c r="H124" s="6" t="inlineStr">
        <is>
          <t>Hooper酸</t>
        </is>
      </c>
      <c r="I124" s="6" t="inlineStr">
        <is>
          <t>H总</t>
        </is>
      </c>
      <c r="J124" s="6" t="inlineStr">
        <is>
          <t>不适?</t>
        </is>
      </c>
      <c r="K124" s="6" t="inlineStr">
        <is>
          <t>说明</t>
        </is>
      </c>
      <c r="L124" s="6" t="inlineStr">
        <is>
          <t>CMJ1</t>
        </is>
      </c>
      <c r="M124" s="6" t="inlineStr">
        <is>
          <t>CMJ2</t>
        </is>
      </c>
      <c r="N124" s="6" t="inlineStr">
        <is>
          <t>CMJ3</t>
        </is>
      </c>
      <c r="O124" s="6" t="inlineStr">
        <is>
          <t>CMJμ</t>
        </is>
      </c>
      <c r="P124" s="6" t="inlineStr">
        <is>
          <t>&lt;95%</t>
        </is>
      </c>
      <c r="Q124" s="6" t="inlineStr">
        <is>
          <t>减组</t>
        </is>
      </c>
      <c r="R124" s="6" t="inlineStr">
        <is>
          <t>组数</t>
        </is>
      </c>
      <c r="S124" s="6" t="inlineStr">
        <is>
          <t>a(V0)</t>
        </is>
      </c>
      <c r="T124" s="6" t="inlineStr">
        <is>
          <t>b</t>
        </is>
      </c>
      <c r="U124" s="6" t="inlineStr">
        <is>
          <t>等级</t>
        </is>
      </c>
      <c r="V124" s="6" t="inlineStr">
        <is>
          <t>预测起始</t>
        </is>
      </c>
    </row>
    <row r="125">
      <c r="A125" s="7" t="inlineStr">
        <is>
          <t>P015</t>
        </is>
      </c>
      <c r="B125" s="7" t="inlineStr">
        <is>
          <t>陈先栋</t>
        </is>
      </c>
      <c r="C125" s="7" t="n">
        <v>175</v>
      </c>
      <c r="D125" s="8" t="n">
        <v>135</v>
      </c>
      <c r="E125" s="9" t="n"/>
      <c r="F125" s="9" t="n"/>
      <c r="G125" s="9" t="n"/>
      <c r="H125" s="9" t="n"/>
      <c r="I125" s="7">
        <f>IFERROR(SUM(E125:H125),"")</f>
        <v/>
      </c>
      <c r="J125" s="9" t="n"/>
      <c r="K125" s="9" t="n"/>
      <c r="L125" s="9" t="n"/>
      <c r="M125" s="9" t="n"/>
      <c r="N125" s="9" t="n"/>
      <c r="O125" s="7">
        <f>IFERROR(AVERAGE(L125:N125),"")</f>
        <v/>
      </c>
      <c r="P125" s="7">
        <f>IF(O125="","",IF(O125&lt;54.25,"是⚠","否"))</f>
        <v/>
      </c>
      <c r="Q125" s="7">
        <f>IF(O125="","",IF(O125&lt;54.25,5-1,5))</f>
        <v/>
      </c>
      <c r="R125" s="7" t="n"/>
      <c r="S125" s="8" t="n">
        <v>1.77</v>
      </c>
      <c r="T125" s="8" t="n">
        <v>-0.01025</v>
      </c>
      <c r="U125" s="7" t="inlineStr">
        <is>
          <t>C</t>
        </is>
      </c>
      <c r="V125" s="8" t="n">
        <v>127.5</v>
      </c>
    </row>
    <row r="126">
      <c r="A126" s="10" t="inlineStr">
        <is>
          <t>热身校准</t>
        </is>
      </c>
      <c r="B126" s="10" t="inlineStr">
        <is>
          <t>a</t>
        </is>
      </c>
      <c r="C126" s="10" t="inlineStr">
        <is>
          <t>b</t>
        </is>
      </c>
      <c r="D126" s="10" t="inlineStr">
        <is>
          <t>50%热身</t>
        </is>
      </c>
      <c r="E126" s="10" t="inlineStr">
        <is>
          <t>70%热身</t>
        </is>
      </c>
      <c r="F126" s="10" t="inlineStr">
        <is>
          <t>热身负荷</t>
        </is>
      </c>
      <c r="G126" s="10" t="inlineStr">
        <is>
          <t>实测MCV</t>
        </is>
      </c>
      <c r="H126" s="10" t="inlineStr">
        <is>
          <t>预测MCV</t>
        </is>
      </c>
      <c r="I126" s="10" t="inlineStr">
        <is>
          <t>Δv</t>
        </is>
      </c>
      <c r="J126" s="10" t="inlineStr">
        <is>
          <t>调整量</t>
        </is>
      </c>
      <c r="K126" s="10" t="inlineStr">
        <is>
          <t>校准第1组</t>
        </is>
      </c>
    </row>
    <row r="127">
      <c r="A127" s="7" t="n"/>
      <c r="B127" s="11" t="n">
        <v>1.77</v>
      </c>
      <c r="C127" s="11" t="n">
        <v>-0.01025</v>
      </c>
      <c r="D127" s="11">
        <f>IFERROR(ROUND(V125*0.5/2.5,0)*2.5,"")</f>
        <v/>
      </c>
      <c r="E127" s="11">
        <f>IFERROR(ROUND(V125*0.7/2.5,0)*2.5,"")</f>
        <v/>
      </c>
      <c r="F127" s="11">
        <f>IFERROR(ROUND(V125*0.6/2.5,0)*2.5,"")</f>
        <v/>
      </c>
      <c r="G127" s="9" t="n"/>
      <c r="H127" s="11">
        <f>IFERROR(B127+C127*F127,"")</f>
        <v/>
      </c>
      <c r="I127" s="11">
        <f>IFERROR(G127-H127,"")</f>
        <v/>
      </c>
      <c r="J127" s="11">
        <f>IFERROR(IF(I127&gt;0.08,5,IF(I127&gt;0.04,2.5,IF(I127&gt;=-0.04,0,IF(I127&gt;=-0.08,-2.5,-5)))),"")</f>
        <v/>
      </c>
      <c r="K127" s="11">
        <f>IFERROR(ROUND(V125+J127,0),"")</f>
        <v/>
      </c>
    </row>
    <row r="128">
      <c r="A128" s="12" t="inlineStr">
        <is>
          <t>组</t>
        </is>
      </c>
      <c r="B128" s="12" t="inlineStr">
        <is>
          <t>负荷</t>
        </is>
      </c>
      <c r="C128" s="12" t="inlineStr">
        <is>
          <t>rep1</t>
        </is>
      </c>
      <c r="D128" s="12" t="inlineStr">
        <is>
          <t>rep2</t>
        </is>
      </c>
      <c r="E128" s="12" t="inlineStr">
        <is>
          <t>rep3</t>
        </is>
      </c>
      <c r="F128" s="12" t="inlineStr">
        <is>
          <t>rep4</t>
        </is>
      </c>
      <c r="G128" s="12" t="inlineStr">
        <is>
          <t>rep5</t>
        </is>
      </c>
      <c r="H128" s="12" t="inlineStr">
        <is>
          <t>rep6</t>
        </is>
      </c>
      <c r="I128" s="12" t="inlineStr">
        <is>
          <t>best</t>
        </is>
      </c>
      <c r="J128" s="12" t="inlineStr">
        <is>
          <t>best#</t>
        </is>
      </c>
      <c r="K128" s="12" t="inlineStr">
        <is>
          <t>VL%</t>
        </is>
      </c>
      <c r="L128" s="12" t="inlineStr">
        <is>
          <t>stop_th</t>
        </is>
      </c>
      <c r="M128" s="12" t="inlineStr">
        <is>
          <t>latest</t>
        </is>
      </c>
      <c r="N128" s="12" t="inlineStr">
        <is>
          <t>VL_flag</t>
        </is>
      </c>
      <c r="O128" s="12" t="inlineStr">
        <is>
          <t>safety</t>
        </is>
      </c>
      <c r="P128" s="12" t="inlineStr">
        <is>
          <t>原因</t>
        </is>
      </c>
      <c r="Q128" s="12" t="inlineStr">
        <is>
          <t>建议</t>
        </is>
      </c>
      <c r="R128" s="12" t="inlineStr">
        <is>
          <t>次数</t>
        </is>
      </c>
    </row>
    <row r="129">
      <c r="A129" s="7" t="n">
        <v>1</v>
      </c>
      <c r="B129" s="9">
        <f>IFERROR(K127,"")</f>
        <v/>
      </c>
      <c r="C129" s="9" t="n"/>
      <c r="D129" s="9" t="n"/>
      <c r="E129" s="9" t="n"/>
      <c r="F129" s="9" t="n"/>
      <c r="G129" s="9" t="n"/>
      <c r="H129" s="9" t="n"/>
      <c r="I129" s="7">
        <f>IFERROR(MAX(C129:H129),"")</f>
        <v/>
      </c>
      <c r="J129" s="7">
        <f>IFERROR(MATCH(I129,C129:H129,0),"")</f>
        <v/>
      </c>
      <c r="K129" s="7" t="n">
        <v>25</v>
      </c>
      <c r="L129" s="7">
        <f>IFERROR(I129*(1-(K129/100)),"")</f>
        <v/>
      </c>
      <c r="M129" s="7">
        <f>IFERROR(LOOKUP(9.99E+307,C129:H129),"")</f>
        <v/>
      </c>
      <c r="N129" s="7">
        <f>IFERROR(IF(M129="","",IF(M129&lt;=N129,"停组🛑","继续✓")),"")</f>
        <v/>
      </c>
      <c r="O129" s="7">
        <f>IFERROR(IF(M129="","",IF(M129&lt;0.15,"SAFETY_STOP","")),"")</f>
        <v/>
      </c>
      <c r="P129" s="7">
        <f>IFERROR(IF(M129="","",IF(M129&lt;0.15,"SAFETY_STOP",IF(M129&lt;=N129,"VL_THRESHOLD",""))),"")</f>
        <v/>
      </c>
      <c r="Q129" s="7">
        <f>IFERROR(IF(I129="","",IF(I129&gt;(0.475+0.05),"+5kg",IF(I129&gt;(0.475+0.02),"+2.5kg",IF(I129&gt;=(0.475-0.05),"保持",IF(I129&gt;=(0.475-0.08),"-2.5kg","-5kg"))))),"")</f>
        <v/>
      </c>
      <c r="R129" s="9" t="n"/>
    </row>
    <row r="130">
      <c r="A130" s="7" t="n">
        <v>2</v>
      </c>
      <c r="B130" s="9" t="n"/>
      <c r="C130" s="9" t="n"/>
      <c r="D130" s="9" t="n"/>
      <c r="E130" s="9" t="n"/>
      <c r="F130" s="9" t="n"/>
      <c r="G130" s="9" t="n"/>
      <c r="H130" s="9" t="n"/>
      <c r="I130" s="7">
        <f>IFERROR(MAX(C130:H130),"")</f>
        <v/>
      </c>
      <c r="J130" s="7">
        <f>IFERROR(MATCH(I130,C130:H130,0),"")</f>
        <v/>
      </c>
      <c r="K130" s="7" t="n">
        <v>25</v>
      </c>
      <c r="L130" s="7">
        <f>IFERROR(I130*(1-(K130/100)),"")</f>
        <v/>
      </c>
      <c r="M130" s="7">
        <f>IFERROR(LOOKUP(9.99E+307,C130:H130),"")</f>
        <v/>
      </c>
      <c r="N130" s="7">
        <f>IFERROR(IF(M130="","",IF(M130&lt;=N130,"停组🛑","继续✓")),"")</f>
        <v/>
      </c>
      <c r="O130" s="7">
        <f>IFERROR(IF(M130="","",IF(M130&lt;0.15,"SAFETY_STOP","")),"")</f>
        <v/>
      </c>
      <c r="P130" s="7">
        <f>IFERROR(IF(M130="","",IF(M130&lt;0.15,"SAFETY_STOP",IF(M130&lt;=N130,"VL_THRESHOLD",""))),"")</f>
        <v/>
      </c>
      <c r="Q130" s="7">
        <f>IFERROR(IF(I130="","",IF(I130&gt;(0.475+0.05),"+5kg",IF(I130&gt;(0.475+0.02),"+2.5kg",IF(I130&gt;=(0.475-0.05),"保持",IF(I130&gt;=(0.475-0.08),"-2.5kg","-5kg"))))),"")</f>
        <v/>
      </c>
      <c r="R130" s="9" t="n"/>
    </row>
    <row r="131">
      <c r="A131" s="7" t="n">
        <v>3</v>
      </c>
      <c r="B131" s="9" t="n"/>
      <c r="C131" s="9" t="n"/>
      <c r="D131" s="9" t="n"/>
      <c r="E131" s="9" t="n"/>
      <c r="F131" s="9" t="n"/>
      <c r="G131" s="9" t="n"/>
      <c r="H131" s="9" t="n"/>
      <c r="I131" s="7">
        <f>IFERROR(MAX(C131:H131),"")</f>
        <v/>
      </c>
      <c r="J131" s="7">
        <f>IFERROR(MATCH(I131,C131:H131,0),"")</f>
        <v/>
      </c>
      <c r="K131" s="7" t="n">
        <v>25</v>
      </c>
      <c r="L131" s="7">
        <f>IFERROR(I131*(1-(K131/100)),"")</f>
        <v/>
      </c>
      <c r="M131" s="7">
        <f>IFERROR(LOOKUP(9.99E+307,C131:H131),"")</f>
        <v/>
      </c>
      <c r="N131" s="7">
        <f>IFERROR(IF(M131="","",IF(M131&lt;=N131,"停组🛑","继续✓")),"")</f>
        <v/>
      </c>
      <c r="O131" s="7">
        <f>IFERROR(IF(M131="","",IF(M131&lt;0.15,"SAFETY_STOP","")),"")</f>
        <v/>
      </c>
      <c r="P131" s="7">
        <f>IFERROR(IF(M131="","",IF(M131&lt;0.15,"SAFETY_STOP",IF(M131&lt;=N131,"VL_THRESHOLD",""))),"")</f>
        <v/>
      </c>
      <c r="Q131" s="7">
        <f>IFERROR(IF(I131="","",IF(I131&gt;(0.475+0.05),"+5kg",IF(I131&gt;(0.475+0.02),"+2.5kg",IF(I131&gt;=(0.475-0.05),"保持",IF(I131&gt;=(0.475-0.08),"-2.5kg","-5kg"))))),"")</f>
        <v/>
      </c>
      <c r="R131" s="9" t="n"/>
    </row>
    <row r="132">
      <c r="A132" s="7" t="n">
        <v>4</v>
      </c>
      <c r="B132" s="9" t="n"/>
      <c r="C132" s="9" t="n"/>
      <c r="D132" s="9" t="n"/>
      <c r="E132" s="9" t="n"/>
      <c r="F132" s="9" t="n"/>
      <c r="G132" s="9" t="n"/>
      <c r="H132" s="9" t="n"/>
      <c r="I132" s="7">
        <f>IFERROR(MAX(C132:H132),"")</f>
        <v/>
      </c>
      <c r="J132" s="7">
        <f>IFERROR(MATCH(I132,C132:H132,0),"")</f>
        <v/>
      </c>
      <c r="K132" s="7" t="n">
        <v>25</v>
      </c>
      <c r="L132" s="7">
        <f>IFERROR(I132*(1-(K132/100)),"")</f>
        <v/>
      </c>
      <c r="M132" s="7">
        <f>IFERROR(LOOKUP(9.99E+307,C132:H132),"")</f>
        <v/>
      </c>
      <c r="N132" s="7">
        <f>IFERROR(IF(M132="","",IF(M132&lt;=N132,"停组🛑","继续✓")),"")</f>
        <v/>
      </c>
      <c r="O132" s="7">
        <f>IFERROR(IF(M132="","",IF(M132&lt;0.15,"SAFETY_STOP","")),"")</f>
        <v/>
      </c>
      <c r="P132" s="7">
        <f>IFERROR(IF(M132="","",IF(M132&lt;0.15,"SAFETY_STOP",IF(M132&lt;=N132,"VL_THRESHOLD",""))),"")</f>
        <v/>
      </c>
      <c r="Q132" s="7">
        <f>IFERROR(IF(I132="","",IF(I132&gt;(0.475+0.05),"+5kg",IF(I132&gt;(0.475+0.02),"+2.5kg",IF(I132&gt;=(0.475-0.05),"保持",IF(I132&gt;=(0.475-0.08),"-2.5kg","-5kg"))))),"")</f>
        <v/>
      </c>
      <c r="R132" s="9" t="n"/>
    </row>
    <row r="133">
      <c r="A133" s="7" t="n">
        <v>5</v>
      </c>
      <c r="B133" s="9" t="n"/>
      <c r="C133" s="9" t="n"/>
      <c r="D133" s="9" t="n"/>
      <c r="E133" s="9" t="n"/>
      <c r="F133" s="9" t="n"/>
      <c r="G133" s="9" t="n"/>
      <c r="H133" s="9" t="n"/>
      <c r="I133" s="7">
        <f>IFERROR(MAX(C133:H133),"")</f>
        <v/>
      </c>
      <c r="J133" s="7">
        <f>IFERROR(MATCH(I133,C133:H133,0),"")</f>
        <v/>
      </c>
      <c r="K133" s="7" t="n">
        <v>25</v>
      </c>
      <c r="L133" s="7">
        <f>IFERROR(I133*(1-(K133/100)),"")</f>
        <v/>
      </c>
      <c r="M133" s="7">
        <f>IFERROR(LOOKUP(9.99E+307,C133:H133),"")</f>
        <v/>
      </c>
      <c r="N133" s="7">
        <f>IFERROR(IF(M133="","",IF(M133&lt;=N133,"停组🛑","继续✓")),"")</f>
        <v/>
      </c>
      <c r="O133" s="7">
        <f>IFERROR(IF(M133="","",IF(M133&lt;0.15,"SAFETY_STOP","")),"")</f>
        <v/>
      </c>
      <c r="P133" s="7">
        <f>IFERROR(IF(M133="","",IF(M133&lt;0.15,"SAFETY_STOP",IF(M133&lt;=N133,"VL_THRESHOLD",""))),"")</f>
        <v/>
      </c>
      <c r="Q133" s="7">
        <f>IFERROR(IF(I133="","",IF(I133&gt;(0.475+0.05),"+5kg",IF(I133&gt;(0.475+0.02),"+2.5kg",IF(I133&gt;=(0.475-0.05),"保持",IF(I133&gt;=(0.475-0.08),"-2.5kg","-5kg"))))),"")</f>
        <v/>
      </c>
      <c r="R133" s="9" t="n"/>
    </row>
    <row r="134">
      <c r="A134" s="7" t="n">
        <v>6</v>
      </c>
      <c r="B134" s="9" t="n"/>
      <c r="C134" s="9" t="n"/>
      <c r="D134" s="9" t="n"/>
      <c r="E134" s="9" t="n"/>
      <c r="F134" s="9" t="n"/>
      <c r="G134" s="9" t="n"/>
      <c r="H134" s="9" t="n"/>
      <c r="I134" s="7">
        <f>IFERROR(MAX(C134:H134),"")</f>
        <v/>
      </c>
      <c r="J134" s="7">
        <f>IFERROR(MATCH(I134,C134:H134,0),"")</f>
        <v/>
      </c>
      <c r="K134" s="7" t="n">
        <v>25</v>
      </c>
      <c r="L134" s="7">
        <f>IFERROR(I134*(1-(K134/100)),"")</f>
        <v/>
      </c>
      <c r="M134" s="7">
        <f>IFERROR(LOOKUP(9.99E+307,C134:H134),"")</f>
        <v/>
      </c>
      <c r="N134" s="7">
        <f>IFERROR(IF(M134="","",IF(M134&lt;=N134,"停组🛑","继续✓")),"")</f>
        <v/>
      </c>
      <c r="O134" s="7">
        <f>IFERROR(IF(M134="","",IF(M134&lt;0.15,"SAFETY_STOP","")),"")</f>
        <v/>
      </c>
      <c r="P134" s="7">
        <f>IFERROR(IF(M134="","",IF(M134&lt;0.15,"SAFETY_STOP",IF(M134&lt;=N134,"VL_THRESHOLD",""))),"")</f>
        <v/>
      </c>
      <c r="Q134" s="7">
        <f>IFERROR(IF(I134="","",IF(I134&gt;(0.475+0.05),"+5kg",IF(I134&gt;(0.475+0.02),"+2.5kg",IF(I134&gt;=(0.475-0.05),"保持",IF(I134&gt;=(0.475-0.08),"-2.5kg","-5kg"))))),"")</f>
        <v/>
      </c>
      <c r="R134" s="9" t="n"/>
    </row>
    <row r="135">
      <c r="A135" s="13" t="inlineStr">
        <is>
          <t>辅助</t>
        </is>
      </c>
      <c r="D135" s="14" t="inlineStr">
        <is>
          <t>RDL</t>
        </is>
      </c>
      <c r="E135" s="14" t="inlineStr">
        <is>
          <t>负荷</t>
        </is>
      </c>
      <c r="F135" s="14" t="inlineStr">
        <is>
          <t>完成</t>
        </is>
      </c>
      <c r="I135" t="inlineStr">
        <is>
          <t>VL</t>
        </is>
      </c>
    </row>
    <row r="136">
      <c r="A136" s="15" t="inlineStr">
        <is>
          <t>训练后</t>
        </is>
      </c>
      <c r="B136" s="15" t="inlineStr">
        <is>
          <t>开始</t>
        </is>
      </c>
      <c r="C136" s="15" t="inlineStr">
        <is>
          <t>结束</t>
        </is>
      </c>
      <c r="D136" s="15" t="inlineStr">
        <is>
          <t>时长min</t>
        </is>
      </c>
      <c r="E136" s="15" t="inlineStr">
        <is>
          <t>sRPE</t>
        </is>
      </c>
      <c r="F136" s="15" t="inlineStr">
        <is>
          <t>load</t>
        </is>
      </c>
      <c r="G136" s="15" t="inlineStr">
        <is>
          <t>不适?</t>
        </is>
      </c>
      <c r="H136" s="15" t="inlineStr">
        <is>
          <t>备注</t>
        </is>
      </c>
      <c r="I136" s="15" t="inlineStr">
        <is>
          <t>签名</t>
        </is>
      </c>
    </row>
    <row r="137">
      <c r="A137" s="7" t="n"/>
      <c r="B137" s="9" t="n"/>
      <c r="C137" s="9" t="n"/>
      <c r="D137" s="11">
        <f>IFERROR((C137-B137)*1440,"")</f>
        <v/>
      </c>
      <c r="E137" s="9" t="n"/>
      <c r="F137" s="11">
        <f>IFERROR(E137*D137,"")</f>
        <v/>
      </c>
      <c r="G137" s="9" t="n"/>
      <c r="H137" s="9" t="n"/>
      <c r="I137" s="9" t="n"/>
    </row>
    <row r="138">
      <c r="A138" s="16" t="inlineStr">
        <is>
          <t>跳跃</t>
        </is>
      </c>
      <c r="B138" s="16" t="inlineStr">
        <is>
          <t>类型</t>
        </is>
      </c>
      <c r="C138" s="16" t="inlineStr">
        <is>
          <t>组×次</t>
        </is>
      </c>
      <c r="D138" s="16" t="inlineStr">
        <is>
          <t>负荷kg</t>
        </is>
      </c>
      <c r="E138" s="16" t="inlineStr">
        <is>
          <t>接触</t>
        </is>
      </c>
    </row>
    <row r="139">
      <c r="B139" t="inlineStr">
        <is>
          <t>CMJ</t>
        </is>
      </c>
      <c r="C139" t="inlineStr">
        <is>
          <t>3×3</t>
        </is>
      </c>
      <c r="D139" t="n">
        <v>0</v>
      </c>
      <c r="E139" t="n">
        <v>9</v>
      </c>
    </row>
    <row r="140">
      <c r="B140" t="inlineStr">
        <is>
          <t>箱跳</t>
        </is>
      </c>
      <c r="C140" t="inlineStr">
        <is>
          <t>3×3</t>
        </is>
      </c>
      <c r="D140" t="n">
        <v>0</v>
      </c>
      <c r="E140" t="n">
        <v>9</v>
      </c>
    </row>
    <row r="141">
      <c r="A141" s="17" t="inlineStr">
        <is>
          <t>▶ 暴露量汇总</t>
        </is>
      </c>
      <c r="B141" s="17" t="inlineStr">
        <is>
          <t>说明</t>
        </is>
      </c>
      <c r="C141" s="17" t="inlineStr">
        <is>
          <t>公式/来源</t>
        </is>
      </c>
      <c r="D141" s="17" t="inlineStr">
        <is>
          <t>数值</t>
        </is>
      </c>
    </row>
    <row r="142">
      <c r="A142" s="18" t="inlineStr">
        <is>
          <t>① 无负荷跳跃接触</t>
        </is>
      </c>
      <c r="B142" s="18" t="inlineStr">
        <is>
          <t>CMJ+SJ+箱跳</t>
        </is>
      </c>
      <c r="C142" s="19">
        <f>IFERROR(E139+E140,2)</f>
        <v/>
      </c>
    </row>
    <row r="143">
      <c r="A143" s="18" t="inlineStr">
        <is>
          <t>② 负重跳跃接触</t>
        </is>
      </c>
      <c r="B143" s="18" t="inlineStr">
        <is>
          <t>负重深蹲跳</t>
        </is>
      </c>
      <c r="C143" s="19">
        <f>IFERROR(E139,"")</f>
        <v/>
      </c>
    </row>
    <row r="144">
      <c r="A144" s="18" t="inlineStr">
        <is>
          <t>③ 跳跃总计</t>
        </is>
      </c>
      <c r="B144" s="18" t="inlineStr">
        <is>
          <t>①+②</t>
        </is>
      </c>
      <c r="C144" s="19">
        <f>IFERROR(B142+B143,"")</f>
        <v/>
      </c>
    </row>
    <row r="145">
      <c r="A145" s="18" t="inlineStr">
        <is>
          <t>④ 热身VL</t>
        </is>
      </c>
      <c r="B145" s="18" t="inlineStr">
        <is>
          <t>20×5+50%×3(+70%×2)</t>
        </is>
      </c>
      <c r="C145" s="19">
        <f>IFERROR(20*5+ROUND(V125*0.5,0)*3+ROUND(V{dr}*0.7,0)*2,"-")</f>
        <v/>
      </c>
    </row>
    <row r="146">
      <c r="A146" s="20" t="inlineStr">
        <is>
          <t>⑤ 主项工作组VL ★</t>
        </is>
      </c>
      <c r="B146" s="20" t="inlineStr">
        <is>
          <t>Σ(负荷×次数)</t>
        </is>
      </c>
      <c r="C146" s="21">
        <f>SUMPRODUCT($B$129:$B$134,$R$129:$R$134)</f>
        <v/>
      </c>
    </row>
    <row r="147">
      <c r="A147" s="18" t="inlineStr">
        <is>
          <t>⑥ 主项总VL</t>
        </is>
      </c>
      <c r="B147" s="18" t="inlineStr">
        <is>
          <t>④+⑤</t>
        </is>
      </c>
      <c r="C147" s="19">
        <f>IFERROR(D142+D143,"")</f>
        <v/>
      </c>
    </row>
    <row r="148">
      <c r="A148" s="18" t="inlineStr">
        <is>
          <t>⑦ 辅助VL</t>
        </is>
      </c>
      <c r="B148" s="18" t="inlineStr">
        <is>
          <t>RDL/保加利亚</t>
        </is>
      </c>
      <c r="C148" s="19">
        <f>IFERROR(I135,"")</f>
        <v/>
      </c>
    </row>
    <row r="149">
      <c r="A149" s="18" t="inlineStr">
        <is>
          <t>⑧ 总外部负荷</t>
        </is>
      </c>
      <c r="B149" s="18" t="inlineStr">
        <is>
          <t>⑥+⑦(+负重跳)</t>
        </is>
      </c>
      <c r="C149" s="19">
        <f>IFERROR(F142+G142,"")</f>
        <v/>
      </c>
    </row>
    <row r="150">
      <c r="A150" s="18" t="inlineStr">
        <is>
          <t>⑨ sRPE load</t>
        </is>
      </c>
      <c r="B150" s="18" t="inlineStr">
        <is>
          <t>sRPE×时长</t>
        </is>
      </c>
      <c r="C150" s="19">
        <f>IFERROR(F137,"")</f>
        <v/>
      </c>
    </row>
    <row r="153">
      <c r="A153" s="5" t="inlineStr">
        <is>
          <t>P011 朱怀远  a=1.258 b=-0.00613 1RM=125</t>
        </is>
      </c>
    </row>
    <row r="154">
      <c r="A154" s="6" t="inlineStr">
        <is>
          <t>编号</t>
        </is>
      </c>
      <c r="B154" s="6" t="inlineStr">
        <is>
          <t>姓名</t>
        </is>
      </c>
      <c r="C154" s="6" t="inlineStr">
        <is>
          <t>身高</t>
        </is>
      </c>
      <c r="D154" s="6" t="inlineStr">
        <is>
          <t>1RM</t>
        </is>
      </c>
      <c r="E154" s="6" t="inlineStr">
        <is>
          <t>Hooper睡</t>
        </is>
      </c>
      <c r="F154" s="6" t="inlineStr">
        <is>
          <t>Hooper压</t>
        </is>
      </c>
      <c r="G154" s="6" t="inlineStr">
        <is>
          <t>Hooper疲</t>
        </is>
      </c>
      <c r="H154" s="6" t="inlineStr">
        <is>
          <t>Hooper酸</t>
        </is>
      </c>
      <c r="I154" s="6" t="inlineStr">
        <is>
          <t>H总</t>
        </is>
      </c>
      <c r="J154" s="6" t="inlineStr">
        <is>
          <t>不适?</t>
        </is>
      </c>
      <c r="K154" s="6" t="inlineStr">
        <is>
          <t>说明</t>
        </is>
      </c>
      <c r="L154" s="6" t="inlineStr">
        <is>
          <t>CMJ1</t>
        </is>
      </c>
      <c r="M154" s="6" t="inlineStr">
        <is>
          <t>CMJ2</t>
        </is>
      </c>
      <c r="N154" s="6" t="inlineStr">
        <is>
          <t>CMJ3</t>
        </is>
      </c>
      <c r="O154" s="6" t="inlineStr">
        <is>
          <t>CMJμ</t>
        </is>
      </c>
      <c r="P154" s="6" t="inlineStr">
        <is>
          <t>&lt;95%</t>
        </is>
      </c>
      <c r="Q154" s="6" t="inlineStr">
        <is>
          <t>减组</t>
        </is>
      </c>
      <c r="R154" s="6" t="inlineStr">
        <is>
          <t>组数</t>
        </is>
      </c>
      <c r="S154" s="6" t="inlineStr">
        <is>
          <t>a(V0)</t>
        </is>
      </c>
      <c r="T154" s="6" t="inlineStr">
        <is>
          <t>b</t>
        </is>
      </c>
      <c r="U154" s="6" t="inlineStr">
        <is>
          <t>等级</t>
        </is>
      </c>
      <c r="V154" s="6" t="inlineStr">
        <is>
          <t>预测起始</t>
        </is>
      </c>
    </row>
    <row r="155">
      <c r="A155" s="7" t="inlineStr">
        <is>
          <t>P011</t>
        </is>
      </c>
      <c r="B155" s="7" t="inlineStr">
        <is>
          <t>朱怀远</t>
        </is>
      </c>
      <c r="C155" s="7" t="n">
        <v>165</v>
      </c>
      <c r="D155" s="8" t="n">
        <v>125</v>
      </c>
      <c r="E155" s="9" t="n"/>
      <c r="F155" s="9" t="n"/>
      <c r="G155" s="9" t="n"/>
      <c r="H155" s="9" t="n"/>
      <c r="I155" s="7">
        <f>IFERROR(SUM(E155:H155),"")</f>
        <v/>
      </c>
      <c r="J155" s="9" t="n"/>
      <c r="K155" s="9" t="n"/>
      <c r="L155" s="9" t="n"/>
      <c r="M155" s="9" t="n"/>
      <c r="N155" s="9" t="n"/>
      <c r="O155" s="7">
        <f>IFERROR(AVERAGE(L155:N155),"")</f>
        <v/>
      </c>
      <c r="P155" s="7">
        <f>IF(O155="","",IF(O155&lt;64.98,"是⚠","否"))</f>
        <v/>
      </c>
      <c r="Q155" s="7">
        <f>IF(O155="","",IF(O155&lt;64.98,5-1,5))</f>
        <v/>
      </c>
      <c r="R155" s="7" t="n"/>
      <c r="S155" s="8" t="n">
        <v>1.258</v>
      </c>
      <c r="T155" s="8" t="n">
        <v>-0.00613</v>
      </c>
      <c r="U155" s="7" t="inlineStr">
        <is>
          <t>D</t>
        </is>
      </c>
      <c r="V155" s="8" t="n">
        <v>127.5</v>
      </c>
    </row>
    <row r="156">
      <c r="A156" s="10" t="inlineStr">
        <is>
          <t>热身校准</t>
        </is>
      </c>
      <c r="B156" s="10" t="inlineStr">
        <is>
          <t>a</t>
        </is>
      </c>
      <c r="C156" s="10" t="inlineStr">
        <is>
          <t>b</t>
        </is>
      </c>
      <c r="D156" s="10" t="inlineStr">
        <is>
          <t>50%热身</t>
        </is>
      </c>
      <c r="E156" s="10" t="inlineStr">
        <is>
          <t>70%热身</t>
        </is>
      </c>
      <c r="F156" s="10" t="inlineStr">
        <is>
          <t>热身负荷</t>
        </is>
      </c>
      <c r="G156" s="10" t="inlineStr">
        <is>
          <t>实测MCV</t>
        </is>
      </c>
      <c r="H156" s="10" t="inlineStr">
        <is>
          <t>预测MCV</t>
        </is>
      </c>
      <c r="I156" s="10" t="inlineStr">
        <is>
          <t>Δv</t>
        </is>
      </c>
      <c r="J156" s="10" t="inlineStr">
        <is>
          <t>调整量</t>
        </is>
      </c>
      <c r="K156" s="10" t="inlineStr">
        <is>
          <t>校准第1组</t>
        </is>
      </c>
    </row>
    <row r="157">
      <c r="A157" s="7" t="n"/>
      <c r="B157" s="11" t="n">
        <v>1.258</v>
      </c>
      <c r="C157" s="11" t="n">
        <v>-0.00613</v>
      </c>
      <c r="D157" s="11">
        <f>IFERROR(ROUND(V155*0.5/2.5,0)*2.5,"")</f>
        <v/>
      </c>
      <c r="E157" s="11">
        <f>IFERROR(ROUND(V155*0.7/2.5,0)*2.5,"")</f>
        <v/>
      </c>
      <c r="F157" s="11">
        <f>IFERROR(ROUND(V155*0.6/2.5,0)*2.5,"")</f>
        <v/>
      </c>
      <c r="G157" s="9" t="n"/>
      <c r="H157" s="11">
        <f>IFERROR(B157+C157*F157,"")</f>
        <v/>
      </c>
      <c r="I157" s="11">
        <f>IFERROR(G157-H157,"")</f>
        <v/>
      </c>
      <c r="J157" s="11">
        <f>IFERROR(IF(I157&gt;0.08,5,IF(I157&gt;0.04,2.5,IF(I157&gt;=-0.04,0,IF(I157&gt;=-0.08,-2.5,-5)))),"")</f>
        <v/>
      </c>
      <c r="K157" s="11">
        <f>IFERROR(ROUND(V155+J157,0),"")</f>
        <v/>
      </c>
    </row>
    <row r="158">
      <c r="A158" s="12" t="inlineStr">
        <is>
          <t>组</t>
        </is>
      </c>
      <c r="B158" s="12" t="inlineStr">
        <is>
          <t>负荷</t>
        </is>
      </c>
      <c r="C158" s="12" t="inlineStr">
        <is>
          <t>rep1</t>
        </is>
      </c>
      <c r="D158" s="12" t="inlineStr">
        <is>
          <t>rep2</t>
        </is>
      </c>
      <c r="E158" s="12" t="inlineStr">
        <is>
          <t>rep3</t>
        </is>
      </c>
      <c r="F158" s="12" t="inlineStr">
        <is>
          <t>rep4</t>
        </is>
      </c>
      <c r="G158" s="12" t="inlineStr">
        <is>
          <t>rep5</t>
        </is>
      </c>
      <c r="H158" s="12" t="inlineStr">
        <is>
          <t>rep6</t>
        </is>
      </c>
      <c r="I158" s="12" t="inlineStr">
        <is>
          <t>best</t>
        </is>
      </c>
      <c r="J158" s="12" t="inlineStr">
        <is>
          <t>best#</t>
        </is>
      </c>
      <c r="K158" s="12" t="inlineStr">
        <is>
          <t>VL%</t>
        </is>
      </c>
      <c r="L158" s="12" t="inlineStr">
        <is>
          <t>stop_th</t>
        </is>
      </c>
      <c r="M158" s="12" t="inlineStr">
        <is>
          <t>latest</t>
        </is>
      </c>
      <c r="N158" s="12" t="inlineStr">
        <is>
          <t>VL_flag</t>
        </is>
      </c>
      <c r="O158" s="12" t="inlineStr">
        <is>
          <t>safety</t>
        </is>
      </c>
      <c r="P158" s="12" t="inlineStr">
        <is>
          <t>原因</t>
        </is>
      </c>
      <c r="Q158" s="12" t="inlineStr">
        <is>
          <t>建议</t>
        </is>
      </c>
      <c r="R158" s="12" t="inlineStr">
        <is>
          <t>次数</t>
        </is>
      </c>
    </row>
    <row r="159">
      <c r="A159" s="7" t="n">
        <v>1</v>
      </c>
      <c r="B159" s="9">
        <f>IFERROR(K157,"")</f>
        <v/>
      </c>
      <c r="C159" s="9" t="n"/>
      <c r="D159" s="9" t="n"/>
      <c r="E159" s="9" t="n"/>
      <c r="F159" s="9" t="n"/>
      <c r="G159" s="9" t="n"/>
      <c r="H159" s="9" t="n"/>
      <c r="I159" s="7">
        <f>IFERROR(MAX(C159:H159),"")</f>
        <v/>
      </c>
      <c r="J159" s="7">
        <f>IFERROR(MATCH(I159,C159:H159,0),"")</f>
        <v/>
      </c>
      <c r="K159" s="7" t="n">
        <v>25</v>
      </c>
      <c r="L159" s="7">
        <f>IFERROR(I159*(1-(K159/100)),"")</f>
        <v/>
      </c>
      <c r="M159" s="7">
        <f>IFERROR(LOOKUP(9.99E+307,C159:H159),"")</f>
        <v/>
      </c>
      <c r="N159" s="7">
        <f>IFERROR(IF(M159="","",IF(M159&lt;=N159,"停组🛑","继续✓")),"")</f>
        <v/>
      </c>
      <c r="O159" s="7">
        <f>IFERROR(IF(M159="","",IF(M159&lt;0.15,"SAFETY_STOP","")),"")</f>
        <v/>
      </c>
      <c r="P159" s="7">
        <f>IFERROR(IF(M159="","",IF(M159&lt;0.15,"SAFETY_STOP",IF(M159&lt;=N159,"VL_THRESHOLD",""))),"")</f>
        <v/>
      </c>
      <c r="Q159" s="7">
        <f>IFERROR(IF(I159="","",IF(I159&gt;(0.475+0.05),"+5kg",IF(I159&gt;(0.475+0.02),"+2.5kg",IF(I159&gt;=(0.475-0.05),"保持",IF(I159&gt;=(0.475-0.08),"-2.5kg","-5kg"))))),"")</f>
        <v/>
      </c>
      <c r="R159" s="9" t="n"/>
    </row>
    <row r="160">
      <c r="A160" s="7" t="n">
        <v>2</v>
      </c>
      <c r="B160" s="9" t="n"/>
      <c r="C160" s="9" t="n"/>
      <c r="D160" s="9" t="n"/>
      <c r="E160" s="9" t="n"/>
      <c r="F160" s="9" t="n"/>
      <c r="G160" s="9" t="n"/>
      <c r="H160" s="9" t="n"/>
      <c r="I160" s="7">
        <f>IFERROR(MAX(C160:H160),"")</f>
        <v/>
      </c>
      <c r="J160" s="7">
        <f>IFERROR(MATCH(I160,C160:H160,0),"")</f>
        <v/>
      </c>
      <c r="K160" s="7" t="n">
        <v>25</v>
      </c>
      <c r="L160" s="7">
        <f>IFERROR(I160*(1-(K160/100)),"")</f>
        <v/>
      </c>
      <c r="M160" s="7">
        <f>IFERROR(LOOKUP(9.99E+307,C160:H160),"")</f>
        <v/>
      </c>
      <c r="N160" s="7">
        <f>IFERROR(IF(M160="","",IF(M160&lt;=N160,"停组🛑","继续✓")),"")</f>
        <v/>
      </c>
      <c r="O160" s="7">
        <f>IFERROR(IF(M160="","",IF(M160&lt;0.15,"SAFETY_STOP","")),"")</f>
        <v/>
      </c>
      <c r="P160" s="7">
        <f>IFERROR(IF(M160="","",IF(M160&lt;0.15,"SAFETY_STOP",IF(M160&lt;=N160,"VL_THRESHOLD",""))),"")</f>
        <v/>
      </c>
      <c r="Q160" s="7">
        <f>IFERROR(IF(I160="","",IF(I160&gt;(0.475+0.05),"+5kg",IF(I160&gt;(0.475+0.02),"+2.5kg",IF(I160&gt;=(0.475-0.05),"保持",IF(I160&gt;=(0.475-0.08),"-2.5kg","-5kg"))))),"")</f>
        <v/>
      </c>
      <c r="R160" s="9" t="n"/>
    </row>
    <row r="161">
      <c r="A161" s="7" t="n">
        <v>3</v>
      </c>
      <c r="B161" s="9" t="n"/>
      <c r="C161" s="9" t="n"/>
      <c r="D161" s="9" t="n"/>
      <c r="E161" s="9" t="n"/>
      <c r="F161" s="9" t="n"/>
      <c r="G161" s="9" t="n"/>
      <c r="H161" s="9" t="n"/>
      <c r="I161" s="7">
        <f>IFERROR(MAX(C161:H161),"")</f>
        <v/>
      </c>
      <c r="J161" s="7">
        <f>IFERROR(MATCH(I161,C161:H161,0),"")</f>
        <v/>
      </c>
      <c r="K161" s="7" t="n">
        <v>25</v>
      </c>
      <c r="L161" s="7">
        <f>IFERROR(I161*(1-(K161/100)),"")</f>
        <v/>
      </c>
      <c r="M161" s="7">
        <f>IFERROR(LOOKUP(9.99E+307,C161:H161),"")</f>
        <v/>
      </c>
      <c r="N161" s="7">
        <f>IFERROR(IF(M161="","",IF(M161&lt;=N161,"停组🛑","继续✓")),"")</f>
        <v/>
      </c>
      <c r="O161" s="7">
        <f>IFERROR(IF(M161="","",IF(M161&lt;0.15,"SAFETY_STOP","")),"")</f>
        <v/>
      </c>
      <c r="P161" s="7">
        <f>IFERROR(IF(M161="","",IF(M161&lt;0.15,"SAFETY_STOP",IF(M161&lt;=N161,"VL_THRESHOLD",""))),"")</f>
        <v/>
      </c>
      <c r="Q161" s="7">
        <f>IFERROR(IF(I161="","",IF(I161&gt;(0.475+0.05),"+5kg",IF(I161&gt;(0.475+0.02),"+2.5kg",IF(I161&gt;=(0.475-0.05),"保持",IF(I161&gt;=(0.475-0.08),"-2.5kg","-5kg"))))),"")</f>
        <v/>
      </c>
      <c r="R161" s="9" t="n"/>
    </row>
    <row r="162">
      <c r="A162" s="7" t="n">
        <v>4</v>
      </c>
      <c r="B162" s="9" t="n"/>
      <c r="C162" s="9" t="n"/>
      <c r="D162" s="9" t="n"/>
      <c r="E162" s="9" t="n"/>
      <c r="F162" s="9" t="n"/>
      <c r="G162" s="9" t="n"/>
      <c r="H162" s="9" t="n"/>
      <c r="I162" s="7">
        <f>IFERROR(MAX(C162:H162),"")</f>
        <v/>
      </c>
      <c r="J162" s="7">
        <f>IFERROR(MATCH(I162,C162:H162,0),"")</f>
        <v/>
      </c>
      <c r="K162" s="7" t="n">
        <v>25</v>
      </c>
      <c r="L162" s="7">
        <f>IFERROR(I162*(1-(K162/100)),"")</f>
        <v/>
      </c>
      <c r="M162" s="7">
        <f>IFERROR(LOOKUP(9.99E+307,C162:H162),"")</f>
        <v/>
      </c>
      <c r="N162" s="7">
        <f>IFERROR(IF(M162="","",IF(M162&lt;=N162,"停组🛑","继续✓")),"")</f>
        <v/>
      </c>
      <c r="O162" s="7">
        <f>IFERROR(IF(M162="","",IF(M162&lt;0.15,"SAFETY_STOP","")),"")</f>
        <v/>
      </c>
      <c r="P162" s="7">
        <f>IFERROR(IF(M162="","",IF(M162&lt;0.15,"SAFETY_STOP",IF(M162&lt;=N162,"VL_THRESHOLD",""))),"")</f>
        <v/>
      </c>
      <c r="Q162" s="7">
        <f>IFERROR(IF(I162="","",IF(I162&gt;(0.475+0.05),"+5kg",IF(I162&gt;(0.475+0.02),"+2.5kg",IF(I162&gt;=(0.475-0.05),"保持",IF(I162&gt;=(0.475-0.08),"-2.5kg","-5kg"))))),"")</f>
        <v/>
      </c>
      <c r="R162" s="9" t="n"/>
    </row>
    <row r="163">
      <c r="A163" s="7" t="n">
        <v>5</v>
      </c>
      <c r="B163" s="9" t="n"/>
      <c r="C163" s="9" t="n"/>
      <c r="D163" s="9" t="n"/>
      <c r="E163" s="9" t="n"/>
      <c r="F163" s="9" t="n"/>
      <c r="G163" s="9" t="n"/>
      <c r="H163" s="9" t="n"/>
      <c r="I163" s="7">
        <f>IFERROR(MAX(C163:H163),"")</f>
        <v/>
      </c>
      <c r="J163" s="7">
        <f>IFERROR(MATCH(I163,C163:H163,0),"")</f>
        <v/>
      </c>
      <c r="K163" s="7" t="n">
        <v>25</v>
      </c>
      <c r="L163" s="7">
        <f>IFERROR(I163*(1-(K163/100)),"")</f>
        <v/>
      </c>
      <c r="M163" s="7">
        <f>IFERROR(LOOKUP(9.99E+307,C163:H163),"")</f>
        <v/>
      </c>
      <c r="N163" s="7">
        <f>IFERROR(IF(M163="","",IF(M163&lt;=N163,"停组🛑","继续✓")),"")</f>
        <v/>
      </c>
      <c r="O163" s="7">
        <f>IFERROR(IF(M163="","",IF(M163&lt;0.15,"SAFETY_STOP","")),"")</f>
        <v/>
      </c>
      <c r="P163" s="7">
        <f>IFERROR(IF(M163="","",IF(M163&lt;0.15,"SAFETY_STOP",IF(M163&lt;=N163,"VL_THRESHOLD",""))),"")</f>
        <v/>
      </c>
      <c r="Q163" s="7">
        <f>IFERROR(IF(I163="","",IF(I163&gt;(0.475+0.05),"+5kg",IF(I163&gt;(0.475+0.02),"+2.5kg",IF(I163&gt;=(0.475-0.05),"保持",IF(I163&gt;=(0.475-0.08),"-2.5kg","-5kg"))))),"")</f>
        <v/>
      </c>
      <c r="R163" s="9" t="n"/>
    </row>
    <row r="164">
      <c r="A164" s="7" t="n">
        <v>6</v>
      </c>
      <c r="B164" s="9" t="n"/>
      <c r="C164" s="9" t="n"/>
      <c r="D164" s="9" t="n"/>
      <c r="E164" s="9" t="n"/>
      <c r="F164" s="9" t="n"/>
      <c r="G164" s="9" t="n"/>
      <c r="H164" s="9" t="n"/>
      <c r="I164" s="7">
        <f>IFERROR(MAX(C164:H164),"")</f>
        <v/>
      </c>
      <c r="J164" s="7">
        <f>IFERROR(MATCH(I164,C164:H164,0),"")</f>
        <v/>
      </c>
      <c r="K164" s="7" t="n">
        <v>25</v>
      </c>
      <c r="L164" s="7">
        <f>IFERROR(I164*(1-(K164/100)),"")</f>
        <v/>
      </c>
      <c r="M164" s="7">
        <f>IFERROR(LOOKUP(9.99E+307,C164:H164),"")</f>
        <v/>
      </c>
      <c r="N164" s="7">
        <f>IFERROR(IF(M164="","",IF(M164&lt;=N164,"停组🛑","继续✓")),"")</f>
        <v/>
      </c>
      <c r="O164" s="7">
        <f>IFERROR(IF(M164="","",IF(M164&lt;0.15,"SAFETY_STOP","")),"")</f>
        <v/>
      </c>
      <c r="P164" s="7">
        <f>IFERROR(IF(M164="","",IF(M164&lt;0.15,"SAFETY_STOP",IF(M164&lt;=N164,"VL_THRESHOLD",""))),"")</f>
        <v/>
      </c>
      <c r="Q164" s="7">
        <f>IFERROR(IF(I164="","",IF(I164&gt;(0.475+0.05),"+5kg",IF(I164&gt;(0.475+0.02),"+2.5kg",IF(I164&gt;=(0.475-0.05),"保持",IF(I164&gt;=(0.475-0.08),"-2.5kg","-5kg"))))),"")</f>
        <v/>
      </c>
      <c r="R164" s="9" t="n"/>
    </row>
    <row r="165">
      <c r="A165" s="13" t="inlineStr">
        <is>
          <t>辅助</t>
        </is>
      </c>
      <c r="D165" s="14" t="inlineStr">
        <is>
          <t>RDL</t>
        </is>
      </c>
      <c r="E165" s="14" t="inlineStr">
        <is>
          <t>负荷</t>
        </is>
      </c>
      <c r="F165" s="14" t="inlineStr">
        <is>
          <t>完成</t>
        </is>
      </c>
      <c r="I165" t="inlineStr">
        <is>
          <t>VL</t>
        </is>
      </c>
    </row>
    <row r="166">
      <c r="A166" s="15" t="inlineStr">
        <is>
          <t>训练后</t>
        </is>
      </c>
      <c r="B166" s="15" t="inlineStr">
        <is>
          <t>开始</t>
        </is>
      </c>
      <c r="C166" s="15" t="inlineStr">
        <is>
          <t>结束</t>
        </is>
      </c>
      <c r="D166" s="15" t="inlineStr">
        <is>
          <t>时长min</t>
        </is>
      </c>
      <c r="E166" s="15" t="inlineStr">
        <is>
          <t>sRPE</t>
        </is>
      </c>
      <c r="F166" s="15" t="inlineStr">
        <is>
          <t>load</t>
        </is>
      </c>
      <c r="G166" s="15" t="inlineStr">
        <is>
          <t>不适?</t>
        </is>
      </c>
      <c r="H166" s="15" t="inlineStr">
        <is>
          <t>备注</t>
        </is>
      </c>
      <c r="I166" s="15" t="inlineStr">
        <is>
          <t>签名</t>
        </is>
      </c>
    </row>
    <row r="167">
      <c r="A167" s="7" t="n"/>
      <c r="B167" s="9" t="n"/>
      <c r="C167" s="9" t="n"/>
      <c r="D167" s="11">
        <f>IFERROR((C167-B167)*1440,"")</f>
        <v/>
      </c>
      <c r="E167" s="9" t="n"/>
      <c r="F167" s="11">
        <f>IFERROR(E167*D167,"")</f>
        <v/>
      </c>
      <c r="G167" s="9" t="n"/>
      <c r="H167" s="9" t="n"/>
      <c r="I167" s="9" t="n"/>
    </row>
    <row r="168">
      <c r="A168" s="16" t="inlineStr">
        <is>
          <t>跳跃</t>
        </is>
      </c>
      <c r="B168" s="16" t="inlineStr">
        <is>
          <t>类型</t>
        </is>
      </c>
      <c r="C168" s="16" t="inlineStr">
        <is>
          <t>组×次</t>
        </is>
      </c>
      <c r="D168" s="16" t="inlineStr">
        <is>
          <t>负荷kg</t>
        </is>
      </c>
      <c r="E168" s="16" t="inlineStr">
        <is>
          <t>接触</t>
        </is>
      </c>
    </row>
    <row r="169">
      <c r="B169" t="inlineStr">
        <is>
          <t>CMJ</t>
        </is>
      </c>
      <c r="C169" t="inlineStr">
        <is>
          <t>3×3</t>
        </is>
      </c>
      <c r="D169" t="n">
        <v>0</v>
      </c>
      <c r="E169" t="n">
        <v>9</v>
      </c>
    </row>
    <row r="170">
      <c r="B170" t="inlineStr">
        <is>
          <t>箱跳</t>
        </is>
      </c>
      <c r="C170" t="inlineStr">
        <is>
          <t>3×3</t>
        </is>
      </c>
      <c r="D170" t="n">
        <v>0</v>
      </c>
      <c r="E170" t="n">
        <v>9</v>
      </c>
    </row>
    <row r="171">
      <c r="A171" s="17" t="inlineStr">
        <is>
          <t>▶ 暴露量汇总</t>
        </is>
      </c>
      <c r="B171" s="17" t="inlineStr">
        <is>
          <t>说明</t>
        </is>
      </c>
      <c r="C171" s="17" t="inlineStr">
        <is>
          <t>公式/来源</t>
        </is>
      </c>
      <c r="D171" s="17" t="inlineStr">
        <is>
          <t>数值</t>
        </is>
      </c>
    </row>
    <row r="172">
      <c r="A172" s="18" t="inlineStr">
        <is>
          <t>① 无负荷跳跃接触</t>
        </is>
      </c>
      <c r="B172" s="18" t="inlineStr">
        <is>
          <t>CMJ+SJ+箱跳</t>
        </is>
      </c>
      <c r="C172" s="19">
        <f>IFERROR(E169+E170,2)</f>
        <v/>
      </c>
    </row>
    <row r="173">
      <c r="A173" s="18" t="inlineStr">
        <is>
          <t>② 负重跳跃接触</t>
        </is>
      </c>
      <c r="B173" s="18" t="inlineStr">
        <is>
          <t>负重深蹲跳</t>
        </is>
      </c>
      <c r="C173" s="19">
        <f>IFERROR(E169,"")</f>
        <v/>
      </c>
    </row>
    <row r="174">
      <c r="A174" s="18" t="inlineStr">
        <is>
          <t>③ 跳跃总计</t>
        </is>
      </c>
      <c r="B174" s="18" t="inlineStr">
        <is>
          <t>①+②</t>
        </is>
      </c>
      <c r="C174" s="19">
        <f>IFERROR(B172+B173,"")</f>
        <v/>
      </c>
    </row>
    <row r="175">
      <c r="A175" s="18" t="inlineStr">
        <is>
          <t>④ 热身VL</t>
        </is>
      </c>
      <c r="B175" s="18" t="inlineStr">
        <is>
          <t>20×5+50%×3(+70%×2)</t>
        </is>
      </c>
      <c r="C175" s="19">
        <f>IFERROR(20*5+ROUND(V155*0.5,0)*3+ROUND(V{dr}*0.7,0)*2,"-")</f>
        <v/>
      </c>
    </row>
    <row r="176">
      <c r="A176" s="20" t="inlineStr">
        <is>
          <t>⑤ 主项工作组VL ★</t>
        </is>
      </c>
      <c r="B176" s="20" t="inlineStr">
        <is>
          <t>Σ(负荷×次数)</t>
        </is>
      </c>
      <c r="C176" s="21">
        <f>SUMPRODUCT($B$159:$B$164,$R$159:$R$164)</f>
        <v/>
      </c>
    </row>
    <row r="177">
      <c r="A177" s="18" t="inlineStr">
        <is>
          <t>⑥ 主项总VL</t>
        </is>
      </c>
      <c r="B177" s="18" t="inlineStr">
        <is>
          <t>④+⑤</t>
        </is>
      </c>
      <c r="C177" s="19">
        <f>IFERROR(D172+D173,"")</f>
        <v/>
      </c>
    </row>
    <row r="178">
      <c r="A178" s="18" t="inlineStr">
        <is>
          <t>⑦ 辅助VL</t>
        </is>
      </c>
      <c r="B178" s="18" t="inlineStr">
        <is>
          <t>RDL/保加利亚</t>
        </is>
      </c>
      <c r="C178" s="19">
        <f>IFERROR(I165,"")</f>
        <v/>
      </c>
    </row>
    <row r="179">
      <c r="A179" s="18" t="inlineStr">
        <is>
          <t>⑧ 总外部负荷</t>
        </is>
      </c>
      <c r="B179" s="18" t="inlineStr">
        <is>
          <t>⑥+⑦(+负重跳)</t>
        </is>
      </c>
      <c r="C179" s="19">
        <f>IFERROR(F172+G172,"")</f>
        <v/>
      </c>
    </row>
    <row r="180">
      <c r="A180" s="18" t="inlineStr">
        <is>
          <t>⑨ sRPE load</t>
        </is>
      </c>
      <c r="B180" s="18" t="inlineStr">
        <is>
          <t>sRPE×时长</t>
        </is>
      </c>
      <c r="C180" s="19">
        <f>IFERROR(F167,"")</f>
        <v/>
      </c>
    </row>
    <row r="183">
      <c r="A183" s="5" t="inlineStr">
        <is>
          <t>P016 杜遥  a=1.54 b=-0.0085 1RM=135</t>
        </is>
      </c>
    </row>
    <row r="184">
      <c r="A184" s="6" t="inlineStr">
        <is>
          <t>编号</t>
        </is>
      </c>
      <c r="B184" s="6" t="inlineStr">
        <is>
          <t>姓名</t>
        </is>
      </c>
      <c r="C184" s="6" t="inlineStr">
        <is>
          <t>身高</t>
        </is>
      </c>
      <c r="D184" s="6" t="inlineStr">
        <is>
          <t>1RM</t>
        </is>
      </c>
      <c r="E184" s="6" t="inlineStr">
        <is>
          <t>Hooper睡</t>
        </is>
      </c>
      <c r="F184" s="6" t="inlineStr">
        <is>
          <t>Hooper压</t>
        </is>
      </c>
      <c r="G184" s="6" t="inlineStr">
        <is>
          <t>Hooper疲</t>
        </is>
      </c>
      <c r="H184" s="6" t="inlineStr">
        <is>
          <t>Hooper酸</t>
        </is>
      </c>
      <c r="I184" s="6" t="inlineStr">
        <is>
          <t>H总</t>
        </is>
      </c>
      <c r="J184" s="6" t="inlineStr">
        <is>
          <t>不适?</t>
        </is>
      </c>
      <c r="K184" s="6" t="inlineStr">
        <is>
          <t>说明</t>
        </is>
      </c>
      <c r="L184" s="6" t="inlineStr">
        <is>
          <t>CMJ1</t>
        </is>
      </c>
      <c r="M184" s="6" t="inlineStr">
        <is>
          <t>CMJ2</t>
        </is>
      </c>
      <c r="N184" s="6" t="inlineStr">
        <is>
          <t>CMJ3</t>
        </is>
      </c>
      <c r="O184" s="6" t="inlineStr">
        <is>
          <t>CMJμ</t>
        </is>
      </c>
      <c r="P184" s="6" t="inlineStr">
        <is>
          <t>&lt;95%</t>
        </is>
      </c>
      <c r="Q184" s="6" t="inlineStr">
        <is>
          <t>减组</t>
        </is>
      </c>
      <c r="R184" s="6" t="inlineStr">
        <is>
          <t>组数</t>
        </is>
      </c>
      <c r="S184" s="6" t="inlineStr">
        <is>
          <t>a(V0)</t>
        </is>
      </c>
      <c r="T184" s="6" t="inlineStr">
        <is>
          <t>b</t>
        </is>
      </c>
      <c r="U184" s="6" t="inlineStr">
        <is>
          <t>等级</t>
        </is>
      </c>
      <c r="V184" s="6" t="inlineStr">
        <is>
          <t>预测起始</t>
        </is>
      </c>
    </row>
    <row r="185">
      <c r="A185" s="7" t="inlineStr">
        <is>
          <t>P016</t>
        </is>
      </c>
      <c r="B185" s="7" t="inlineStr">
        <is>
          <t>杜遥</t>
        </is>
      </c>
      <c r="C185" s="7" t="n">
        <v>180</v>
      </c>
      <c r="D185" s="8" t="n">
        <v>135</v>
      </c>
      <c r="E185" s="9" t="n"/>
      <c r="F185" s="9" t="n"/>
      <c r="G185" s="9" t="n"/>
      <c r="H185" s="9" t="n"/>
      <c r="I185" s="7">
        <f>IFERROR(SUM(E185:H185),"")</f>
        <v/>
      </c>
      <c r="J185" s="9" t="n"/>
      <c r="K185" s="9" t="n"/>
      <c r="L185" s="9" t="n"/>
      <c r="M185" s="9" t="n"/>
      <c r="N185" s="9" t="n"/>
      <c r="O185" s="7">
        <f>IFERROR(AVERAGE(L185:N185),"")</f>
        <v/>
      </c>
      <c r="P185" s="7">
        <f>IF(O185="","",IF(O185&lt;49.75,"是⚠","否"))</f>
        <v/>
      </c>
      <c r="Q185" s="7">
        <f>IF(O185="","",IF(O185&lt;49.75,5-1,5))</f>
        <v/>
      </c>
      <c r="R185" s="7" t="n"/>
      <c r="S185" s="8" t="n">
        <v>1.54</v>
      </c>
      <c r="T185" s="8" t="n">
        <v>-0.008500000000000001</v>
      </c>
      <c r="U185" s="7" t="inlineStr">
        <is>
          <t>B</t>
        </is>
      </c>
      <c r="V185" s="8" t="n">
        <v>125</v>
      </c>
    </row>
    <row r="186">
      <c r="A186" s="10" t="inlineStr">
        <is>
          <t>热身校准</t>
        </is>
      </c>
      <c r="B186" s="10" t="inlineStr">
        <is>
          <t>a</t>
        </is>
      </c>
      <c r="C186" s="10" t="inlineStr">
        <is>
          <t>b</t>
        </is>
      </c>
      <c r="D186" s="10" t="inlineStr">
        <is>
          <t>50%热身</t>
        </is>
      </c>
      <c r="E186" s="10" t="inlineStr">
        <is>
          <t>70%热身</t>
        </is>
      </c>
      <c r="F186" s="10" t="inlineStr">
        <is>
          <t>热身负荷</t>
        </is>
      </c>
      <c r="G186" s="10" t="inlineStr">
        <is>
          <t>实测MCV</t>
        </is>
      </c>
      <c r="H186" s="10" t="inlineStr">
        <is>
          <t>预测MCV</t>
        </is>
      </c>
      <c r="I186" s="10" t="inlineStr">
        <is>
          <t>Δv</t>
        </is>
      </c>
      <c r="J186" s="10" t="inlineStr">
        <is>
          <t>调整量</t>
        </is>
      </c>
      <c r="K186" s="10" t="inlineStr">
        <is>
          <t>校准第1组</t>
        </is>
      </c>
    </row>
    <row r="187">
      <c r="A187" s="7" t="n"/>
      <c r="B187" s="11" t="n">
        <v>1.54</v>
      </c>
      <c r="C187" s="11" t="n">
        <v>-0.008500000000000001</v>
      </c>
      <c r="D187" s="11">
        <f>IFERROR(ROUND(V185*0.5/2.5,0)*2.5,"")</f>
        <v/>
      </c>
      <c r="E187" s="11">
        <f>IFERROR(ROUND(V185*0.7/2.5,0)*2.5,"")</f>
        <v/>
      </c>
      <c r="F187" s="11">
        <f>IFERROR(ROUND(V185*0.6/2.5,0)*2.5,"")</f>
        <v/>
      </c>
      <c r="G187" s="9" t="n"/>
      <c r="H187" s="11">
        <f>IFERROR(B187+C187*F187,"")</f>
        <v/>
      </c>
      <c r="I187" s="11">
        <f>IFERROR(G187-H187,"")</f>
        <v/>
      </c>
      <c r="J187" s="11">
        <f>IFERROR(IF(I187&gt;0.08,5,IF(I187&gt;0.04,2.5,IF(I187&gt;=-0.04,0,IF(I187&gt;=-0.08,-2.5,-5)))),"")</f>
        <v/>
      </c>
      <c r="K187" s="11">
        <f>IFERROR(ROUND(V185+J187,0),"")</f>
        <v/>
      </c>
    </row>
    <row r="188">
      <c r="A188" s="12" t="inlineStr">
        <is>
          <t>组</t>
        </is>
      </c>
      <c r="B188" s="12" t="inlineStr">
        <is>
          <t>负荷</t>
        </is>
      </c>
      <c r="C188" s="12" t="inlineStr">
        <is>
          <t>rep1</t>
        </is>
      </c>
      <c r="D188" s="12" t="inlineStr">
        <is>
          <t>rep2</t>
        </is>
      </c>
      <c r="E188" s="12" t="inlineStr">
        <is>
          <t>rep3</t>
        </is>
      </c>
      <c r="F188" s="12" t="inlineStr">
        <is>
          <t>rep4</t>
        </is>
      </c>
      <c r="G188" s="12" t="inlineStr">
        <is>
          <t>rep5</t>
        </is>
      </c>
      <c r="H188" s="12" t="inlineStr">
        <is>
          <t>rep6</t>
        </is>
      </c>
      <c r="I188" s="12" t="inlineStr">
        <is>
          <t>best</t>
        </is>
      </c>
      <c r="J188" s="12" t="inlineStr">
        <is>
          <t>best#</t>
        </is>
      </c>
      <c r="K188" s="12" t="inlineStr">
        <is>
          <t>VL%</t>
        </is>
      </c>
      <c r="L188" s="12" t="inlineStr">
        <is>
          <t>stop_th</t>
        </is>
      </c>
      <c r="M188" s="12" t="inlineStr">
        <is>
          <t>latest</t>
        </is>
      </c>
      <c r="N188" s="12" t="inlineStr">
        <is>
          <t>VL_flag</t>
        </is>
      </c>
      <c r="O188" s="12" t="inlineStr">
        <is>
          <t>safety</t>
        </is>
      </c>
      <c r="P188" s="12" t="inlineStr">
        <is>
          <t>原因</t>
        </is>
      </c>
      <c r="Q188" s="12" t="inlineStr">
        <is>
          <t>建议</t>
        </is>
      </c>
      <c r="R188" s="12" t="inlineStr">
        <is>
          <t>次数</t>
        </is>
      </c>
    </row>
    <row r="189">
      <c r="A189" s="7" t="n">
        <v>1</v>
      </c>
      <c r="B189" s="9">
        <f>IFERROR(K187,"")</f>
        <v/>
      </c>
      <c r="C189" s="9" t="n"/>
      <c r="D189" s="9" t="n"/>
      <c r="E189" s="9" t="n"/>
      <c r="F189" s="9" t="n"/>
      <c r="G189" s="9" t="n"/>
      <c r="H189" s="9" t="n"/>
      <c r="I189" s="7">
        <f>IFERROR(MAX(C189:H189),"")</f>
        <v/>
      </c>
      <c r="J189" s="7">
        <f>IFERROR(MATCH(I189,C189:H189,0),"")</f>
        <v/>
      </c>
      <c r="K189" s="7" t="n">
        <v>25</v>
      </c>
      <c r="L189" s="7">
        <f>IFERROR(I189*(1-(K189/100)),"")</f>
        <v/>
      </c>
      <c r="M189" s="7">
        <f>IFERROR(LOOKUP(9.99E+307,C189:H189),"")</f>
        <v/>
      </c>
      <c r="N189" s="7">
        <f>IFERROR(IF(M189="","",IF(M189&lt;=N189,"停组🛑","继续✓")),"")</f>
        <v/>
      </c>
      <c r="O189" s="7">
        <f>IFERROR(IF(M189="","",IF(M189&lt;0.15,"SAFETY_STOP","")),"")</f>
        <v/>
      </c>
      <c r="P189" s="7">
        <f>IFERROR(IF(M189="","",IF(M189&lt;0.15,"SAFETY_STOP",IF(M189&lt;=N189,"VL_THRESHOLD",""))),"")</f>
        <v/>
      </c>
      <c r="Q189" s="7">
        <f>IFERROR(IF(I189="","",IF(I189&gt;(0.475+0.05),"+5kg",IF(I189&gt;(0.475+0.02),"+2.5kg",IF(I189&gt;=(0.475-0.05),"保持",IF(I189&gt;=(0.475-0.08),"-2.5kg","-5kg"))))),"")</f>
        <v/>
      </c>
      <c r="R189" s="9" t="n"/>
    </row>
    <row r="190">
      <c r="A190" s="7" t="n">
        <v>2</v>
      </c>
      <c r="B190" s="9" t="n"/>
      <c r="C190" s="9" t="n"/>
      <c r="D190" s="9" t="n"/>
      <c r="E190" s="9" t="n"/>
      <c r="F190" s="9" t="n"/>
      <c r="G190" s="9" t="n"/>
      <c r="H190" s="9" t="n"/>
      <c r="I190" s="7">
        <f>IFERROR(MAX(C190:H190),"")</f>
        <v/>
      </c>
      <c r="J190" s="7">
        <f>IFERROR(MATCH(I190,C190:H190,0),"")</f>
        <v/>
      </c>
      <c r="K190" s="7" t="n">
        <v>25</v>
      </c>
      <c r="L190" s="7">
        <f>IFERROR(I190*(1-(K190/100)),"")</f>
        <v/>
      </c>
      <c r="M190" s="7">
        <f>IFERROR(LOOKUP(9.99E+307,C190:H190),"")</f>
        <v/>
      </c>
      <c r="N190" s="7">
        <f>IFERROR(IF(M190="","",IF(M190&lt;=N190,"停组🛑","继续✓")),"")</f>
        <v/>
      </c>
      <c r="O190" s="7">
        <f>IFERROR(IF(M190="","",IF(M190&lt;0.15,"SAFETY_STOP","")),"")</f>
        <v/>
      </c>
      <c r="P190" s="7">
        <f>IFERROR(IF(M190="","",IF(M190&lt;0.15,"SAFETY_STOP",IF(M190&lt;=N190,"VL_THRESHOLD",""))),"")</f>
        <v/>
      </c>
      <c r="Q190" s="7">
        <f>IFERROR(IF(I190="","",IF(I190&gt;(0.475+0.05),"+5kg",IF(I190&gt;(0.475+0.02),"+2.5kg",IF(I190&gt;=(0.475-0.05),"保持",IF(I190&gt;=(0.475-0.08),"-2.5kg","-5kg"))))),"")</f>
        <v/>
      </c>
      <c r="R190" s="9" t="n"/>
    </row>
    <row r="191">
      <c r="A191" s="7" t="n">
        <v>3</v>
      </c>
      <c r="B191" s="9" t="n"/>
      <c r="C191" s="9" t="n"/>
      <c r="D191" s="9" t="n"/>
      <c r="E191" s="9" t="n"/>
      <c r="F191" s="9" t="n"/>
      <c r="G191" s="9" t="n"/>
      <c r="H191" s="9" t="n"/>
      <c r="I191" s="7">
        <f>IFERROR(MAX(C191:H191),"")</f>
        <v/>
      </c>
      <c r="J191" s="7">
        <f>IFERROR(MATCH(I191,C191:H191,0),"")</f>
        <v/>
      </c>
      <c r="K191" s="7" t="n">
        <v>25</v>
      </c>
      <c r="L191" s="7">
        <f>IFERROR(I191*(1-(K191/100)),"")</f>
        <v/>
      </c>
      <c r="M191" s="7">
        <f>IFERROR(LOOKUP(9.99E+307,C191:H191),"")</f>
        <v/>
      </c>
      <c r="N191" s="7">
        <f>IFERROR(IF(M191="","",IF(M191&lt;=N191,"停组🛑","继续✓")),"")</f>
        <v/>
      </c>
      <c r="O191" s="7">
        <f>IFERROR(IF(M191="","",IF(M191&lt;0.15,"SAFETY_STOP","")),"")</f>
        <v/>
      </c>
      <c r="P191" s="7">
        <f>IFERROR(IF(M191="","",IF(M191&lt;0.15,"SAFETY_STOP",IF(M191&lt;=N191,"VL_THRESHOLD",""))),"")</f>
        <v/>
      </c>
      <c r="Q191" s="7">
        <f>IFERROR(IF(I191="","",IF(I191&gt;(0.475+0.05),"+5kg",IF(I191&gt;(0.475+0.02),"+2.5kg",IF(I191&gt;=(0.475-0.05),"保持",IF(I191&gt;=(0.475-0.08),"-2.5kg","-5kg"))))),"")</f>
        <v/>
      </c>
      <c r="R191" s="9" t="n"/>
    </row>
    <row r="192">
      <c r="A192" s="7" t="n">
        <v>4</v>
      </c>
      <c r="B192" s="9" t="n"/>
      <c r="C192" s="9" t="n"/>
      <c r="D192" s="9" t="n"/>
      <c r="E192" s="9" t="n"/>
      <c r="F192" s="9" t="n"/>
      <c r="G192" s="9" t="n"/>
      <c r="H192" s="9" t="n"/>
      <c r="I192" s="7">
        <f>IFERROR(MAX(C192:H192),"")</f>
        <v/>
      </c>
      <c r="J192" s="7">
        <f>IFERROR(MATCH(I192,C192:H192,0),"")</f>
        <v/>
      </c>
      <c r="K192" s="7" t="n">
        <v>25</v>
      </c>
      <c r="L192" s="7">
        <f>IFERROR(I192*(1-(K192/100)),"")</f>
        <v/>
      </c>
      <c r="M192" s="7">
        <f>IFERROR(LOOKUP(9.99E+307,C192:H192),"")</f>
        <v/>
      </c>
      <c r="N192" s="7">
        <f>IFERROR(IF(M192="","",IF(M192&lt;=N192,"停组🛑","继续✓")),"")</f>
        <v/>
      </c>
      <c r="O192" s="7">
        <f>IFERROR(IF(M192="","",IF(M192&lt;0.15,"SAFETY_STOP","")),"")</f>
        <v/>
      </c>
      <c r="P192" s="7">
        <f>IFERROR(IF(M192="","",IF(M192&lt;0.15,"SAFETY_STOP",IF(M192&lt;=N192,"VL_THRESHOLD",""))),"")</f>
        <v/>
      </c>
      <c r="Q192" s="7">
        <f>IFERROR(IF(I192="","",IF(I192&gt;(0.475+0.05),"+5kg",IF(I192&gt;(0.475+0.02),"+2.5kg",IF(I192&gt;=(0.475-0.05),"保持",IF(I192&gt;=(0.475-0.08),"-2.5kg","-5kg"))))),"")</f>
        <v/>
      </c>
      <c r="R192" s="9" t="n"/>
    </row>
    <row r="193">
      <c r="A193" s="7" t="n">
        <v>5</v>
      </c>
      <c r="B193" s="9" t="n"/>
      <c r="C193" s="9" t="n"/>
      <c r="D193" s="9" t="n"/>
      <c r="E193" s="9" t="n"/>
      <c r="F193" s="9" t="n"/>
      <c r="G193" s="9" t="n"/>
      <c r="H193" s="9" t="n"/>
      <c r="I193" s="7">
        <f>IFERROR(MAX(C193:H193),"")</f>
        <v/>
      </c>
      <c r="J193" s="7">
        <f>IFERROR(MATCH(I193,C193:H193,0),"")</f>
        <v/>
      </c>
      <c r="K193" s="7" t="n">
        <v>25</v>
      </c>
      <c r="L193" s="7">
        <f>IFERROR(I193*(1-(K193/100)),"")</f>
        <v/>
      </c>
      <c r="M193" s="7">
        <f>IFERROR(LOOKUP(9.99E+307,C193:H193),"")</f>
        <v/>
      </c>
      <c r="N193" s="7">
        <f>IFERROR(IF(M193="","",IF(M193&lt;=N193,"停组🛑","继续✓")),"")</f>
        <v/>
      </c>
      <c r="O193" s="7">
        <f>IFERROR(IF(M193="","",IF(M193&lt;0.15,"SAFETY_STOP","")),"")</f>
        <v/>
      </c>
      <c r="P193" s="7">
        <f>IFERROR(IF(M193="","",IF(M193&lt;0.15,"SAFETY_STOP",IF(M193&lt;=N193,"VL_THRESHOLD",""))),"")</f>
        <v/>
      </c>
      <c r="Q193" s="7">
        <f>IFERROR(IF(I193="","",IF(I193&gt;(0.475+0.05),"+5kg",IF(I193&gt;(0.475+0.02),"+2.5kg",IF(I193&gt;=(0.475-0.05),"保持",IF(I193&gt;=(0.475-0.08),"-2.5kg","-5kg"))))),"")</f>
        <v/>
      </c>
      <c r="R193" s="9" t="n"/>
    </row>
    <row r="194">
      <c r="A194" s="7" t="n">
        <v>6</v>
      </c>
      <c r="B194" s="9" t="n"/>
      <c r="C194" s="9" t="n"/>
      <c r="D194" s="9" t="n"/>
      <c r="E194" s="9" t="n"/>
      <c r="F194" s="9" t="n"/>
      <c r="G194" s="9" t="n"/>
      <c r="H194" s="9" t="n"/>
      <c r="I194" s="7">
        <f>IFERROR(MAX(C194:H194),"")</f>
        <v/>
      </c>
      <c r="J194" s="7">
        <f>IFERROR(MATCH(I194,C194:H194,0),"")</f>
        <v/>
      </c>
      <c r="K194" s="7" t="n">
        <v>25</v>
      </c>
      <c r="L194" s="7">
        <f>IFERROR(I194*(1-(K194/100)),"")</f>
        <v/>
      </c>
      <c r="M194" s="7">
        <f>IFERROR(LOOKUP(9.99E+307,C194:H194),"")</f>
        <v/>
      </c>
      <c r="N194" s="7">
        <f>IFERROR(IF(M194="","",IF(M194&lt;=N194,"停组🛑","继续✓")),"")</f>
        <v/>
      </c>
      <c r="O194" s="7">
        <f>IFERROR(IF(M194="","",IF(M194&lt;0.15,"SAFETY_STOP","")),"")</f>
        <v/>
      </c>
      <c r="P194" s="7">
        <f>IFERROR(IF(M194="","",IF(M194&lt;0.15,"SAFETY_STOP",IF(M194&lt;=N194,"VL_THRESHOLD",""))),"")</f>
        <v/>
      </c>
      <c r="Q194" s="7">
        <f>IFERROR(IF(I194="","",IF(I194&gt;(0.475+0.05),"+5kg",IF(I194&gt;(0.475+0.02),"+2.5kg",IF(I194&gt;=(0.475-0.05),"保持",IF(I194&gt;=(0.475-0.08),"-2.5kg","-5kg"))))),"")</f>
        <v/>
      </c>
      <c r="R194" s="9" t="n"/>
    </row>
    <row r="195">
      <c r="A195" s="13" t="inlineStr">
        <is>
          <t>辅助</t>
        </is>
      </c>
      <c r="D195" s="14" t="inlineStr">
        <is>
          <t>RDL</t>
        </is>
      </c>
      <c r="E195" s="14" t="inlineStr">
        <is>
          <t>负荷</t>
        </is>
      </c>
      <c r="F195" s="14" t="inlineStr">
        <is>
          <t>完成</t>
        </is>
      </c>
      <c r="I195" t="inlineStr">
        <is>
          <t>VL</t>
        </is>
      </c>
    </row>
    <row r="196">
      <c r="A196" s="15" t="inlineStr">
        <is>
          <t>训练后</t>
        </is>
      </c>
      <c r="B196" s="15" t="inlineStr">
        <is>
          <t>开始</t>
        </is>
      </c>
      <c r="C196" s="15" t="inlineStr">
        <is>
          <t>结束</t>
        </is>
      </c>
      <c r="D196" s="15" t="inlineStr">
        <is>
          <t>时长min</t>
        </is>
      </c>
      <c r="E196" s="15" t="inlineStr">
        <is>
          <t>sRPE</t>
        </is>
      </c>
      <c r="F196" s="15" t="inlineStr">
        <is>
          <t>load</t>
        </is>
      </c>
      <c r="G196" s="15" t="inlineStr">
        <is>
          <t>不适?</t>
        </is>
      </c>
      <c r="H196" s="15" t="inlineStr">
        <is>
          <t>备注</t>
        </is>
      </c>
      <c r="I196" s="15" t="inlineStr">
        <is>
          <t>签名</t>
        </is>
      </c>
    </row>
    <row r="197">
      <c r="A197" s="7" t="n"/>
      <c r="B197" s="9" t="n"/>
      <c r="C197" s="9" t="n"/>
      <c r="D197" s="11">
        <f>IFERROR((C197-B197)*1440,"")</f>
        <v/>
      </c>
      <c r="E197" s="9" t="n"/>
      <c r="F197" s="11">
        <f>IFERROR(E197*D197,"")</f>
        <v/>
      </c>
      <c r="G197" s="9" t="n"/>
      <c r="H197" s="9" t="n"/>
      <c r="I197" s="9" t="n"/>
    </row>
    <row r="198">
      <c r="A198" s="16" t="inlineStr">
        <is>
          <t>跳跃</t>
        </is>
      </c>
      <c r="B198" s="16" t="inlineStr">
        <is>
          <t>类型</t>
        </is>
      </c>
      <c r="C198" s="16" t="inlineStr">
        <is>
          <t>组×次</t>
        </is>
      </c>
      <c r="D198" s="16" t="inlineStr">
        <is>
          <t>负荷kg</t>
        </is>
      </c>
      <c r="E198" s="16" t="inlineStr">
        <is>
          <t>接触</t>
        </is>
      </c>
    </row>
    <row r="199">
      <c r="B199" t="inlineStr">
        <is>
          <t>CMJ</t>
        </is>
      </c>
      <c r="C199" t="inlineStr">
        <is>
          <t>3×3</t>
        </is>
      </c>
      <c r="D199" t="n">
        <v>0</v>
      </c>
      <c r="E199" t="n">
        <v>9</v>
      </c>
    </row>
    <row r="200">
      <c r="B200" t="inlineStr">
        <is>
          <t>箱跳</t>
        </is>
      </c>
      <c r="C200" t="inlineStr">
        <is>
          <t>3×3</t>
        </is>
      </c>
      <c r="D200" t="n">
        <v>0</v>
      </c>
      <c r="E200" t="n">
        <v>9</v>
      </c>
    </row>
    <row r="201">
      <c r="A201" s="17" t="inlineStr">
        <is>
          <t>▶ 暴露量汇总</t>
        </is>
      </c>
      <c r="B201" s="17" t="inlineStr">
        <is>
          <t>说明</t>
        </is>
      </c>
      <c r="C201" s="17" t="inlineStr">
        <is>
          <t>公式/来源</t>
        </is>
      </c>
      <c r="D201" s="17" t="inlineStr">
        <is>
          <t>数值</t>
        </is>
      </c>
    </row>
    <row r="202">
      <c r="A202" s="18" t="inlineStr">
        <is>
          <t>① 无负荷跳跃接触</t>
        </is>
      </c>
      <c r="B202" s="18" t="inlineStr">
        <is>
          <t>CMJ+SJ+箱跳</t>
        </is>
      </c>
      <c r="C202" s="19">
        <f>IFERROR(E199+E200,2)</f>
        <v/>
      </c>
    </row>
    <row r="203">
      <c r="A203" s="18" t="inlineStr">
        <is>
          <t>② 负重跳跃接触</t>
        </is>
      </c>
      <c r="B203" s="18" t="inlineStr">
        <is>
          <t>负重深蹲跳</t>
        </is>
      </c>
      <c r="C203" s="19">
        <f>IFERROR(E199,"")</f>
        <v/>
      </c>
    </row>
    <row r="204">
      <c r="A204" s="18" t="inlineStr">
        <is>
          <t>③ 跳跃总计</t>
        </is>
      </c>
      <c r="B204" s="18" t="inlineStr">
        <is>
          <t>①+②</t>
        </is>
      </c>
      <c r="C204" s="19">
        <f>IFERROR(B202+B203,"")</f>
        <v/>
      </c>
    </row>
    <row r="205">
      <c r="A205" s="18" t="inlineStr">
        <is>
          <t>④ 热身VL</t>
        </is>
      </c>
      <c r="B205" s="18" t="inlineStr">
        <is>
          <t>20×5+50%×3(+70%×2)</t>
        </is>
      </c>
      <c r="C205" s="19">
        <f>IFERROR(20*5+ROUND(V185*0.5,0)*3+ROUND(V{dr}*0.7,0)*2,"-")</f>
        <v/>
      </c>
    </row>
    <row r="206">
      <c r="A206" s="20" t="inlineStr">
        <is>
          <t>⑤ 主项工作组VL ★</t>
        </is>
      </c>
      <c r="B206" s="20" t="inlineStr">
        <is>
          <t>Σ(负荷×次数)</t>
        </is>
      </c>
      <c r="C206" s="21">
        <f>SUMPRODUCT($B$189:$B$194,$R$189:$R$194)</f>
        <v/>
      </c>
    </row>
    <row r="207">
      <c r="A207" s="18" t="inlineStr">
        <is>
          <t>⑥ 主项总VL</t>
        </is>
      </c>
      <c r="B207" s="18" t="inlineStr">
        <is>
          <t>④+⑤</t>
        </is>
      </c>
      <c r="C207" s="19">
        <f>IFERROR(D202+D203,"")</f>
        <v/>
      </c>
    </row>
    <row r="208">
      <c r="A208" s="18" t="inlineStr">
        <is>
          <t>⑦ 辅助VL</t>
        </is>
      </c>
      <c r="B208" s="18" t="inlineStr">
        <is>
          <t>RDL/保加利亚</t>
        </is>
      </c>
      <c r="C208" s="19">
        <f>IFERROR(I195,"")</f>
        <v/>
      </c>
    </row>
    <row r="209">
      <c r="A209" s="18" t="inlineStr">
        <is>
          <t>⑧ 总外部负荷</t>
        </is>
      </c>
      <c r="B209" s="18" t="inlineStr">
        <is>
          <t>⑥+⑦(+负重跳)</t>
        </is>
      </c>
      <c r="C209" s="19">
        <f>IFERROR(F202+G202,"")</f>
        <v/>
      </c>
    </row>
    <row r="210">
      <c r="A210" s="18" t="inlineStr">
        <is>
          <t>⑨ sRPE load</t>
        </is>
      </c>
      <c r="B210" s="18" t="inlineStr">
        <is>
          <t>sRPE×时长</t>
        </is>
      </c>
      <c r="C210" s="19">
        <f>IFERROR(F197,"")</f>
        <v/>
      </c>
    </row>
    <row r="213">
      <c r="A213" s="5" t="inlineStr">
        <is>
          <t>P025 范芳忠  a=1.77 b=-0.0105 1RM=135</t>
        </is>
      </c>
    </row>
    <row r="214">
      <c r="A214" s="6" t="inlineStr">
        <is>
          <t>编号</t>
        </is>
      </c>
      <c r="B214" s="6" t="inlineStr">
        <is>
          <t>姓名</t>
        </is>
      </c>
      <c r="C214" s="6" t="inlineStr">
        <is>
          <t>身高</t>
        </is>
      </c>
      <c r="D214" s="6" t="inlineStr">
        <is>
          <t>1RM</t>
        </is>
      </c>
      <c r="E214" s="6" t="inlineStr">
        <is>
          <t>Hooper睡</t>
        </is>
      </c>
      <c r="F214" s="6" t="inlineStr">
        <is>
          <t>Hooper压</t>
        </is>
      </c>
      <c r="G214" s="6" t="inlineStr">
        <is>
          <t>Hooper疲</t>
        </is>
      </c>
      <c r="H214" s="6" t="inlineStr">
        <is>
          <t>Hooper酸</t>
        </is>
      </c>
      <c r="I214" s="6" t="inlineStr">
        <is>
          <t>H总</t>
        </is>
      </c>
      <c r="J214" s="6" t="inlineStr">
        <is>
          <t>不适?</t>
        </is>
      </c>
      <c r="K214" s="6" t="inlineStr">
        <is>
          <t>说明</t>
        </is>
      </c>
      <c r="L214" s="6" t="inlineStr">
        <is>
          <t>CMJ1</t>
        </is>
      </c>
      <c r="M214" s="6" t="inlineStr">
        <is>
          <t>CMJ2</t>
        </is>
      </c>
      <c r="N214" s="6" t="inlineStr">
        <is>
          <t>CMJ3</t>
        </is>
      </c>
      <c r="O214" s="6" t="inlineStr">
        <is>
          <t>CMJμ</t>
        </is>
      </c>
      <c r="P214" s="6" t="inlineStr">
        <is>
          <t>&lt;95%</t>
        </is>
      </c>
      <c r="Q214" s="6" t="inlineStr">
        <is>
          <t>减组</t>
        </is>
      </c>
      <c r="R214" s="6" t="inlineStr">
        <is>
          <t>组数</t>
        </is>
      </c>
      <c r="S214" s="6" t="inlineStr">
        <is>
          <t>a(V0)</t>
        </is>
      </c>
      <c r="T214" s="6" t="inlineStr">
        <is>
          <t>b</t>
        </is>
      </c>
      <c r="U214" s="6" t="inlineStr">
        <is>
          <t>等级</t>
        </is>
      </c>
      <c r="V214" s="6" t="inlineStr">
        <is>
          <t>预测起始</t>
        </is>
      </c>
    </row>
    <row r="215">
      <c r="A215" s="7" t="inlineStr">
        <is>
          <t>P025</t>
        </is>
      </c>
      <c r="B215" s="7" t="inlineStr">
        <is>
          <t>范芳忠</t>
        </is>
      </c>
      <c r="C215" s="7" t="n">
        <v>178</v>
      </c>
      <c r="D215" s="8" t="n">
        <v>135</v>
      </c>
      <c r="E215" s="9" t="n"/>
      <c r="F215" s="9" t="n"/>
      <c r="G215" s="9" t="n"/>
      <c r="H215" s="9" t="n"/>
      <c r="I215" s="7">
        <f>IFERROR(SUM(E215:H215),"")</f>
        <v/>
      </c>
      <c r="J215" s="9" t="n"/>
      <c r="K215" s="9" t="n"/>
      <c r="L215" s="9" t="n"/>
      <c r="M215" s="9" t="n"/>
      <c r="N215" s="9" t="n"/>
      <c r="O215" s="7">
        <f>IFERROR(AVERAGE(L215:N215),"")</f>
        <v/>
      </c>
      <c r="P215" s="7">
        <f>IF(O215="","",IF(O215&lt;58.43,"是⚠","否"))</f>
        <v/>
      </c>
      <c r="Q215" s="7">
        <f>IF(O215="","",IF(O215&lt;58.43,5-1,5))</f>
        <v/>
      </c>
      <c r="R215" s="7" t="n"/>
      <c r="S215" s="8" t="n">
        <v>1.77</v>
      </c>
      <c r="T215" s="8" t="n">
        <v>-0.0105</v>
      </c>
      <c r="U215" s="7" t="inlineStr">
        <is>
          <t>A</t>
        </is>
      </c>
      <c r="V215" s="8" t="n">
        <v>122.5</v>
      </c>
    </row>
    <row r="216">
      <c r="A216" s="10" t="inlineStr">
        <is>
          <t>热身校准</t>
        </is>
      </c>
      <c r="B216" s="10" t="inlineStr">
        <is>
          <t>a</t>
        </is>
      </c>
      <c r="C216" s="10" t="inlineStr">
        <is>
          <t>b</t>
        </is>
      </c>
      <c r="D216" s="10" t="inlineStr">
        <is>
          <t>50%热身</t>
        </is>
      </c>
      <c r="E216" s="10" t="inlineStr">
        <is>
          <t>70%热身</t>
        </is>
      </c>
      <c r="F216" s="10" t="inlineStr">
        <is>
          <t>热身负荷</t>
        </is>
      </c>
      <c r="G216" s="10" t="inlineStr">
        <is>
          <t>实测MCV</t>
        </is>
      </c>
      <c r="H216" s="10" t="inlineStr">
        <is>
          <t>预测MCV</t>
        </is>
      </c>
      <c r="I216" s="10" t="inlineStr">
        <is>
          <t>Δv</t>
        </is>
      </c>
      <c r="J216" s="10" t="inlineStr">
        <is>
          <t>调整量</t>
        </is>
      </c>
      <c r="K216" s="10" t="inlineStr">
        <is>
          <t>校准第1组</t>
        </is>
      </c>
    </row>
    <row r="217">
      <c r="A217" s="7" t="n"/>
      <c r="B217" s="11" t="n">
        <v>1.77</v>
      </c>
      <c r="C217" s="11" t="n">
        <v>-0.0105</v>
      </c>
      <c r="D217" s="11">
        <f>IFERROR(ROUND(V215*0.5/2.5,0)*2.5,"")</f>
        <v/>
      </c>
      <c r="E217" s="11">
        <f>IFERROR(ROUND(V215*0.7/2.5,0)*2.5,"")</f>
        <v/>
      </c>
      <c r="F217" s="11">
        <f>IFERROR(ROUND(V215*0.6/2.5,0)*2.5,"")</f>
        <v/>
      </c>
      <c r="G217" s="9" t="n"/>
      <c r="H217" s="11">
        <f>IFERROR(B217+C217*F217,"")</f>
        <v/>
      </c>
      <c r="I217" s="11">
        <f>IFERROR(G217-H217,"")</f>
        <v/>
      </c>
      <c r="J217" s="11">
        <f>IFERROR(IF(I217&gt;0.08,5,IF(I217&gt;0.04,2.5,IF(I217&gt;=-0.04,0,IF(I217&gt;=-0.08,-2.5,-5)))),"")</f>
        <v/>
      </c>
      <c r="K217" s="11">
        <f>IFERROR(ROUND(V215+J217,0),"")</f>
        <v/>
      </c>
    </row>
    <row r="218">
      <c r="A218" s="12" t="inlineStr">
        <is>
          <t>组</t>
        </is>
      </c>
      <c r="B218" s="12" t="inlineStr">
        <is>
          <t>负荷</t>
        </is>
      </c>
      <c r="C218" s="12" t="inlineStr">
        <is>
          <t>rep1</t>
        </is>
      </c>
      <c r="D218" s="12" t="inlineStr">
        <is>
          <t>rep2</t>
        </is>
      </c>
      <c r="E218" s="12" t="inlineStr">
        <is>
          <t>rep3</t>
        </is>
      </c>
      <c r="F218" s="12" t="inlineStr">
        <is>
          <t>rep4</t>
        </is>
      </c>
      <c r="G218" s="12" t="inlineStr">
        <is>
          <t>rep5</t>
        </is>
      </c>
      <c r="H218" s="12" t="inlineStr">
        <is>
          <t>rep6</t>
        </is>
      </c>
      <c r="I218" s="12" t="inlineStr">
        <is>
          <t>best</t>
        </is>
      </c>
      <c r="J218" s="12" t="inlineStr">
        <is>
          <t>best#</t>
        </is>
      </c>
      <c r="K218" s="12" t="inlineStr">
        <is>
          <t>VL%</t>
        </is>
      </c>
      <c r="L218" s="12" t="inlineStr">
        <is>
          <t>stop_th</t>
        </is>
      </c>
      <c r="M218" s="12" t="inlineStr">
        <is>
          <t>latest</t>
        </is>
      </c>
      <c r="N218" s="12" t="inlineStr">
        <is>
          <t>VL_flag</t>
        </is>
      </c>
      <c r="O218" s="12" t="inlineStr">
        <is>
          <t>safety</t>
        </is>
      </c>
      <c r="P218" s="12" t="inlineStr">
        <is>
          <t>原因</t>
        </is>
      </c>
      <c r="Q218" s="12" t="inlineStr">
        <is>
          <t>建议</t>
        </is>
      </c>
      <c r="R218" s="12" t="inlineStr">
        <is>
          <t>次数</t>
        </is>
      </c>
    </row>
    <row r="219">
      <c r="A219" s="7" t="n">
        <v>1</v>
      </c>
      <c r="B219" s="9">
        <f>IFERROR(K217,"")</f>
        <v/>
      </c>
      <c r="C219" s="9" t="n"/>
      <c r="D219" s="9" t="n"/>
      <c r="E219" s="9" t="n"/>
      <c r="F219" s="9" t="n"/>
      <c r="G219" s="9" t="n"/>
      <c r="H219" s="9" t="n"/>
      <c r="I219" s="7">
        <f>IFERROR(MAX(C219:H219),"")</f>
        <v/>
      </c>
      <c r="J219" s="7">
        <f>IFERROR(MATCH(I219,C219:H219,0),"")</f>
        <v/>
      </c>
      <c r="K219" s="7" t="n">
        <v>25</v>
      </c>
      <c r="L219" s="7">
        <f>IFERROR(I219*(1-(K219/100)),"")</f>
        <v/>
      </c>
      <c r="M219" s="7">
        <f>IFERROR(LOOKUP(9.99E+307,C219:H219),"")</f>
        <v/>
      </c>
      <c r="N219" s="7">
        <f>IFERROR(IF(M219="","",IF(M219&lt;=N219,"停组🛑","继续✓")),"")</f>
        <v/>
      </c>
      <c r="O219" s="7">
        <f>IFERROR(IF(M219="","",IF(M219&lt;0.15,"SAFETY_STOP","")),"")</f>
        <v/>
      </c>
      <c r="P219" s="7">
        <f>IFERROR(IF(M219="","",IF(M219&lt;0.15,"SAFETY_STOP",IF(M219&lt;=N219,"VL_THRESHOLD",""))),"")</f>
        <v/>
      </c>
      <c r="Q219" s="7">
        <f>IFERROR(IF(I219="","",IF(I219&gt;(0.475+0.05),"+5kg",IF(I219&gt;(0.475+0.02),"+2.5kg",IF(I219&gt;=(0.475-0.05),"保持",IF(I219&gt;=(0.475-0.08),"-2.5kg","-5kg"))))),"")</f>
        <v/>
      </c>
      <c r="R219" s="9" t="n"/>
    </row>
    <row r="220">
      <c r="A220" s="7" t="n">
        <v>2</v>
      </c>
      <c r="B220" s="9" t="n"/>
      <c r="C220" s="9" t="n"/>
      <c r="D220" s="9" t="n"/>
      <c r="E220" s="9" t="n"/>
      <c r="F220" s="9" t="n"/>
      <c r="G220" s="9" t="n"/>
      <c r="H220" s="9" t="n"/>
      <c r="I220" s="7">
        <f>IFERROR(MAX(C220:H220),"")</f>
        <v/>
      </c>
      <c r="J220" s="7">
        <f>IFERROR(MATCH(I220,C220:H220,0),"")</f>
        <v/>
      </c>
      <c r="K220" s="7" t="n">
        <v>25</v>
      </c>
      <c r="L220" s="7">
        <f>IFERROR(I220*(1-(K220/100)),"")</f>
        <v/>
      </c>
      <c r="M220" s="7">
        <f>IFERROR(LOOKUP(9.99E+307,C220:H220),"")</f>
        <v/>
      </c>
      <c r="N220" s="7">
        <f>IFERROR(IF(M220="","",IF(M220&lt;=N220,"停组🛑","继续✓")),"")</f>
        <v/>
      </c>
      <c r="O220" s="7">
        <f>IFERROR(IF(M220="","",IF(M220&lt;0.15,"SAFETY_STOP","")),"")</f>
        <v/>
      </c>
      <c r="P220" s="7">
        <f>IFERROR(IF(M220="","",IF(M220&lt;0.15,"SAFETY_STOP",IF(M220&lt;=N220,"VL_THRESHOLD",""))),"")</f>
        <v/>
      </c>
      <c r="Q220" s="7">
        <f>IFERROR(IF(I220="","",IF(I220&gt;(0.475+0.05),"+5kg",IF(I220&gt;(0.475+0.02),"+2.5kg",IF(I220&gt;=(0.475-0.05),"保持",IF(I220&gt;=(0.475-0.08),"-2.5kg","-5kg"))))),"")</f>
        <v/>
      </c>
      <c r="R220" s="9" t="n"/>
    </row>
    <row r="221">
      <c r="A221" s="7" t="n">
        <v>3</v>
      </c>
      <c r="B221" s="9" t="n"/>
      <c r="C221" s="9" t="n"/>
      <c r="D221" s="9" t="n"/>
      <c r="E221" s="9" t="n"/>
      <c r="F221" s="9" t="n"/>
      <c r="G221" s="9" t="n"/>
      <c r="H221" s="9" t="n"/>
      <c r="I221" s="7">
        <f>IFERROR(MAX(C221:H221),"")</f>
        <v/>
      </c>
      <c r="J221" s="7">
        <f>IFERROR(MATCH(I221,C221:H221,0),"")</f>
        <v/>
      </c>
      <c r="K221" s="7" t="n">
        <v>25</v>
      </c>
      <c r="L221" s="7">
        <f>IFERROR(I221*(1-(K221/100)),"")</f>
        <v/>
      </c>
      <c r="M221" s="7">
        <f>IFERROR(LOOKUP(9.99E+307,C221:H221),"")</f>
        <v/>
      </c>
      <c r="N221" s="7">
        <f>IFERROR(IF(M221="","",IF(M221&lt;=N221,"停组🛑","继续✓")),"")</f>
        <v/>
      </c>
      <c r="O221" s="7">
        <f>IFERROR(IF(M221="","",IF(M221&lt;0.15,"SAFETY_STOP","")),"")</f>
        <v/>
      </c>
      <c r="P221" s="7">
        <f>IFERROR(IF(M221="","",IF(M221&lt;0.15,"SAFETY_STOP",IF(M221&lt;=N221,"VL_THRESHOLD",""))),"")</f>
        <v/>
      </c>
      <c r="Q221" s="7">
        <f>IFERROR(IF(I221="","",IF(I221&gt;(0.475+0.05),"+5kg",IF(I221&gt;(0.475+0.02),"+2.5kg",IF(I221&gt;=(0.475-0.05),"保持",IF(I221&gt;=(0.475-0.08),"-2.5kg","-5kg"))))),"")</f>
        <v/>
      </c>
      <c r="R221" s="9" t="n"/>
    </row>
    <row r="222">
      <c r="A222" s="7" t="n">
        <v>4</v>
      </c>
      <c r="B222" s="9" t="n"/>
      <c r="C222" s="9" t="n"/>
      <c r="D222" s="9" t="n"/>
      <c r="E222" s="9" t="n"/>
      <c r="F222" s="9" t="n"/>
      <c r="G222" s="9" t="n"/>
      <c r="H222" s="9" t="n"/>
      <c r="I222" s="7">
        <f>IFERROR(MAX(C222:H222),"")</f>
        <v/>
      </c>
      <c r="J222" s="7">
        <f>IFERROR(MATCH(I222,C222:H222,0),"")</f>
        <v/>
      </c>
      <c r="K222" s="7" t="n">
        <v>25</v>
      </c>
      <c r="L222" s="7">
        <f>IFERROR(I222*(1-(K222/100)),"")</f>
        <v/>
      </c>
      <c r="M222" s="7">
        <f>IFERROR(LOOKUP(9.99E+307,C222:H222),"")</f>
        <v/>
      </c>
      <c r="N222" s="7">
        <f>IFERROR(IF(M222="","",IF(M222&lt;=N222,"停组🛑","继续✓")),"")</f>
        <v/>
      </c>
      <c r="O222" s="7">
        <f>IFERROR(IF(M222="","",IF(M222&lt;0.15,"SAFETY_STOP","")),"")</f>
        <v/>
      </c>
      <c r="P222" s="7">
        <f>IFERROR(IF(M222="","",IF(M222&lt;0.15,"SAFETY_STOP",IF(M222&lt;=N222,"VL_THRESHOLD",""))),"")</f>
        <v/>
      </c>
      <c r="Q222" s="7">
        <f>IFERROR(IF(I222="","",IF(I222&gt;(0.475+0.05),"+5kg",IF(I222&gt;(0.475+0.02),"+2.5kg",IF(I222&gt;=(0.475-0.05),"保持",IF(I222&gt;=(0.475-0.08),"-2.5kg","-5kg"))))),"")</f>
        <v/>
      </c>
      <c r="R222" s="9" t="n"/>
    </row>
    <row r="223">
      <c r="A223" s="7" t="n">
        <v>5</v>
      </c>
      <c r="B223" s="9" t="n"/>
      <c r="C223" s="9" t="n"/>
      <c r="D223" s="9" t="n"/>
      <c r="E223" s="9" t="n"/>
      <c r="F223" s="9" t="n"/>
      <c r="G223" s="9" t="n"/>
      <c r="H223" s="9" t="n"/>
      <c r="I223" s="7">
        <f>IFERROR(MAX(C223:H223),"")</f>
        <v/>
      </c>
      <c r="J223" s="7">
        <f>IFERROR(MATCH(I223,C223:H223,0),"")</f>
        <v/>
      </c>
      <c r="K223" s="7" t="n">
        <v>25</v>
      </c>
      <c r="L223" s="7">
        <f>IFERROR(I223*(1-(K223/100)),"")</f>
        <v/>
      </c>
      <c r="M223" s="7">
        <f>IFERROR(LOOKUP(9.99E+307,C223:H223),"")</f>
        <v/>
      </c>
      <c r="N223" s="7">
        <f>IFERROR(IF(M223="","",IF(M223&lt;=N223,"停组🛑","继续✓")),"")</f>
        <v/>
      </c>
      <c r="O223" s="7">
        <f>IFERROR(IF(M223="","",IF(M223&lt;0.15,"SAFETY_STOP","")),"")</f>
        <v/>
      </c>
      <c r="P223" s="7">
        <f>IFERROR(IF(M223="","",IF(M223&lt;0.15,"SAFETY_STOP",IF(M223&lt;=N223,"VL_THRESHOLD",""))),"")</f>
        <v/>
      </c>
      <c r="Q223" s="7">
        <f>IFERROR(IF(I223="","",IF(I223&gt;(0.475+0.05),"+5kg",IF(I223&gt;(0.475+0.02),"+2.5kg",IF(I223&gt;=(0.475-0.05),"保持",IF(I223&gt;=(0.475-0.08),"-2.5kg","-5kg"))))),"")</f>
        <v/>
      </c>
      <c r="R223" s="9" t="n"/>
    </row>
    <row r="224">
      <c r="A224" s="7" t="n">
        <v>6</v>
      </c>
      <c r="B224" s="9" t="n"/>
      <c r="C224" s="9" t="n"/>
      <c r="D224" s="9" t="n"/>
      <c r="E224" s="9" t="n"/>
      <c r="F224" s="9" t="n"/>
      <c r="G224" s="9" t="n"/>
      <c r="H224" s="9" t="n"/>
      <c r="I224" s="7">
        <f>IFERROR(MAX(C224:H224),"")</f>
        <v/>
      </c>
      <c r="J224" s="7">
        <f>IFERROR(MATCH(I224,C224:H224,0),"")</f>
        <v/>
      </c>
      <c r="K224" s="7" t="n">
        <v>25</v>
      </c>
      <c r="L224" s="7">
        <f>IFERROR(I224*(1-(K224/100)),"")</f>
        <v/>
      </c>
      <c r="M224" s="7">
        <f>IFERROR(LOOKUP(9.99E+307,C224:H224),"")</f>
        <v/>
      </c>
      <c r="N224" s="7">
        <f>IFERROR(IF(M224="","",IF(M224&lt;=N224,"停组🛑","继续✓")),"")</f>
        <v/>
      </c>
      <c r="O224" s="7">
        <f>IFERROR(IF(M224="","",IF(M224&lt;0.15,"SAFETY_STOP","")),"")</f>
        <v/>
      </c>
      <c r="P224" s="7">
        <f>IFERROR(IF(M224="","",IF(M224&lt;0.15,"SAFETY_STOP",IF(M224&lt;=N224,"VL_THRESHOLD",""))),"")</f>
        <v/>
      </c>
      <c r="Q224" s="7">
        <f>IFERROR(IF(I224="","",IF(I224&gt;(0.475+0.05),"+5kg",IF(I224&gt;(0.475+0.02),"+2.5kg",IF(I224&gt;=(0.475-0.05),"保持",IF(I224&gt;=(0.475-0.08),"-2.5kg","-5kg"))))),"")</f>
        <v/>
      </c>
      <c r="R224" s="9" t="n"/>
    </row>
    <row r="225">
      <c r="A225" s="13" t="inlineStr">
        <is>
          <t>辅助</t>
        </is>
      </c>
      <c r="D225" s="14" t="inlineStr">
        <is>
          <t>RDL</t>
        </is>
      </c>
      <c r="E225" s="14" t="inlineStr">
        <is>
          <t>负荷</t>
        </is>
      </c>
      <c r="F225" s="14" t="inlineStr">
        <is>
          <t>完成</t>
        </is>
      </c>
      <c r="I225" t="inlineStr">
        <is>
          <t>VL</t>
        </is>
      </c>
    </row>
    <row r="226">
      <c r="A226" s="15" t="inlineStr">
        <is>
          <t>训练后</t>
        </is>
      </c>
      <c r="B226" s="15" t="inlineStr">
        <is>
          <t>开始</t>
        </is>
      </c>
      <c r="C226" s="15" t="inlineStr">
        <is>
          <t>结束</t>
        </is>
      </c>
      <c r="D226" s="15" t="inlineStr">
        <is>
          <t>时长min</t>
        </is>
      </c>
      <c r="E226" s="15" t="inlineStr">
        <is>
          <t>sRPE</t>
        </is>
      </c>
      <c r="F226" s="15" t="inlineStr">
        <is>
          <t>load</t>
        </is>
      </c>
      <c r="G226" s="15" t="inlineStr">
        <is>
          <t>不适?</t>
        </is>
      </c>
      <c r="H226" s="15" t="inlineStr">
        <is>
          <t>备注</t>
        </is>
      </c>
      <c r="I226" s="15" t="inlineStr">
        <is>
          <t>签名</t>
        </is>
      </c>
    </row>
    <row r="227">
      <c r="A227" s="7" t="n"/>
      <c r="B227" s="9" t="n"/>
      <c r="C227" s="9" t="n"/>
      <c r="D227" s="11">
        <f>IFERROR((C227-B227)*1440,"")</f>
        <v/>
      </c>
      <c r="E227" s="9" t="n"/>
      <c r="F227" s="11">
        <f>IFERROR(E227*D227,"")</f>
        <v/>
      </c>
      <c r="G227" s="9" t="n"/>
      <c r="H227" s="9" t="n"/>
      <c r="I227" s="9" t="n"/>
    </row>
    <row r="228">
      <c r="A228" s="16" t="inlineStr">
        <is>
          <t>跳跃</t>
        </is>
      </c>
      <c r="B228" s="16" t="inlineStr">
        <is>
          <t>类型</t>
        </is>
      </c>
      <c r="C228" s="16" t="inlineStr">
        <is>
          <t>组×次</t>
        </is>
      </c>
      <c r="D228" s="16" t="inlineStr">
        <is>
          <t>负荷kg</t>
        </is>
      </c>
      <c r="E228" s="16" t="inlineStr">
        <is>
          <t>接触</t>
        </is>
      </c>
    </row>
    <row r="229">
      <c r="B229" t="inlineStr">
        <is>
          <t>CMJ</t>
        </is>
      </c>
      <c r="C229" t="inlineStr">
        <is>
          <t>3×3</t>
        </is>
      </c>
      <c r="D229" t="n">
        <v>0</v>
      </c>
      <c r="E229" t="n">
        <v>9</v>
      </c>
    </row>
    <row r="230">
      <c r="B230" t="inlineStr">
        <is>
          <t>箱跳</t>
        </is>
      </c>
      <c r="C230" t="inlineStr">
        <is>
          <t>3×3</t>
        </is>
      </c>
      <c r="D230" t="n">
        <v>0</v>
      </c>
      <c r="E230" t="n">
        <v>9</v>
      </c>
    </row>
    <row r="231">
      <c r="A231" s="17" t="inlineStr">
        <is>
          <t>▶ 暴露量汇总</t>
        </is>
      </c>
      <c r="B231" s="17" t="inlineStr">
        <is>
          <t>说明</t>
        </is>
      </c>
      <c r="C231" s="17" t="inlineStr">
        <is>
          <t>公式/来源</t>
        </is>
      </c>
      <c r="D231" s="17" t="inlineStr">
        <is>
          <t>数值</t>
        </is>
      </c>
    </row>
    <row r="232">
      <c r="A232" s="18" t="inlineStr">
        <is>
          <t>① 无负荷跳跃接触</t>
        </is>
      </c>
      <c r="B232" s="18" t="inlineStr">
        <is>
          <t>CMJ+SJ+箱跳</t>
        </is>
      </c>
      <c r="C232" s="19">
        <f>IFERROR(E229+E230,2)</f>
        <v/>
      </c>
    </row>
    <row r="233">
      <c r="A233" s="18" t="inlineStr">
        <is>
          <t>② 负重跳跃接触</t>
        </is>
      </c>
      <c r="B233" s="18" t="inlineStr">
        <is>
          <t>负重深蹲跳</t>
        </is>
      </c>
      <c r="C233" s="19">
        <f>IFERROR(E229,"")</f>
        <v/>
      </c>
    </row>
    <row r="234">
      <c r="A234" s="18" t="inlineStr">
        <is>
          <t>③ 跳跃总计</t>
        </is>
      </c>
      <c r="B234" s="18" t="inlineStr">
        <is>
          <t>①+②</t>
        </is>
      </c>
      <c r="C234" s="19">
        <f>IFERROR(B232+B233,"")</f>
        <v/>
      </c>
    </row>
    <row r="235">
      <c r="A235" s="18" t="inlineStr">
        <is>
          <t>④ 热身VL</t>
        </is>
      </c>
      <c r="B235" s="18" t="inlineStr">
        <is>
          <t>20×5+50%×3(+70%×2)</t>
        </is>
      </c>
      <c r="C235" s="19">
        <f>IFERROR(20*5+ROUND(V215*0.5,0)*3+ROUND(V{dr}*0.7,0)*2,"-")</f>
        <v/>
      </c>
    </row>
    <row r="236">
      <c r="A236" s="20" t="inlineStr">
        <is>
          <t>⑤ 主项工作组VL ★</t>
        </is>
      </c>
      <c r="B236" s="20" t="inlineStr">
        <is>
          <t>Σ(负荷×次数)</t>
        </is>
      </c>
      <c r="C236" s="21">
        <f>SUMPRODUCT($B$219:$B$224,$R$219:$R$224)</f>
        <v/>
      </c>
    </row>
    <row r="237">
      <c r="A237" s="18" t="inlineStr">
        <is>
          <t>⑥ 主项总VL</t>
        </is>
      </c>
      <c r="B237" s="18" t="inlineStr">
        <is>
          <t>④+⑤</t>
        </is>
      </c>
      <c r="C237" s="19">
        <f>IFERROR(D232+D233,"")</f>
        <v/>
      </c>
    </row>
    <row r="238">
      <c r="A238" s="18" t="inlineStr">
        <is>
          <t>⑦ 辅助VL</t>
        </is>
      </c>
      <c r="B238" s="18" t="inlineStr">
        <is>
          <t>RDL/保加利亚</t>
        </is>
      </c>
      <c r="C238" s="19">
        <f>IFERROR(I225,"")</f>
        <v/>
      </c>
    </row>
    <row r="239">
      <c r="A239" s="18" t="inlineStr">
        <is>
          <t>⑧ 总外部负荷</t>
        </is>
      </c>
      <c r="B239" s="18" t="inlineStr">
        <is>
          <t>⑥+⑦(+负重跳)</t>
        </is>
      </c>
      <c r="C239" s="19">
        <f>IFERROR(F232+G232,"")</f>
        <v/>
      </c>
    </row>
    <row r="240">
      <c r="A240" s="18" t="inlineStr">
        <is>
          <t>⑨ sRPE load</t>
        </is>
      </c>
      <c r="B240" s="18" t="inlineStr">
        <is>
          <t>sRPE×时长</t>
        </is>
      </c>
      <c r="C240" s="19">
        <f>IFERROR(F227,"")</f>
        <v/>
      </c>
    </row>
    <row r="243">
      <c r="A243" s="5" t="inlineStr">
        <is>
          <t>P018 孟维宇  a=1.71 b=-0.0105 1RM=122.5</t>
        </is>
      </c>
    </row>
    <row r="244">
      <c r="A244" s="6" t="inlineStr">
        <is>
          <t>编号</t>
        </is>
      </c>
      <c r="B244" s="6" t="inlineStr">
        <is>
          <t>姓名</t>
        </is>
      </c>
      <c r="C244" s="6" t="inlineStr">
        <is>
          <t>身高</t>
        </is>
      </c>
      <c r="D244" s="6" t="inlineStr">
        <is>
          <t>1RM</t>
        </is>
      </c>
      <c r="E244" s="6" t="inlineStr">
        <is>
          <t>Hooper睡</t>
        </is>
      </c>
      <c r="F244" s="6" t="inlineStr">
        <is>
          <t>Hooper压</t>
        </is>
      </c>
      <c r="G244" s="6" t="inlineStr">
        <is>
          <t>Hooper疲</t>
        </is>
      </c>
      <c r="H244" s="6" t="inlineStr">
        <is>
          <t>Hooper酸</t>
        </is>
      </c>
      <c r="I244" s="6" t="inlineStr">
        <is>
          <t>H总</t>
        </is>
      </c>
      <c r="J244" s="6" t="inlineStr">
        <is>
          <t>不适?</t>
        </is>
      </c>
      <c r="K244" s="6" t="inlineStr">
        <is>
          <t>说明</t>
        </is>
      </c>
      <c r="L244" s="6" t="inlineStr">
        <is>
          <t>CMJ1</t>
        </is>
      </c>
      <c r="M244" s="6" t="inlineStr">
        <is>
          <t>CMJ2</t>
        </is>
      </c>
      <c r="N244" s="6" t="inlineStr">
        <is>
          <t>CMJ3</t>
        </is>
      </c>
      <c r="O244" s="6" t="inlineStr">
        <is>
          <t>CMJμ</t>
        </is>
      </c>
      <c r="P244" s="6" t="inlineStr">
        <is>
          <t>&lt;95%</t>
        </is>
      </c>
      <c r="Q244" s="6" t="inlineStr">
        <is>
          <t>减组</t>
        </is>
      </c>
      <c r="R244" s="6" t="inlineStr">
        <is>
          <t>组数</t>
        </is>
      </c>
      <c r="S244" s="6" t="inlineStr">
        <is>
          <t>a(V0)</t>
        </is>
      </c>
      <c r="T244" s="6" t="inlineStr">
        <is>
          <t>b</t>
        </is>
      </c>
      <c r="U244" s="6" t="inlineStr">
        <is>
          <t>等级</t>
        </is>
      </c>
      <c r="V244" s="6" t="inlineStr">
        <is>
          <t>预测起始</t>
        </is>
      </c>
    </row>
    <row r="245">
      <c r="A245" s="7" t="inlineStr">
        <is>
          <t>P018</t>
        </is>
      </c>
      <c r="B245" s="7" t="inlineStr">
        <is>
          <t>孟维宇</t>
        </is>
      </c>
      <c r="C245" s="7" t="n">
        <v>173</v>
      </c>
      <c r="D245" s="8" t="n">
        <v>122.5</v>
      </c>
      <c r="E245" s="9" t="n"/>
      <c r="F245" s="9" t="n"/>
      <c r="G245" s="9" t="n"/>
      <c r="H245" s="9" t="n"/>
      <c r="I245" s="7">
        <f>IFERROR(SUM(E245:H245),"")</f>
        <v/>
      </c>
      <c r="J245" s="9" t="n"/>
      <c r="K245" s="9" t="n"/>
      <c r="L245" s="9" t="n"/>
      <c r="M245" s="9" t="n"/>
      <c r="N245" s="9" t="n"/>
      <c r="O245" s="7">
        <f>IFERROR(AVERAGE(L245:N245),"")</f>
        <v/>
      </c>
      <c r="P245" s="7">
        <f>IF(O245="","",IF(O245&lt;52.6,"是⚠","否"))</f>
        <v/>
      </c>
      <c r="Q245" s="7">
        <f>IF(O245="","",IF(O245&lt;52.6,5-1,5))</f>
        <v/>
      </c>
      <c r="R245" s="7" t="n"/>
      <c r="S245" s="8" t="n">
        <v>1.71</v>
      </c>
      <c r="T245" s="8" t="n">
        <v>-0.0105</v>
      </c>
      <c r="U245" s="7" t="inlineStr">
        <is>
          <t>B</t>
        </is>
      </c>
      <c r="V245" s="8" t="n">
        <v>117.5</v>
      </c>
    </row>
    <row r="246">
      <c r="A246" s="10" t="inlineStr">
        <is>
          <t>热身校准</t>
        </is>
      </c>
      <c r="B246" s="10" t="inlineStr">
        <is>
          <t>a</t>
        </is>
      </c>
      <c r="C246" s="10" t="inlineStr">
        <is>
          <t>b</t>
        </is>
      </c>
      <c r="D246" s="10" t="inlineStr">
        <is>
          <t>50%热身</t>
        </is>
      </c>
      <c r="E246" s="10" t="inlineStr">
        <is>
          <t>70%热身</t>
        </is>
      </c>
      <c r="F246" s="10" t="inlineStr">
        <is>
          <t>热身负荷</t>
        </is>
      </c>
      <c r="G246" s="10" t="inlineStr">
        <is>
          <t>实测MCV</t>
        </is>
      </c>
      <c r="H246" s="10" t="inlineStr">
        <is>
          <t>预测MCV</t>
        </is>
      </c>
      <c r="I246" s="10" t="inlineStr">
        <is>
          <t>Δv</t>
        </is>
      </c>
      <c r="J246" s="10" t="inlineStr">
        <is>
          <t>调整量</t>
        </is>
      </c>
      <c r="K246" s="10" t="inlineStr">
        <is>
          <t>校准第1组</t>
        </is>
      </c>
    </row>
    <row r="247">
      <c r="A247" s="7" t="n"/>
      <c r="B247" s="11" t="n">
        <v>1.71</v>
      </c>
      <c r="C247" s="11" t="n">
        <v>-0.0105</v>
      </c>
      <c r="D247" s="11">
        <f>IFERROR(ROUND(V245*0.5/2.5,0)*2.5,"")</f>
        <v/>
      </c>
      <c r="E247" s="11">
        <f>IFERROR(ROUND(V245*0.7/2.5,0)*2.5,"")</f>
        <v/>
      </c>
      <c r="F247" s="11">
        <f>IFERROR(ROUND(V245*0.6/2.5,0)*2.5,"")</f>
        <v/>
      </c>
      <c r="G247" s="9" t="n"/>
      <c r="H247" s="11">
        <f>IFERROR(B247+C247*F247,"")</f>
        <v/>
      </c>
      <c r="I247" s="11">
        <f>IFERROR(G247-H247,"")</f>
        <v/>
      </c>
      <c r="J247" s="11">
        <f>IFERROR(IF(I247&gt;0.08,5,IF(I247&gt;0.04,2.5,IF(I247&gt;=-0.04,0,IF(I247&gt;=-0.08,-2.5,-5)))),"")</f>
        <v/>
      </c>
      <c r="K247" s="11">
        <f>IFERROR(ROUND(V245+J247,0),"")</f>
        <v/>
      </c>
    </row>
    <row r="248">
      <c r="A248" s="12" t="inlineStr">
        <is>
          <t>组</t>
        </is>
      </c>
      <c r="B248" s="12" t="inlineStr">
        <is>
          <t>负荷</t>
        </is>
      </c>
      <c r="C248" s="12" t="inlineStr">
        <is>
          <t>rep1</t>
        </is>
      </c>
      <c r="D248" s="12" t="inlineStr">
        <is>
          <t>rep2</t>
        </is>
      </c>
      <c r="E248" s="12" t="inlineStr">
        <is>
          <t>rep3</t>
        </is>
      </c>
      <c r="F248" s="12" t="inlineStr">
        <is>
          <t>rep4</t>
        </is>
      </c>
      <c r="G248" s="12" t="inlineStr">
        <is>
          <t>rep5</t>
        </is>
      </c>
      <c r="H248" s="12" t="inlineStr">
        <is>
          <t>rep6</t>
        </is>
      </c>
      <c r="I248" s="12" t="inlineStr">
        <is>
          <t>best</t>
        </is>
      </c>
      <c r="J248" s="12" t="inlineStr">
        <is>
          <t>best#</t>
        </is>
      </c>
      <c r="K248" s="12" t="inlineStr">
        <is>
          <t>VL%</t>
        </is>
      </c>
      <c r="L248" s="12" t="inlineStr">
        <is>
          <t>stop_th</t>
        </is>
      </c>
      <c r="M248" s="12" t="inlineStr">
        <is>
          <t>latest</t>
        </is>
      </c>
      <c r="N248" s="12" t="inlineStr">
        <is>
          <t>VL_flag</t>
        </is>
      </c>
      <c r="O248" s="12" t="inlineStr">
        <is>
          <t>safety</t>
        </is>
      </c>
      <c r="P248" s="12" t="inlineStr">
        <is>
          <t>原因</t>
        </is>
      </c>
      <c r="Q248" s="12" t="inlineStr">
        <is>
          <t>建议</t>
        </is>
      </c>
      <c r="R248" s="12" t="inlineStr">
        <is>
          <t>次数</t>
        </is>
      </c>
    </row>
    <row r="249">
      <c r="A249" s="7" t="n">
        <v>1</v>
      </c>
      <c r="B249" s="9">
        <f>IFERROR(K247,"")</f>
        <v/>
      </c>
      <c r="C249" s="9" t="n"/>
      <c r="D249" s="9" t="n"/>
      <c r="E249" s="9" t="n"/>
      <c r="F249" s="9" t="n"/>
      <c r="G249" s="9" t="n"/>
      <c r="H249" s="9" t="n"/>
      <c r="I249" s="7">
        <f>IFERROR(MAX(C249:H249),"")</f>
        <v/>
      </c>
      <c r="J249" s="7">
        <f>IFERROR(MATCH(I249,C249:H249,0),"")</f>
        <v/>
      </c>
      <c r="K249" s="7" t="n">
        <v>25</v>
      </c>
      <c r="L249" s="7">
        <f>IFERROR(I249*(1-(K249/100)),"")</f>
        <v/>
      </c>
      <c r="M249" s="7">
        <f>IFERROR(LOOKUP(9.99E+307,C249:H249),"")</f>
        <v/>
      </c>
      <c r="N249" s="7">
        <f>IFERROR(IF(M249="","",IF(M249&lt;=N249,"停组🛑","继续✓")),"")</f>
        <v/>
      </c>
      <c r="O249" s="7">
        <f>IFERROR(IF(M249="","",IF(M249&lt;0.15,"SAFETY_STOP","")),"")</f>
        <v/>
      </c>
      <c r="P249" s="7">
        <f>IFERROR(IF(M249="","",IF(M249&lt;0.15,"SAFETY_STOP",IF(M249&lt;=N249,"VL_THRESHOLD",""))),"")</f>
        <v/>
      </c>
      <c r="Q249" s="7">
        <f>IFERROR(IF(I249="","",IF(I249&gt;(0.475+0.05),"+5kg",IF(I249&gt;(0.475+0.02),"+2.5kg",IF(I249&gt;=(0.475-0.05),"保持",IF(I249&gt;=(0.475-0.08),"-2.5kg","-5kg"))))),"")</f>
        <v/>
      </c>
      <c r="R249" s="9" t="n"/>
    </row>
    <row r="250">
      <c r="A250" s="7" t="n">
        <v>2</v>
      </c>
      <c r="B250" s="9" t="n"/>
      <c r="C250" s="9" t="n"/>
      <c r="D250" s="9" t="n"/>
      <c r="E250" s="9" t="n"/>
      <c r="F250" s="9" t="n"/>
      <c r="G250" s="9" t="n"/>
      <c r="H250" s="9" t="n"/>
      <c r="I250" s="7">
        <f>IFERROR(MAX(C250:H250),"")</f>
        <v/>
      </c>
      <c r="J250" s="7">
        <f>IFERROR(MATCH(I250,C250:H250,0),"")</f>
        <v/>
      </c>
      <c r="K250" s="7" t="n">
        <v>25</v>
      </c>
      <c r="L250" s="7">
        <f>IFERROR(I250*(1-(K250/100)),"")</f>
        <v/>
      </c>
      <c r="M250" s="7">
        <f>IFERROR(LOOKUP(9.99E+307,C250:H250),"")</f>
        <v/>
      </c>
      <c r="N250" s="7">
        <f>IFERROR(IF(M250="","",IF(M250&lt;=N250,"停组🛑","继续✓")),"")</f>
        <v/>
      </c>
      <c r="O250" s="7">
        <f>IFERROR(IF(M250="","",IF(M250&lt;0.15,"SAFETY_STOP","")),"")</f>
        <v/>
      </c>
      <c r="P250" s="7">
        <f>IFERROR(IF(M250="","",IF(M250&lt;0.15,"SAFETY_STOP",IF(M250&lt;=N250,"VL_THRESHOLD",""))),"")</f>
        <v/>
      </c>
      <c r="Q250" s="7">
        <f>IFERROR(IF(I250="","",IF(I250&gt;(0.475+0.05),"+5kg",IF(I250&gt;(0.475+0.02),"+2.5kg",IF(I250&gt;=(0.475-0.05),"保持",IF(I250&gt;=(0.475-0.08),"-2.5kg","-5kg"))))),"")</f>
        <v/>
      </c>
      <c r="R250" s="9" t="n"/>
    </row>
    <row r="251">
      <c r="A251" s="7" t="n">
        <v>3</v>
      </c>
      <c r="B251" s="9" t="n"/>
      <c r="C251" s="9" t="n"/>
      <c r="D251" s="9" t="n"/>
      <c r="E251" s="9" t="n"/>
      <c r="F251" s="9" t="n"/>
      <c r="G251" s="9" t="n"/>
      <c r="H251" s="9" t="n"/>
      <c r="I251" s="7">
        <f>IFERROR(MAX(C251:H251),"")</f>
        <v/>
      </c>
      <c r="J251" s="7">
        <f>IFERROR(MATCH(I251,C251:H251,0),"")</f>
        <v/>
      </c>
      <c r="K251" s="7" t="n">
        <v>25</v>
      </c>
      <c r="L251" s="7">
        <f>IFERROR(I251*(1-(K251/100)),"")</f>
        <v/>
      </c>
      <c r="M251" s="7">
        <f>IFERROR(LOOKUP(9.99E+307,C251:H251),"")</f>
        <v/>
      </c>
      <c r="N251" s="7">
        <f>IFERROR(IF(M251="","",IF(M251&lt;=N251,"停组🛑","继续✓")),"")</f>
        <v/>
      </c>
      <c r="O251" s="7">
        <f>IFERROR(IF(M251="","",IF(M251&lt;0.15,"SAFETY_STOP","")),"")</f>
        <v/>
      </c>
      <c r="P251" s="7">
        <f>IFERROR(IF(M251="","",IF(M251&lt;0.15,"SAFETY_STOP",IF(M251&lt;=N251,"VL_THRESHOLD",""))),"")</f>
        <v/>
      </c>
      <c r="Q251" s="7">
        <f>IFERROR(IF(I251="","",IF(I251&gt;(0.475+0.05),"+5kg",IF(I251&gt;(0.475+0.02),"+2.5kg",IF(I251&gt;=(0.475-0.05),"保持",IF(I251&gt;=(0.475-0.08),"-2.5kg","-5kg"))))),"")</f>
        <v/>
      </c>
      <c r="R251" s="9" t="n"/>
    </row>
    <row r="252">
      <c r="A252" s="7" t="n">
        <v>4</v>
      </c>
      <c r="B252" s="9" t="n"/>
      <c r="C252" s="9" t="n"/>
      <c r="D252" s="9" t="n"/>
      <c r="E252" s="9" t="n"/>
      <c r="F252" s="9" t="n"/>
      <c r="G252" s="9" t="n"/>
      <c r="H252" s="9" t="n"/>
      <c r="I252" s="7">
        <f>IFERROR(MAX(C252:H252),"")</f>
        <v/>
      </c>
      <c r="J252" s="7">
        <f>IFERROR(MATCH(I252,C252:H252,0),"")</f>
        <v/>
      </c>
      <c r="K252" s="7" t="n">
        <v>25</v>
      </c>
      <c r="L252" s="7">
        <f>IFERROR(I252*(1-(K252/100)),"")</f>
        <v/>
      </c>
      <c r="M252" s="7">
        <f>IFERROR(LOOKUP(9.99E+307,C252:H252),"")</f>
        <v/>
      </c>
      <c r="N252" s="7">
        <f>IFERROR(IF(M252="","",IF(M252&lt;=N252,"停组🛑","继续✓")),"")</f>
        <v/>
      </c>
      <c r="O252" s="7">
        <f>IFERROR(IF(M252="","",IF(M252&lt;0.15,"SAFETY_STOP","")),"")</f>
        <v/>
      </c>
      <c r="P252" s="7">
        <f>IFERROR(IF(M252="","",IF(M252&lt;0.15,"SAFETY_STOP",IF(M252&lt;=N252,"VL_THRESHOLD",""))),"")</f>
        <v/>
      </c>
      <c r="Q252" s="7">
        <f>IFERROR(IF(I252="","",IF(I252&gt;(0.475+0.05),"+5kg",IF(I252&gt;(0.475+0.02),"+2.5kg",IF(I252&gt;=(0.475-0.05),"保持",IF(I252&gt;=(0.475-0.08),"-2.5kg","-5kg"))))),"")</f>
        <v/>
      </c>
      <c r="R252" s="9" t="n"/>
    </row>
    <row r="253">
      <c r="A253" s="7" t="n">
        <v>5</v>
      </c>
      <c r="B253" s="9" t="n"/>
      <c r="C253" s="9" t="n"/>
      <c r="D253" s="9" t="n"/>
      <c r="E253" s="9" t="n"/>
      <c r="F253" s="9" t="n"/>
      <c r="G253" s="9" t="n"/>
      <c r="H253" s="9" t="n"/>
      <c r="I253" s="7">
        <f>IFERROR(MAX(C253:H253),"")</f>
        <v/>
      </c>
      <c r="J253" s="7">
        <f>IFERROR(MATCH(I253,C253:H253,0),"")</f>
        <v/>
      </c>
      <c r="K253" s="7" t="n">
        <v>25</v>
      </c>
      <c r="L253" s="7">
        <f>IFERROR(I253*(1-(K253/100)),"")</f>
        <v/>
      </c>
      <c r="M253" s="7">
        <f>IFERROR(LOOKUP(9.99E+307,C253:H253),"")</f>
        <v/>
      </c>
      <c r="N253" s="7">
        <f>IFERROR(IF(M253="","",IF(M253&lt;=N253,"停组🛑","继续✓")),"")</f>
        <v/>
      </c>
      <c r="O253" s="7">
        <f>IFERROR(IF(M253="","",IF(M253&lt;0.15,"SAFETY_STOP","")),"")</f>
        <v/>
      </c>
      <c r="P253" s="7">
        <f>IFERROR(IF(M253="","",IF(M253&lt;0.15,"SAFETY_STOP",IF(M253&lt;=N253,"VL_THRESHOLD",""))),"")</f>
        <v/>
      </c>
      <c r="Q253" s="7">
        <f>IFERROR(IF(I253="","",IF(I253&gt;(0.475+0.05),"+5kg",IF(I253&gt;(0.475+0.02),"+2.5kg",IF(I253&gt;=(0.475-0.05),"保持",IF(I253&gt;=(0.475-0.08),"-2.5kg","-5kg"))))),"")</f>
        <v/>
      </c>
      <c r="R253" s="9" t="n"/>
    </row>
    <row r="254">
      <c r="A254" s="7" t="n">
        <v>6</v>
      </c>
      <c r="B254" s="9" t="n"/>
      <c r="C254" s="9" t="n"/>
      <c r="D254" s="9" t="n"/>
      <c r="E254" s="9" t="n"/>
      <c r="F254" s="9" t="n"/>
      <c r="G254" s="9" t="n"/>
      <c r="H254" s="9" t="n"/>
      <c r="I254" s="7">
        <f>IFERROR(MAX(C254:H254),"")</f>
        <v/>
      </c>
      <c r="J254" s="7">
        <f>IFERROR(MATCH(I254,C254:H254,0),"")</f>
        <v/>
      </c>
      <c r="K254" s="7" t="n">
        <v>25</v>
      </c>
      <c r="L254" s="7">
        <f>IFERROR(I254*(1-(K254/100)),"")</f>
        <v/>
      </c>
      <c r="M254" s="7">
        <f>IFERROR(LOOKUP(9.99E+307,C254:H254),"")</f>
        <v/>
      </c>
      <c r="N254" s="7">
        <f>IFERROR(IF(M254="","",IF(M254&lt;=N254,"停组🛑","继续✓")),"")</f>
        <v/>
      </c>
      <c r="O254" s="7">
        <f>IFERROR(IF(M254="","",IF(M254&lt;0.15,"SAFETY_STOP","")),"")</f>
        <v/>
      </c>
      <c r="P254" s="7">
        <f>IFERROR(IF(M254="","",IF(M254&lt;0.15,"SAFETY_STOP",IF(M254&lt;=N254,"VL_THRESHOLD",""))),"")</f>
        <v/>
      </c>
      <c r="Q254" s="7">
        <f>IFERROR(IF(I254="","",IF(I254&gt;(0.475+0.05),"+5kg",IF(I254&gt;(0.475+0.02),"+2.5kg",IF(I254&gt;=(0.475-0.05),"保持",IF(I254&gt;=(0.475-0.08),"-2.5kg","-5kg"))))),"")</f>
        <v/>
      </c>
      <c r="R254" s="9" t="n"/>
    </row>
    <row r="255">
      <c r="A255" s="13" t="inlineStr">
        <is>
          <t>辅助</t>
        </is>
      </c>
      <c r="D255" s="14" t="inlineStr">
        <is>
          <t>RDL</t>
        </is>
      </c>
      <c r="E255" s="14" t="inlineStr">
        <is>
          <t>负荷</t>
        </is>
      </c>
      <c r="F255" s="14" t="inlineStr">
        <is>
          <t>完成</t>
        </is>
      </c>
      <c r="I255" t="inlineStr">
        <is>
          <t>VL</t>
        </is>
      </c>
    </row>
    <row r="256">
      <c r="A256" s="15" t="inlineStr">
        <is>
          <t>训练后</t>
        </is>
      </c>
      <c r="B256" s="15" t="inlineStr">
        <is>
          <t>开始</t>
        </is>
      </c>
      <c r="C256" s="15" t="inlineStr">
        <is>
          <t>结束</t>
        </is>
      </c>
      <c r="D256" s="15" t="inlineStr">
        <is>
          <t>时长min</t>
        </is>
      </c>
      <c r="E256" s="15" t="inlineStr">
        <is>
          <t>sRPE</t>
        </is>
      </c>
      <c r="F256" s="15" t="inlineStr">
        <is>
          <t>load</t>
        </is>
      </c>
      <c r="G256" s="15" t="inlineStr">
        <is>
          <t>不适?</t>
        </is>
      </c>
      <c r="H256" s="15" t="inlineStr">
        <is>
          <t>备注</t>
        </is>
      </c>
      <c r="I256" s="15" t="inlineStr">
        <is>
          <t>签名</t>
        </is>
      </c>
    </row>
    <row r="257">
      <c r="A257" s="7" t="n"/>
      <c r="B257" s="9" t="n"/>
      <c r="C257" s="9" t="n"/>
      <c r="D257" s="11">
        <f>IFERROR((C257-B257)*1440,"")</f>
        <v/>
      </c>
      <c r="E257" s="9" t="n"/>
      <c r="F257" s="11">
        <f>IFERROR(E257*D257,"")</f>
        <v/>
      </c>
      <c r="G257" s="9" t="n"/>
      <c r="H257" s="9" t="n"/>
      <c r="I257" s="9" t="n"/>
    </row>
    <row r="258">
      <c r="A258" s="16" t="inlineStr">
        <is>
          <t>跳跃</t>
        </is>
      </c>
      <c r="B258" s="16" t="inlineStr">
        <is>
          <t>类型</t>
        </is>
      </c>
      <c r="C258" s="16" t="inlineStr">
        <is>
          <t>组×次</t>
        </is>
      </c>
      <c r="D258" s="16" t="inlineStr">
        <is>
          <t>负荷kg</t>
        </is>
      </c>
      <c r="E258" s="16" t="inlineStr">
        <is>
          <t>接触</t>
        </is>
      </c>
    </row>
    <row r="259">
      <c r="B259" t="inlineStr">
        <is>
          <t>CMJ</t>
        </is>
      </c>
      <c r="C259" t="inlineStr">
        <is>
          <t>3×3</t>
        </is>
      </c>
      <c r="D259" t="n">
        <v>0</v>
      </c>
      <c r="E259" t="n">
        <v>9</v>
      </c>
    </row>
    <row r="260">
      <c r="B260" t="inlineStr">
        <is>
          <t>箱跳</t>
        </is>
      </c>
      <c r="C260" t="inlineStr">
        <is>
          <t>3×3</t>
        </is>
      </c>
      <c r="D260" t="n">
        <v>0</v>
      </c>
      <c r="E260" t="n">
        <v>9</v>
      </c>
    </row>
    <row r="261">
      <c r="A261" s="17" t="inlineStr">
        <is>
          <t>▶ 暴露量汇总</t>
        </is>
      </c>
      <c r="B261" s="17" t="inlineStr">
        <is>
          <t>说明</t>
        </is>
      </c>
      <c r="C261" s="17" t="inlineStr">
        <is>
          <t>公式/来源</t>
        </is>
      </c>
      <c r="D261" s="17" t="inlineStr">
        <is>
          <t>数值</t>
        </is>
      </c>
    </row>
    <row r="262">
      <c r="A262" s="18" t="inlineStr">
        <is>
          <t>① 无负荷跳跃接触</t>
        </is>
      </c>
      <c r="B262" s="18" t="inlineStr">
        <is>
          <t>CMJ+SJ+箱跳</t>
        </is>
      </c>
      <c r="C262" s="19">
        <f>IFERROR(E259+E260,2)</f>
        <v/>
      </c>
    </row>
    <row r="263">
      <c r="A263" s="18" t="inlineStr">
        <is>
          <t>② 负重跳跃接触</t>
        </is>
      </c>
      <c r="B263" s="18" t="inlineStr">
        <is>
          <t>负重深蹲跳</t>
        </is>
      </c>
      <c r="C263" s="19">
        <f>IFERROR(E259,"")</f>
        <v/>
      </c>
    </row>
    <row r="264">
      <c r="A264" s="18" t="inlineStr">
        <is>
          <t>③ 跳跃总计</t>
        </is>
      </c>
      <c r="B264" s="18" t="inlineStr">
        <is>
          <t>①+②</t>
        </is>
      </c>
      <c r="C264" s="19">
        <f>IFERROR(B262+B263,"")</f>
        <v/>
      </c>
    </row>
    <row r="265">
      <c r="A265" s="18" t="inlineStr">
        <is>
          <t>④ 热身VL</t>
        </is>
      </c>
      <c r="B265" s="18" t="inlineStr">
        <is>
          <t>20×5+50%×3(+70%×2)</t>
        </is>
      </c>
      <c r="C265" s="19">
        <f>IFERROR(20*5+ROUND(V245*0.5,0)*3+ROUND(V{dr}*0.7,0)*2,"-")</f>
        <v/>
      </c>
    </row>
    <row r="266">
      <c r="A266" s="20" t="inlineStr">
        <is>
          <t>⑤ 主项工作组VL ★</t>
        </is>
      </c>
      <c r="B266" s="20" t="inlineStr">
        <is>
          <t>Σ(负荷×次数)</t>
        </is>
      </c>
      <c r="C266" s="21">
        <f>SUMPRODUCT($B$249:$B$254,$R$249:$R$254)</f>
        <v/>
      </c>
    </row>
    <row r="267">
      <c r="A267" s="18" t="inlineStr">
        <is>
          <t>⑥ 主项总VL</t>
        </is>
      </c>
      <c r="B267" s="18" t="inlineStr">
        <is>
          <t>④+⑤</t>
        </is>
      </c>
      <c r="C267" s="19">
        <f>IFERROR(D262+D263,"")</f>
        <v/>
      </c>
    </row>
    <row r="268">
      <c r="A268" s="18" t="inlineStr">
        <is>
          <t>⑦ 辅助VL</t>
        </is>
      </c>
      <c r="B268" s="18" t="inlineStr">
        <is>
          <t>RDL/保加利亚</t>
        </is>
      </c>
      <c r="C268" s="19">
        <f>IFERROR(I255,"")</f>
        <v/>
      </c>
    </row>
    <row r="269">
      <c r="A269" s="18" t="inlineStr">
        <is>
          <t>⑧ 总外部负荷</t>
        </is>
      </c>
      <c r="B269" s="18" t="inlineStr">
        <is>
          <t>⑥+⑦(+负重跳)</t>
        </is>
      </c>
      <c r="C269" s="19">
        <f>IFERROR(F262+G262,"")</f>
        <v/>
      </c>
    </row>
    <row r="270">
      <c r="A270" s="18" t="inlineStr">
        <is>
          <t>⑨ sRPE load</t>
        </is>
      </c>
      <c r="B270" s="18" t="inlineStr">
        <is>
          <t>sRPE×时长</t>
        </is>
      </c>
      <c r="C270" s="19">
        <f>IFERROR(F257,"")</f>
        <v/>
      </c>
    </row>
    <row r="273">
      <c r="A273" s="5" t="inlineStr">
        <is>
          <t>P026 古翔宇  a=1.64 b=-0.00975 1RM=135</t>
        </is>
      </c>
    </row>
    <row r="274">
      <c r="A274" s="6" t="inlineStr">
        <is>
          <t>编号</t>
        </is>
      </c>
      <c r="B274" s="6" t="inlineStr">
        <is>
          <t>姓名</t>
        </is>
      </c>
      <c r="C274" s="6" t="inlineStr">
        <is>
          <t>身高</t>
        </is>
      </c>
      <c r="D274" s="6" t="inlineStr">
        <is>
          <t>1RM</t>
        </is>
      </c>
      <c r="E274" s="6" t="inlineStr">
        <is>
          <t>Hooper睡</t>
        </is>
      </c>
      <c r="F274" s="6" t="inlineStr">
        <is>
          <t>Hooper压</t>
        </is>
      </c>
      <c r="G274" s="6" t="inlineStr">
        <is>
          <t>Hooper疲</t>
        </is>
      </c>
      <c r="H274" s="6" t="inlineStr">
        <is>
          <t>Hooper酸</t>
        </is>
      </c>
      <c r="I274" s="6" t="inlineStr">
        <is>
          <t>H总</t>
        </is>
      </c>
      <c r="J274" s="6" t="inlineStr">
        <is>
          <t>不适?</t>
        </is>
      </c>
      <c r="K274" s="6" t="inlineStr">
        <is>
          <t>说明</t>
        </is>
      </c>
      <c r="L274" s="6" t="inlineStr">
        <is>
          <t>CMJ1</t>
        </is>
      </c>
      <c r="M274" s="6" t="inlineStr">
        <is>
          <t>CMJ2</t>
        </is>
      </c>
      <c r="N274" s="6" t="inlineStr">
        <is>
          <t>CMJ3</t>
        </is>
      </c>
      <c r="O274" s="6" t="inlineStr">
        <is>
          <t>CMJμ</t>
        </is>
      </c>
      <c r="P274" s="6" t="inlineStr">
        <is>
          <t>&lt;95%</t>
        </is>
      </c>
      <c r="Q274" s="6" t="inlineStr">
        <is>
          <t>减组</t>
        </is>
      </c>
      <c r="R274" s="6" t="inlineStr">
        <is>
          <t>组数</t>
        </is>
      </c>
      <c r="S274" s="6" t="inlineStr">
        <is>
          <t>a(V0)</t>
        </is>
      </c>
      <c r="T274" s="6" t="inlineStr">
        <is>
          <t>b</t>
        </is>
      </c>
      <c r="U274" s="6" t="inlineStr">
        <is>
          <t>等级</t>
        </is>
      </c>
      <c r="V274" s="6" t="inlineStr">
        <is>
          <t>预测起始</t>
        </is>
      </c>
    </row>
    <row r="275">
      <c r="A275" s="7" t="inlineStr">
        <is>
          <t>P026</t>
        </is>
      </c>
      <c r="B275" s="7" t="inlineStr">
        <is>
          <t>古翔宇</t>
        </is>
      </c>
      <c r="C275" s="7" t="n">
        <v>180</v>
      </c>
      <c r="D275" s="8" t="n">
        <v>135</v>
      </c>
      <c r="E275" s="9" t="n"/>
      <c r="F275" s="9" t="n"/>
      <c r="G275" s="9" t="n"/>
      <c r="H275" s="9" t="n"/>
      <c r="I275" s="7">
        <f>IFERROR(SUM(E275:H275),"")</f>
        <v/>
      </c>
      <c r="J275" s="9" t="n"/>
      <c r="K275" s="9" t="n"/>
      <c r="L275" s="9" t="n"/>
      <c r="M275" s="9" t="n"/>
      <c r="N275" s="9" t="n"/>
      <c r="O275" s="7">
        <f>IFERROR(AVERAGE(L275:N275),"")</f>
        <v/>
      </c>
      <c r="P275" s="7">
        <f>IF(O275="","",IF(O275&lt;45.51,"是⚠","否"))</f>
        <v/>
      </c>
      <c r="Q275" s="7">
        <f>IF(O275="","",IF(O275&lt;45.51,5-1,5))</f>
        <v/>
      </c>
      <c r="R275" s="7" t="n"/>
      <c r="S275" s="8" t="n">
        <v>1.64</v>
      </c>
      <c r="T275" s="8" t="n">
        <v>-0.00975</v>
      </c>
      <c r="U275" s="7" t="inlineStr">
        <is>
          <t>A</t>
        </is>
      </c>
      <c r="V275" s="8" t="n">
        <v>120</v>
      </c>
    </row>
    <row r="276">
      <c r="A276" s="10" t="inlineStr">
        <is>
          <t>热身校准</t>
        </is>
      </c>
      <c r="B276" s="10" t="inlineStr">
        <is>
          <t>a</t>
        </is>
      </c>
      <c r="C276" s="10" t="inlineStr">
        <is>
          <t>b</t>
        </is>
      </c>
      <c r="D276" s="10" t="inlineStr">
        <is>
          <t>50%热身</t>
        </is>
      </c>
      <c r="E276" s="10" t="inlineStr">
        <is>
          <t>70%热身</t>
        </is>
      </c>
      <c r="F276" s="10" t="inlineStr">
        <is>
          <t>热身负荷</t>
        </is>
      </c>
      <c r="G276" s="10" t="inlineStr">
        <is>
          <t>实测MCV</t>
        </is>
      </c>
      <c r="H276" s="10" t="inlineStr">
        <is>
          <t>预测MCV</t>
        </is>
      </c>
      <c r="I276" s="10" t="inlineStr">
        <is>
          <t>Δv</t>
        </is>
      </c>
      <c r="J276" s="10" t="inlineStr">
        <is>
          <t>调整量</t>
        </is>
      </c>
      <c r="K276" s="10" t="inlineStr">
        <is>
          <t>校准第1组</t>
        </is>
      </c>
    </row>
    <row r="277">
      <c r="A277" s="7" t="n"/>
      <c r="B277" s="11" t="n">
        <v>1.64</v>
      </c>
      <c r="C277" s="11" t="n">
        <v>-0.00975</v>
      </c>
      <c r="D277" s="11">
        <f>IFERROR(ROUND(V275*0.5/2.5,0)*2.5,"")</f>
        <v/>
      </c>
      <c r="E277" s="11">
        <f>IFERROR(ROUND(V275*0.7/2.5,0)*2.5,"")</f>
        <v/>
      </c>
      <c r="F277" s="11">
        <f>IFERROR(ROUND(V275*0.6/2.5,0)*2.5,"")</f>
        <v/>
      </c>
      <c r="G277" s="9" t="n"/>
      <c r="H277" s="11">
        <f>IFERROR(B277+C277*F277,"")</f>
        <v/>
      </c>
      <c r="I277" s="11">
        <f>IFERROR(G277-H277,"")</f>
        <v/>
      </c>
      <c r="J277" s="11">
        <f>IFERROR(IF(I277&gt;0.08,5,IF(I277&gt;0.04,2.5,IF(I277&gt;=-0.04,0,IF(I277&gt;=-0.08,-2.5,-5)))),"")</f>
        <v/>
      </c>
      <c r="K277" s="11">
        <f>IFERROR(ROUND(V275+J277,0),"")</f>
        <v/>
      </c>
    </row>
    <row r="278">
      <c r="A278" s="12" t="inlineStr">
        <is>
          <t>组</t>
        </is>
      </c>
      <c r="B278" s="12" t="inlineStr">
        <is>
          <t>负荷</t>
        </is>
      </c>
      <c r="C278" s="12" t="inlineStr">
        <is>
          <t>rep1</t>
        </is>
      </c>
      <c r="D278" s="12" t="inlineStr">
        <is>
          <t>rep2</t>
        </is>
      </c>
      <c r="E278" s="12" t="inlineStr">
        <is>
          <t>rep3</t>
        </is>
      </c>
      <c r="F278" s="12" t="inlineStr">
        <is>
          <t>rep4</t>
        </is>
      </c>
      <c r="G278" s="12" t="inlineStr">
        <is>
          <t>rep5</t>
        </is>
      </c>
      <c r="H278" s="12" t="inlineStr">
        <is>
          <t>rep6</t>
        </is>
      </c>
      <c r="I278" s="12" t="inlineStr">
        <is>
          <t>best</t>
        </is>
      </c>
      <c r="J278" s="12" t="inlineStr">
        <is>
          <t>best#</t>
        </is>
      </c>
      <c r="K278" s="12" t="inlineStr">
        <is>
          <t>VL%</t>
        </is>
      </c>
      <c r="L278" s="12" t="inlineStr">
        <is>
          <t>stop_th</t>
        </is>
      </c>
      <c r="M278" s="12" t="inlineStr">
        <is>
          <t>latest</t>
        </is>
      </c>
      <c r="N278" s="12" t="inlineStr">
        <is>
          <t>VL_flag</t>
        </is>
      </c>
      <c r="O278" s="12" t="inlineStr">
        <is>
          <t>safety</t>
        </is>
      </c>
      <c r="P278" s="12" t="inlineStr">
        <is>
          <t>原因</t>
        </is>
      </c>
      <c r="Q278" s="12" t="inlineStr">
        <is>
          <t>建议</t>
        </is>
      </c>
      <c r="R278" s="12" t="inlineStr">
        <is>
          <t>次数</t>
        </is>
      </c>
    </row>
    <row r="279">
      <c r="A279" s="7" t="n">
        <v>1</v>
      </c>
      <c r="B279" s="9">
        <f>IFERROR(K277,"")</f>
        <v/>
      </c>
      <c r="C279" s="9" t="n"/>
      <c r="D279" s="9" t="n"/>
      <c r="E279" s="9" t="n"/>
      <c r="F279" s="9" t="n"/>
      <c r="G279" s="9" t="n"/>
      <c r="H279" s="9" t="n"/>
      <c r="I279" s="7">
        <f>IFERROR(MAX(C279:H279),"")</f>
        <v/>
      </c>
      <c r="J279" s="7">
        <f>IFERROR(MATCH(I279,C279:H279,0),"")</f>
        <v/>
      </c>
      <c r="K279" s="7" t="n">
        <v>25</v>
      </c>
      <c r="L279" s="7">
        <f>IFERROR(I279*(1-(K279/100)),"")</f>
        <v/>
      </c>
      <c r="M279" s="7">
        <f>IFERROR(LOOKUP(9.99E+307,C279:H279),"")</f>
        <v/>
      </c>
      <c r="N279" s="7">
        <f>IFERROR(IF(M279="","",IF(M279&lt;=N279,"停组🛑","继续✓")),"")</f>
        <v/>
      </c>
      <c r="O279" s="7">
        <f>IFERROR(IF(M279="","",IF(M279&lt;0.15,"SAFETY_STOP","")),"")</f>
        <v/>
      </c>
      <c r="P279" s="7">
        <f>IFERROR(IF(M279="","",IF(M279&lt;0.15,"SAFETY_STOP",IF(M279&lt;=N279,"VL_THRESHOLD",""))),"")</f>
        <v/>
      </c>
      <c r="Q279" s="7">
        <f>IFERROR(IF(I279="","",IF(I279&gt;(0.475+0.05),"+5kg",IF(I279&gt;(0.475+0.02),"+2.5kg",IF(I279&gt;=(0.475-0.05),"保持",IF(I279&gt;=(0.475-0.08),"-2.5kg","-5kg"))))),"")</f>
        <v/>
      </c>
      <c r="R279" s="9" t="n"/>
    </row>
    <row r="280">
      <c r="A280" s="7" t="n">
        <v>2</v>
      </c>
      <c r="B280" s="9" t="n"/>
      <c r="C280" s="9" t="n"/>
      <c r="D280" s="9" t="n"/>
      <c r="E280" s="9" t="n"/>
      <c r="F280" s="9" t="n"/>
      <c r="G280" s="9" t="n"/>
      <c r="H280" s="9" t="n"/>
      <c r="I280" s="7">
        <f>IFERROR(MAX(C280:H280),"")</f>
        <v/>
      </c>
      <c r="J280" s="7">
        <f>IFERROR(MATCH(I280,C280:H280,0),"")</f>
        <v/>
      </c>
      <c r="K280" s="7" t="n">
        <v>25</v>
      </c>
      <c r="L280" s="7">
        <f>IFERROR(I280*(1-(K280/100)),"")</f>
        <v/>
      </c>
      <c r="M280" s="7">
        <f>IFERROR(LOOKUP(9.99E+307,C280:H280),"")</f>
        <v/>
      </c>
      <c r="N280" s="7">
        <f>IFERROR(IF(M280="","",IF(M280&lt;=N280,"停组🛑","继续✓")),"")</f>
        <v/>
      </c>
      <c r="O280" s="7">
        <f>IFERROR(IF(M280="","",IF(M280&lt;0.15,"SAFETY_STOP","")),"")</f>
        <v/>
      </c>
      <c r="P280" s="7">
        <f>IFERROR(IF(M280="","",IF(M280&lt;0.15,"SAFETY_STOP",IF(M280&lt;=N280,"VL_THRESHOLD",""))),"")</f>
        <v/>
      </c>
      <c r="Q280" s="7">
        <f>IFERROR(IF(I280="","",IF(I280&gt;(0.475+0.05),"+5kg",IF(I280&gt;(0.475+0.02),"+2.5kg",IF(I280&gt;=(0.475-0.05),"保持",IF(I280&gt;=(0.475-0.08),"-2.5kg","-5kg"))))),"")</f>
        <v/>
      </c>
      <c r="R280" s="9" t="n"/>
    </row>
    <row r="281">
      <c r="A281" s="7" t="n">
        <v>3</v>
      </c>
      <c r="B281" s="9" t="n"/>
      <c r="C281" s="9" t="n"/>
      <c r="D281" s="9" t="n"/>
      <c r="E281" s="9" t="n"/>
      <c r="F281" s="9" t="n"/>
      <c r="G281" s="9" t="n"/>
      <c r="H281" s="9" t="n"/>
      <c r="I281" s="7">
        <f>IFERROR(MAX(C281:H281),"")</f>
        <v/>
      </c>
      <c r="J281" s="7">
        <f>IFERROR(MATCH(I281,C281:H281,0),"")</f>
        <v/>
      </c>
      <c r="K281" s="7" t="n">
        <v>25</v>
      </c>
      <c r="L281" s="7">
        <f>IFERROR(I281*(1-(K281/100)),"")</f>
        <v/>
      </c>
      <c r="M281" s="7">
        <f>IFERROR(LOOKUP(9.99E+307,C281:H281),"")</f>
        <v/>
      </c>
      <c r="N281" s="7">
        <f>IFERROR(IF(M281="","",IF(M281&lt;=N281,"停组🛑","继续✓")),"")</f>
        <v/>
      </c>
      <c r="O281" s="7">
        <f>IFERROR(IF(M281="","",IF(M281&lt;0.15,"SAFETY_STOP","")),"")</f>
        <v/>
      </c>
      <c r="P281" s="7">
        <f>IFERROR(IF(M281="","",IF(M281&lt;0.15,"SAFETY_STOP",IF(M281&lt;=N281,"VL_THRESHOLD",""))),"")</f>
        <v/>
      </c>
      <c r="Q281" s="7">
        <f>IFERROR(IF(I281="","",IF(I281&gt;(0.475+0.05),"+5kg",IF(I281&gt;(0.475+0.02),"+2.5kg",IF(I281&gt;=(0.475-0.05),"保持",IF(I281&gt;=(0.475-0.08),"-2.5kg","-5kg"))))),"")</f>
        <v/>
      </c>
      <c r="R281" s="9" t="n"/>
    </row>
    <row r="282">
      <c r="A282" s="7" t="n">
        <v>4</v>
      </c>
      <c r="B282" s="9" t="n"/>
      <c r="C282" s="9" t="n"/>
      <c r="D282" s="9" t="n"/>
      <c r="E282" s="9" t="n"/>
      <c r="F282" s="9" t="n"/>
      <c r="G282" s="9" t="n"/>
      <c r="H282" s="9" t="n"/>
      <c r="I282" s="7">
        <f>IFERROR(MAX(C282:H282),"")</f>
        <v/>
      </c>
      <c r="J282" s="7">
        <f>IFERROR(MATCH(I282,C282:H282,0),"")</f>
        <v/>
      </c>
      <c r="K282" s="7" t="n">
        <v>25</v>
      </c>
      <c r="L282" s="7">
        <f>IFERROR(I282*(1-(K282/100)),"")</f>
        <v/>
      </c>
      <c r="M282" s="7">
        <f>IFERROR(LOOKUP(9.99E+307,C282:H282),"")</f>
        <v/>
      </c>
      <c r="N282" s="7">
        <f>IFERROR(IF(M282="","",IF(M282&lt;=N282,"停组🛑","继续✓")),"")</f>
        <v/>
      </c>
      <c r="O282" s="7">
        <f>IFERROR(IF(M282="","",IF(M282&lt;0.15,"SAFETY_STOP","")),"")</f>
        <v/>
      </c>
      <c r="P282" s="7">
        <f>IFERROR(IF(M282="","",IF(M282&lt;0.15,"SAFETY_STOP",IF(M282&lt;=N282,"VL_THRESHOLD",""))),"")</f>
        <v/>
      </c>
      <c r="Q282" s="7">
        <f>IFERROR(IF(I282="","",IF(I282&gt;(0.475+0.05),"+5kg",IF(I282&gt;(0.475+0.02),"+2.5kg",IF(I282&gt;=(0.475-0.05),"保持",IF(I282&gt;=(0.475-0.08),"-2.5kg","-5kg"))))),"")</f>
        <v/>
      </c>
      <c r="R282" s="9" t="n"/>
    </row>
    <row r="283">
      <c r="A283" s="7" t="n">
        <v>5</v>
      </c>
      <c r="B283" s="9" t="n"/>
      <c r="C283" s="9" t="n"/>
      <c r="D283" s="9" t="n"/>
      <c r="E283" s="9" t="n"/>
      <c r="F283" s="9" t="n"/>
      <c r="G283" s="9" t="n"/>
      <c r="H283" s="9" t="n"/>
      <c r="I283" s="7">
        <f>IFERROR(MAX(C283:H283),"")</f>
        <v/>
      </c>
      <c r="J283" s="7">
        <f>IFERROR(MATCH(I283,C283:H283,0),"")</f>
        <v/>
      </c>
      <c r="K283" s="7" t="n">
        <v>25</v>
      </c>
      <c r="L283" s="7">
        <f>IFERROR(I283*(1-(K283/100)),"")</f>
        <v/>
      </c>
      <c r="M283" s="7">
        <f>IFERROR(LOOKUP(9.99E+307,C283:H283),"")</f>
        <v/>
      </c>
      <c r="N283" s="7">
        <f>IFERROR(IF(M283="","",IF(M283&lt;=N283,"停组🛑","继续✓")),"")</f>
        <v/>
      </c>
      <c r="O283" s="7">
        <f>IFERROR(IF(M283="","",IF(M283&lt;0.15,"SAFETY_STOP","")),"")</f>
        <v/>
      </c>
      <c r="P283" s="7">
        <f>IFERROR(IF(M283="","",IF(M283&lt;0.15,"SAFETY_STOP",IF(M283&lt;=N283,"VL_THRESHOLD",""))),"")</f>
        <v/>
      </c>
      <c r="Q283" s="7">
        <f>IFERROR(IF(I283="","",IF(I283&gt;(0.475+0.05),"+5kg",IF(I283&gt;(0.475+0.02),"+2.5kg",IF(I283&gt;=(0.475-0.05),"保持",IF(I283&gt;=(0.475-0.08),"-2.5kg","-5kg"))))),"")</f>
        <v/>
      </c>
      <c r="R283" s="9" t="n"/>
    </row>
    <row r="284">
      <c r="A284" s="7" t="n">
        <v>6</v>
      </c>
      <c r="B284" s="9" t="n"/>
      <c r="C284" s="9" t="n"/>
      <c r="D284" s="9" t="n"/>
      <c r="E284" s="9" t="n"/>
      <c r="F284" s="9" t="n"/>
      <c r="G284" s="9" t="n"/>
      <c r="H284" s="9" t="n"/>
      <c r="I284" s="7">
        <f>IFERROR(MAX(C284:H284),"")</f>
        <v/>
      </c>
      <c r="J284" s="7">
        <f>IFERROR(MATCH(I284,C284:H284,0),"")</f>
        <v/>
      </c>
      <c r="K284" s="7" t="n">
        <v>25</v>
      </c>
      <c r="L284" s="7">
        <f>IFERROR(I284*(1-(K284/100)),"")</f>
        <v/>
      </c>
      <c r="M284" s="7">
        <f>IFERROR(LOOKUP(9.99E+307,C284:H284),"")</f>
        <v/>
      </c>
      <c r="N284" s="7">
        <f>IFERROR(IF(M284="","",IF(M284&lt;=N284,"停组🛑","继续✓")),"")</f>
        <v/>
      </c>
      <c r="O284" s="7">
        <f>IFERROR(IF(M284="","",IF(M284&lt;0.15,"SAFETY_STOP","")),"")</f>
        <v/>
      </c>
      <c r="P284" s="7">
        <f>IFERROR(IF(M284="","",IF(M284&lt;0.15,"SAFETY_STOP",IF(M284&lt;=N284,"VL_THRESHOLD",""))),"")</f>
        <v/>
      </c>
      <c r="Q284" s="7">
        <f>IFERROR(IF(I284="","",IF(I284&gt;(0.475+0.05),"+5kg",IF(I284&gt;(0.475+0.02),"+2.5kg",IF(I284&gt;=(0.475-0.05),"保持",IF(I284&gt;=(0.475-0.08),"-2.5kg","-5kg"))))),"")</f>
        <v/>
      </c>
      <c r="R284" s="9" t="n"/>
    </row>
    <row r="285">
      <c r="A285" s="13" t="inlineStr">
        <is>
          <t>辅助</t>
        </is>
      </c>
      <c r="D285" s="14" t="inlineStr">
        <is>
          <t>RDL</t>
        </is>
      </c>
      <c r="E285" s="14" t="inlineStr">
        <is>
          <t>负荷</t>
        </is>
      </c>
      <c r="F285" s="14" t="inlineStr">
        <is>
          <t>完成</t>
        </is>
      </c>
      <c r="I285" t="inlineStr">
        <is>
          <t>VL</t>
        </is>
      </c>
    </row>
    <row r="286">
      <c r="A286" s="15" t="inlineStr">
        <is>
          <t>训练后</t>
        </is>
      </c>
      <c r="B286" s="15" t="inlineStr">
        <is>
          <t>开始</t>
        </is>
      </c>
      <c r="C286" s="15" t="inlineStr">
        <is>
          <t>结束</t>
        </is>
      </c>
      <c r="D286" s="15" t="inlineStr">
        <is>
          <t>时长min</t>
        </is>
      </c>
      <c r="E286" s="15" t="inlineStr">
        <is>
          <t>sRPE</t>
        </is>
      </c>
      <c r="F286" s="15" t="inlineStr">
        <is>
          <t>load</t>
        </is>
      </c>
      <c r="G286" s="15" t="inlineStr">
        <is>
          <t>不适?</t>
        </is>
      </c>
      <c r="H286" s="15" t="inlineStr">
        <is>
          <t>备注</t>
        </is>
      </c>
      <c r="I286" s="15" t="inlineStr">
        <is>
          <t>签名</t>
        </is>
      </c>
    </row>
    <row r="287">
      <c r="A287" s="7" t="n"/>
      <c r="B287" s="9" t="n"/>
      <c r="C287" s="9" t="n"/>
      <c r="D287" s="11">
        <f>IFERROR((C287-B287)*1440,"")</f>
        <v/>
      </c>
      <c r="E287" s="9" t="n"/>
      <c r="F287" s="11">
        <f>IFERROR(E287*D287,"")</f>
        <v/>
      </c>
      <c r="G287" s="9" t="n"/>
      <c r="H287" s="9" t="n"/>
      <c r="I287" s="9" t="n"/>
    </row>
    <row r="288">
      <c r="A288" s="16" t="inlineStr">
        <is>
          <t>跳跃</t>
        </is>
      </c>
      <c r="B288" s="16" t="inlineStr">
        <is>
          <t>类型</t>
        </is>
      </c>
      <c r="C288" s="16" t="inlineStr">
        <is>
          <t>组×次</t>
        </is>
      </c>
      <c r="D288" s="16" t="inlineStr">
        <is>
          <t>负荷kg</t>
        </is>
      </c>
      <c r="E288" s="16" t="inlineStr">
        <is>
          <t>接触</t>
        </is>
      </c>
    </row>
    <row r="289">
      <c r="B289" t="inlineStr">
        <is>
          <t>CMJ</t>
        </is>
      </c>
      <c r="C289" t="inlineStr">
        <is>
          <t>3×3</t>
        </is>
      </c>
      <c r="D289" t="n">
        <v>0</v>
      </c>
      <c r="E289" t="n">
        <v>9</v>
      </c>
    </row>
    <row r="290">
      <c r="B290" t="inlineStr">
        <is>
          <t>箱跳</t>
        </is>
      </c>
      <c r="C290" t="inlineStr">
        <is>
          <t>3×3</t>
        </is>
      </c>
      <c r="D290" t="n">
        <v>0</v>
      </c>
      <c r="E290" t="n">
        <v>9</v>
      </c>
    </row>
    <row r="291">
      <c r="A291" s="17" t="inlineStr">
        <is>
          <t>▶ 暴露量汇总</t>
        </is>
      </c>
      <c r="B291" s="17" t="inlineStr">
        <is>
          <t>说明</t>
        </is>
      </c>
      <c r="C291" s="17" t="inlineStr">
        <is>
          <t>公式/来源</t>
        </is>
      </c>
      <c r="D291" s="17" t="inlineStr">
        <is>
          <t>数值</t>
        </is>
      </c>
    </row>
    <row r="292">
      <c r="A292" s="18" t="inlineStr">
        <is>
          <t>① 无负荷跳跃接触</t>
        </is>
      </c>
      <c r="B292" s="18" t="inlineStr">
        <is>
          <t>CMJ+SJ+箱跳</t>
        </is>
      </c>
      <c r="C292" s="19">
        <f>IFERROR(E289+E290,2)</f>
        <v/>
      </c>
    </row>
    <row r="293">
      <c r="A293" s="18" t="inlineStr">
        <is>
          <t>② 负重跳跃接触</t>
        </is>
      </c>
      <c r="B293" s="18" t="inlineStr">
        <is>
          <t>负重深蹲跳</t>
        </is>
      </c>
      <c r="C293" s="19">
        <f>IFERROR(E289,"")</f>
        <v/>
      </c>
    </row>
    <row r="294">
      <c r="A294" s="18" t="inlineStr">
        <is>
          <t>③ 跳跃总计</t>
        </is>
      </c>
      <c r="B294" s="18" t="inlineStr">
        <is>
          <t>①+②</t>
        </is>
      </c>
      <c r="C294" s="19">
        <f>IFERROR(B292+B293,"")</f>
        <v/>
      </c>
    </row>
    <row r="295">
      <c r="A295" s="18" t="inlineStr">
        <is>
          <t>④ 热身VL</t>
        </is>
      </c>
      <c r="B295" s="18" t="inlineStr">
        <is>
          <t>20×5+50%×3(+70%×2)</t>
        </is>
      </c>
      <c r="C295" s="19">
        <f>IFERROR(20*5+ROUND(V275*0.5,0)*3+ROUND(V{dr}*0.7,0)*2,"-")</f>
        <v/>
      </c>
    </row>
    <row r="296">
      <c r="A296" s="20" t="inlineStr">
        <is>
          <t>⑤ 主项工作组VL ★</t>
        </is>
      </c>
      <c r="B296" s="20" t="inlineStr">
        <is>
          <t>Σ(负荷×次数)</t>
        </is>
      </c>
      <c r="C296" s="21">
        <f>SUMPRODUCT($B$279:$B$284,$R$279:$R$284)</f>
        <v/>
      </c>
    </row>
    <row r="297">
      <c r="A297" s="18" t="inlineStr">
        <is>
          <t>⑥ 主项总VL</t>
        </is>
      </c>
      <c r="B297" s="18" t="inlineStr">
        <is>
          <t>④+⑤</t>
        </is>
      </c>
      <c r="C297" s="19">
        <f>IFERROR(D292+D293,"")</f>
        <v/>
      </c>
    </row>
    <row r="298">
      <c r="A298" s="18" t="inlineStr">
        <is>
          <t>⑦ 辅助VL</t>
        </is>
      </c>
      <c r="B298" s="18" t="inlineStr">
        <is>
          <t>RDL/保加利亚</t>
        </is>
      </c>
      <c r="C298" s="19">
        <f>IFERROR(I285,"")</f>
        <v/>
      </c>
    </row>
    <row r="299">
      <c r="A299" s="18" t="inlineStr">
        <is>
          <t>⑧ 总外部负荷</t>
        </is>
      </c>
      <c r="B299" s="18" t="inlineStr">
        <is>
          <t>⑥+⑦(+负重跳)</t>
        </is>
      </c>
      <c r="C299" s="19">
        <f>IFERROR(F292+G292,"")</f>
        <v/>
      </c>
    </row>
    <row r="300">
      <c r="A300" s="18" t="inlineStr">
        <is>
          <t>⑨ sRPE load</t>
        </is>
      </c>
      <c r="B300" s="18" t="inlineStr">
        <is>
          <t>sRPE×时长</t>
        </is>
      </c>
      <c r="C300" s="19">
        <f>IFERROR(F287,"")</f>
        <v/>
      </c>
    </row>
    <row r="303">
      <c r="A303" s="5" t="inlineStr">
        <is>
          <t>P010 张锦荣  a=1.26 b=-0.006 1RM=120</t>
        </is>
      </c>
    </row>
    <row r="304">
      <c r="A304" s="6" t="inlineStr">
        <is>
          <t>编号</t>
        </is>
      </c>
      <c r="B304" s="6" t="inlineStr">
        <is>
          <t>姓名</t>
        </is>
      </c>
      <c r="C304" s="6" t="inlineStr">
        <is>
          <t>身高</t>
        </is>
      </c>
      <c r="D304" s="6" t="inlineStr">
        <is>
          <t>1RM</t>
        </is>
      </c>
      <c r="E304" s="6" t="inlineStr">
        <is>
          <t>Hooper睡</t>
        </is>
      </c>
      <c r="F304" s="6" t="inlineStr">
        <is>
          <t>Hooper压</t>
        </is>
      </c>
      <c r="G304" s="6" t="inlineStr">
        <is>
          <t>Hooper疲</t>
        </is>
      </c>
      <c r="H304" s="6" t="inlineStr">
        <is>
          <t>Hooper酸</t>
        </is>
      </c>
      <c r="I304" s="6" t="inlineStr">
        <is>
          <t>H总</t>
        </is>
      </c>
      <c r="J304" s="6" t="inlineStr">
        <is>
          <t>不适?</t>
        </is>
      </c>
      <c r="K304" s="6" t="inlineStr">
        <is>
          <t>说明</t>
        </is>
      </c>
      <c r="L304" s="6" t="inlineStr">
        <is>
          <t>CMJ1</t>
        </is>
      </c>
      <c r="M304" s="6" t="inlineStr">
        <is>
          <t>CMJ2</t>
        </is>
      </c>
      <c r="N304" s="6" t="inlineStr">
        <is>
          <t>CMJ3</t>
        </is>
      </c>
      <c r="O304" s="6" t="inlineStr">
        <is>
          <t>CMJμ</t>
        </is>
      </c>
      <c r="P304" s="6" t="inlineStr">
        <is>
          <t>&lt;95%</t>
        </is>
      </c>
      <c r="Q304" s="6" t="inlineStr">
        <is>
          <t>减组</t>
        </is>
      </c>
      <c r="R304" s="6" t="inlineStr">
        <is>
          <t>组数</t>
        </is>
      </c>
      <c r="S304" s="6" t="inlineStr">
        <is>
          <t>a(V0)</t>
        </is>
      </c>
      <c r="T304" s="6" t="inlineStr">
        <is>
          <t>b</t>
        </is>
      </c>
      <c r="U304" s="6" t="inlineStr">
        <is>
          <t>等级</t>
        </is>
      </c>
      <c r="V304" s="6" t="inlineStr">
        <is>
          <t>预测起始</t>
        </is>
      </c>
    </row>
    <row r="305">
      <c r="A305" s="7" t="inlineStr">
        <is>
          <t>P010</t>
        </is>
      </c>
      <c r="B305" s="7" t="inlineStr">
        <is>
          <t>张锦荣</t>
        </is>
      </c>
      <c r="C305" s="7" t="n">
        <v>174</v>
      </c>
      <c r="D305" s="8" t="n">
        <v>120</v>
      </c>
      <c r="E305" s="9" t="n"/>
      <c r="F305" s="9" t="n"/>
      <c r="G305" s="9" t="n"/>
      <c r="H305" s="9" t="n"/>
      <c r="I305" s="7">
        <f>IFERROR(SUM(E305:H305),"")</f>
        <v/>
      </c>
      <c r="J305" s="9" t="n"/>
      <c r="K305" s="9" t="n"/>
      <c r="L305" s="9" t="n"/>
      <c r="M305" s="9" t="n"/>
      <c r="N305" s="9" t="n"/>
      <c r="O305" s="7">
        <f>IFERROR(AVERAGE(L305:N305),"")</f>
        <v/>
      </c>
      <c r="P305" s="7">
        <f>IF(O305="","",IF(O305&lt;50.42,"是⚠","否"))</f>
        <v/>
      </c>
      <c r="Q305" s="7">
        <f>IF(O305="","",IF(O305&lt;50.42,5-1,5))</f>
        <v/>
      </c>
      <c r="R305" s="7" t="n"/>
      <c r="S305" s="8" t="n">
        <v>1.26</v>
      </c>
      <c r="T305" s="8" t="n">
        <v>-0.006</v>
      </c>
      <c r="U305" s="7" t="inlineStr">
        <is>
          <t>B</t>
        </is>
      </c>
      <c r="V305" s="8" t="n">
        <v>130</v>
      </c>
    </row>
    <row r="306">
      <c r="A306" s="10" t="inlineStr">
        <is>
          <t>热身校准</t>
        </is>
      </c>
      <c r="B306" s="10" t="inlineStr">
        <is>
          <t>a</t>
        </is>
      </c>
      <c r="C306" s="10" t="inlineStr">
        <is>
          <t>b</t>
        </is>
      </c>
      <c r="D306" s="10" t="inlineStr">
        <is>
          <t>50%热身</t>
        </is>
      </c>
      <c r="E306" s="10" t="inlineStr">
        <is>
          <t>70%热身</t>
        </is>
      </c>
      <c r="F306" s="10" t="inlineStr">
        <is>
          <t>热身负荷</t>
        </is>
      </c>
      <c r="G306" s="10" t="inlineStr">
        <is>
          <t>实测MCV</t>
        </is>
      </c>
      <c r="H306" s="10" t="inlineStr">
        <is>
          <t>预测MCV</t>
        </is>
      </c>
      <c r="I306" s="10" t="inlineStr">
        <is>
          <t>Δv</t>
        </is>
      </c>
      <c r="J306" s="10" t="inlineStr">
        <is>
          <t>调整量</t>
        </is>
      </c>
      <c r="K306" s="10" t="inlineStr">
        <is>
          <t>校准第1组</t>
        </is>
      </c>
    </row>
    <row r="307">
      <c r="A307" s="7" t="n"/>
      <c r="B307" s="11" t="n">
        <v>1.26</v>
      </c>
      <c r="C307" s="11" t="n">
        <v>-0.006</v>
      </c>
      <c r="D307" s="11">
        <f>IFERROR(ROUND(V305*0.5/2.5,0)*2.5,"")</f>
        <v/>
      </c>
      <c r="E307" s="11">
        <f>IFERROR(ROUND(V305*0.7/2.5,0)*2.5,"")</f>
        <v/>
      </c>
      <c r="F307" s="11">
        <f>IFERROR(ROUND(V305*0.6/2.5,0)*2.5,"")</f>
        <v/>
      </c>
      <c r="G307" s="9" t="n"/>
      <c r="H307" s="11">
        <f>IFERROR(B307+C307*F307,"")</f>
        <v/>
      </c>
      <c r="I307" s="11">
        <f>IFERROR(G307-H307,"")</f>
        <v/>
      </c>
      <c r="J307" s="11">
        <f>IFERROR(IF(I307&gt;0.08,5,IF(I307&gt;0.04,2.5,IF(I307&gt;=-0.04,0,IF(I307&gt;=-0.08,-2.5,-5)))),"")</f>
        <v/>
      </c>
      <c r="K307" s="11">
        <f>IFERROR(ROUND(V305+J307,0),"")</f>
        <v/>
      </c>
    </row>
    <row r="308">
      <c r="A308" s="12" t="inlineStr">
        <is>
          <t>组</t>
        </is>
      </c>
      <c r="B308" s="12" t="inlineStr">
        <is>
          <t>负荷</t>
        </is>
      </c>
      <c r="C308" s="12" t="inlineStr">
        <is>
          <t>rep1</t>
        </is>
      </c>
      <c r="D308" s="12" t="inlineStr">
        <is>
          <t>rep2</t>
        </is>
      </c>
      <c r="E308" s="12" t="inlineStr">
        <is>
          <t>rep3</t>
        </is>
      </c>
      <c r="F308" s="12" t="inlineStr">
        <is>
          <t>rep4</t>
        </is>
      </c>
      <c r="G308" s="12" t="inlineStr">
        <is>
          <t>rep5</t>
        </is>
      </c>
      <c r="H308" s="12" t="inlineStr">
        <is>
          <t>rep6</t>
        </is>
      </c>
      <c r="I308" s="12" t="inlineStr">
        <is>
          <t>best</t>
        </is>
      </c>
      <c r="J308" s="12" t="inlineStr">
        <is>
          <t>best#</t>
        </is>
      </c>
      <c r="K308" s="12" t="inlineStr">
        <is>
          <t>VL%</t>
        </is>
      </c>
      <c r="L308" s="12" t="inlineStr">
        <is>
          <t>stop_th</t>
        </is>
      </c>
      <c r="M308" s="12" t="inlineStr">
        <is>
          <t>latest</t>
        </is>
      </c>
      <c r="N308" s="12" t="inlineStr">
        <is>
          <t>VL_flag</t>
        </is>
      </c>
      <c r="O308" s="12" t="inlineStr">
        <is>
          <t>safety</t>
        </is>
      </c>
      <c r="P308" s="12" t="inlineStr">
        <is>
          <t>原因</t>
        </is>
      </c>
      <c r="Q308" s="12" t="inlineStr">
        <is>
          <t>建议</t>
        </is>
      </c>
      <c r="R308" s="12" t="inlineStr">
        <is>
          <t>次数</t>
        </is>
      </c>
    </row>
    <row r="309">
      <c r="A309" s="7" t="n">
        <v>1</v>
      </c>
      <c r="B309" s="9">
        <f>IFERROR(K307,"")</f>
        <v/>
      </c>
      <c r="C309" s="9" t="n"/>
      <c r="D309" s="9" t="n"/>
      <c r="E309" s="9" t="n"/>
      <c r="F309" s="9" t="n"/>
      <c r="G309" s="9" t="n"/>
      <c r="H309" s="9" t="n"/>
      <c r="I309" s="7">
        <f>IFERROR(MAX(C309:H309),"")</f>
        <v/>
      </c>
      <c r="J309" s="7">
        <f>IFERROR(MATCH(I309,C309:H309,0),"")</f>
        <v/>
      </c>
      <c r="K309" s="7" t="n">
        <v>25</v>
      </c>
      <c r="L309" s="7">
        <f>IFERROR(I309*(1-(K309/100)),"")</f>
        <v/>
      </c>
      <c r="M309" s="7">
        <f>IFERROR(LOOKUP(9.99E+307,C309:H309),"")</f>
        <v/>
      </c>
      <c r="N309" s="7">
        <f>IFERROR(IF(M309="","",IF(M309&lt;=N309,"停组🛑","继续✓")),"")</f>
        <v/>
      </c>
      <c r="O309" s="7">
        <f>IFERROR(IF(M309="","",IF(M309&lt;0.15,"SAFETY_STOP","")),"")</f>
        <v/>
      </c>
      <c r="P309" s="7">
        <f>IFERROR(IF(M309="","",IF(M309&lt;0.15,"SAFETY_STOP",IF(M309&lt;=N309,"VL_THRESHOLD",""))),"")</f>
        <v/>
      </c>
      <c r="Q309" s="7">
        <f>IFERROR(IF(I309="","",IF(I309&gt;(0.475+0.05),"+5kg",IF(I309&gt;(0.475+0.02),"+2.5kg",IF(I309&gt;=(0.475-0.05),"保持",IF(I309&gt;=(0.475-0.08),"-2.5kg","-5kg"))))),"")</f>
        <v/>
      </c>
      <c r="R309" s="9" t="n"/>
    </row>
    <row r="310">
      <c r="A310" s="7" t="n">
        <v>2</v>
      </c>
      <c r="B310" s="9" t="n"/>
      <c r="C310" s="9" t="n"/>
      <c r="D310" s="9" t="n"/>
      <c r="E310" s="9" t="n"/>
      <c r="F310" s="9" t="n"/>
      <c r="G310" s="9" t="n"/>
      <c r="H310" s="9" t="n"/>
      <c r="I310" s="7">
        <f>IFERROR(MAX(C310:H310),"")</f>
        <v/>
      </c>
      <c r="J310" s="7">
        <f>IFERROR(MATCH(I310,C310:H310,0),"")</f>
        <v/>
      </c>
      <c r="K310" s="7" t="n">
        <v>25</v>
      </c>
      <c r="L310" s="7">
        <f>IFERROR(I310*(1-(K310/100)),"")</f>
        <v/>
      </c>
      <c r="M310" s="7">
        <f>IFERROR(LOOKUP(9.99E+307,C310:H310),"")</f>
        <v/>
      </c>
      <c r="N310" s="7">
        <f>IFERROR(IF(M310="","",IF(M310&lt;=N310,"停组🛑","继续✓")),"")</f>
        <v/>
      </c>
      <c r="O310" s="7">
        <f>IFERROR(IF(M310="","",IF(M310&lt;0.15,"SAFETY_STOP","")),"")</f>
        <v/>
      </c>
      <c r="P310" s="7">
        <f>IFERROR(IF(M310="","",IF(M310&lt;0.15,"SAFETY_STOP",IF(M310&lt;=N310,"VL_THRESHOLD",""))),"")</f>
        <v/>
      </c>
      <c r="Q310" s="7">
        <f>IFERROR(IF(I310="","",IF(I310&gt;(0.475+0.05),"+5kg",IF(I310&gt;(0.475+0.02),"+2.5kg",IF(I310&gt;=(0.475-0.05),"保持",IF(I310&gt;=(0.475-0.08),"-2.5kg","-5kg"))))),"")</f>
        <v/>
      </c>
      <c r="R310" s="9" t="n"/>
    </row>
    <row r="311">
      <c r="A311" s="7" t="n">
        <v>3</v>
      </c>
      <c r="B311" s="9" t="n"/>
      <c r="C311" s="9" t="n"/>
      <c r="D311" s="9" t="n"/>
      <c r="E311" s="9" t="n"/>
      <c r="F311" s="9" t="n"/>
      <c r="G311" s="9" t="n"/>
      <c r="H311" s="9" t="n"/>
      <c r="I311" s="7">
        <f>IFERROR(MAX(C311:H311),"")</f>
        <v/>
      </c>
      <c r="J311" s="7">
        <f>IFERROR(MATCH(I311,C311:H311,0),"")</f>
        <v/>
      </c>
      <c r="K311" s="7" t="n">
        <v>25</v>
      </c>
      <c r="L311" s="7">
        <f>IFERROR(I311*(1-(K311/100)),"")</f>
        <v/>
      </c>
      <c r="M311" s="7">
        <f>IFERROR(LOOKUP(9.99E+307,C311:H311),"")</f>
        <v/>
      </c>
      <c r="N311" s="7">
        <f>IFERROR(IF(M311="","",IF(M311&lt;=N311,"停组🛑","继续✓")),"")</f>
        <v/>
      </c>
      <c r="O311" s="7">
        <f>IFERROR(IF(M311="","",IF(M311&lt;0.15,"SAFETY_STOP","")),"")</f>
        <v/>
      </c>
      <c r="P311" s="7">
        <f>IFERROR(IF(M311="","",IF(M311&lt;0.15,"SAFETY_STOP",IF(M311&lt;=N311,"VL_THRESHOLD",""))),"")</f>
        <v/>
      </c>
      <c r="Q311" s="7">
        <f>IFERROR(IF(I311="","",IF(I311&gt;(0.475+0.05),"+5kg",IF(I311&gt;(0.475+0.02),"+2.5kg",IF(I311&gt;=(0.475-0.05),"保持",IF(I311&gt;=(0.475-0.08),"-2.5kg","-5kg"))))),"")</f>
        <v/>
      </c>
      <c r="R311" s="9" t="n"/>
    </row>
    <row r="312">
      <c r="A312" s="7" t="n">
        <v>4</v>
      </c>
      <c r="B312" s="9" t="n"/>
      <c r="C312" s="9" t="n"/>
      <c r="D312" s="9" t="n"/>
      <c r="E312" s="9" t="n"/>
      <c r="F312" s="9" t="n"/>
      <c r="G312" s="9" t="n"/>
      <c r="H312" s="9" t="n"/>
      <c r="I312" s="7">
        <f>IFERROR(MAX(C312:H312),"")</f>
        <v/>
      </c>
      <c r="J312" s="7">
        <f>IFERROR(MATCH(I312,C312:H312,0),"")</f>
        <v/>
      </c>
      <c r="K312" s="7" t="n">
        <v>25</v>
      </c>
      <c r="L312" s="7">
        <f>IFERROR(I312*(1-(K312/100)),"")</f>
        <v/>
      </c>
      <c r="M312" s="7">
        <f>IFERROR(LOOKUP(9.99E+307,C312:H312),"")</f>
        <v/>
      </c>
      <c r="N312" s="7">
        <f>IFERROR(IF(M312="","",IF(M312&lt;=N312,"停组🛑","继续✓")),"")</f>
        <v/>
      </c>
      <c r="O312" s="7">
        <f>IFERROR(IF(M312="","",IF(M312&lt;0.15,"SAFETY_STOP","")),"")</f>
        <v/>
      </c>
      <c r="P312" s="7">
        <f>IFERROR(IF(M312="","",IF(M312&lt;0.15,"SAFETY_STOP",IF(M312&lt;=N312,"VL_THRESHOLD",""))),"")</f>
        <v/>
      </c>
      <c r="Q312" s="7">
        <f>IFERROR(IF(I312="","",IF(I312&gt;(0.475+0.05),"+5kg",IF(I312&gt;(0.475+0.02),"+2.5kg",IF(I312&gt;=(0.475-0.05),"保持",IF(I312&gt;=(0.475-0.08),"-2.5kg","-5kg"))))),"")</f>
        <v/>
      </c>
      <c r="R312" s="9" t="n"/>
    </row>
    <row r="313">
      <c r="A313" s="7" t="n">
        <v>5</v>
      </c>
      <c r="B313" s="9" t="n"/>
      <c r="C313" s="9" t="n"/>
      <c r="D313" s="9" t="n"/>
      <c r="E313" s="9" t="n"/>
      <c r="F313" s="9" t="n"/>
      <c r="G313" s="9" t="n"/>
      <c r="H313" s="9" t="n"/>
      <c r="I313" s="7">
        <f>IFERROR(MAX(C313:H313),"")</f>
        <v/>
      </c>
      <c r="J313" s="7">
        <f>IFERROR(MATCH(I313,C313:H313,0),"")</f>
        <v/>
      </c>
      <c r="K313" s="7" t="n">
        <v>25</v>
      </c>
      <c r="L313" s="7">
        <f>IFERROR(I313*(1-(K313/100)),"")</f>
        <v/>
      </c>
      <c r="M313" s="7">
        <f>IFERROR(LOOKUP(9.99E+307,C313:H313),"")</f>
        <v/>
      </c>
      <c r="N313" s="7">
        <f>IFERROR(IF(M313="","",IF(M313&lt;=N313,"停组🛑","继续✓")),"")</f>
        <v/>
      </c>
      <c r="O313" s="7">
        <f>IFERROR(IF(M313="","",IF(M313&lt;0.15,"SAFETY_STOP","")),"")</f>
        <v/>
      </c>
      <c r="P313" s="7">
        <f>IFERROR(IF(M313="","",IF(M313&lt;0.15,"SAFETY_STOP",IF(M313&lt;=N313,"VL_THRESHOLD",""))),"")</f>
        <v/>
      </c>
      <c r="Q313" s="7">
        <f>IFERROR(IF(I313="","",IF(I313&gt;(0.475+0.05),"+5kg",IF(I313&gt;(0.475+0.02),"+2.5kg",IF(I313&gt;=(0.475-0.05),"保持",IF(I313&gt;=(0.475-0.08),"-2.5kg","-5kg"))))),"")</f>
        <v/>
      </c>
      <c r="R313" s="9" t="n"/>
    </row>
    <row r="314">
      <c r="A314" s="7" t="n">
        <v>6</v>
      </c>
      <c r="B314" s="9" t="n"/>
      <c r="C314" s="9" t="n"/>
      <c r="D314" s="9" t="n"/>
      <c r="E314" s="9" t="n"/>
      <c r="F314" s="9" t="n"/>
      <c r="G314" s="9" t="n"/>
      <c r="H314" s="9" t="n"/>
      <c r="I314" s="7">
        <f>IFERROR(MAX(C314:H314),"")</f>
        <v/>
      </c>
      <c r="J314" s="7">
        <f>IFERROR(MATCH(I314,C314:H314,0),"")</f>
        <v/>
      </c>
      <c r="K314" s="7" t="n">
        <v>25</v>
      </c>
      <c r="L314" s="7">
        <f>IFERROR(I314*(1-(K314/100)),"")</f>
        <v/>
      </c>
      <c r="M314" s="7">
        <f>IFERROR(LOOKUP(9.99E+307,C314:H314),"")</f>
        <v/>
      </c>
      <c r="N314" s="7">
        <f>IFERROR(IF(M314="","",IF(M314&lt;=N314,"停组🛑","继续✓")),"")</f>
        <v/>
      </c>
      <c r="O314" s="7">
        <f>IFERROR(IF(M314="","",IF(M314&lt;0.15,"SAFETY_STOP","")),"")</f>
        <v/>
      </c>
      <c r="P314" s="7">
        <f>IFERROR(IF(M314="","",IF(M314&lt;0.15,"SAFETY_STOP",IF(M314&lt;=N314,"VL_THRESHOLD",""))),"")</f>
        <v/>
      </c>
      <c r="Q314" s="7">
        <f>IFERROR(IF(I314="","",IF(I314&gt;(0.475+0.05),"+5kg",IF(I314&gt;(0.475+0.02),"+2.5kg",IF(I314&gt;=(0.475-0.05),"保持",IF(I314&gt;=(0.475-0.08),"-2.5kg","-5kg"))))),"")</f>
        <v/>
      </c>
      <c r="R314" s="9" t="n"/>
    </row>
    <row r="315">
      <c r="A315" s="13" t="inlineStr">
        <is>
          <t>辅助</t>
        </is>
      </c>
      <c r="D315" s="14" t="inlineStr">
        <is>
          <t>RDL</t>
        </is>
      </c>
      <c r="E315" s="14" t="inlineStr">
        <is>
          <t>负荷</t>
        </is>
      </c>
      <c r="F315" s="14" t="inlineStr">
        <is>
          <t>完成</t>
        </is>
      </c>
      <c r="I315" t="inlineStr">
        <is>
          <t>VL</t>
        </is>
      </c>
    </row>
    <row r="316">
      <c r="A316" s="15" t="inlineStr">
        <is>
          <t>训练后</t>
        </is>
      </c>
      <c r="B316" s="15" t="inlineStr">
        <is>
          <t>开始</t>
        </is>
      </c>
      <c r="C316" s="15" t="inlineStr">
        <is>
          <t>结束</t>
        </is>
      </c>
      <c r="D316" s="15" t="inlineStr">
        <is>
          <t>时长min</t>
        </is>
      </c>
      <c r="E316" s="15" t="inlineStr">
        <is>
          <t>sRPE</t>
        </is>
      </c>
      <c r="F316" s="15" t="inlineStr">
        <is>
          <t>load</t>
        </is>
      </c>
      <c r="G316" s="15" t="inlineStr">
        <is>
          <t>不适?</t>
        </is>
      </c>
      <c r="H316" s="15" t="inlineStr">
        <is>
          <t>备注</t>
        </is>
      </c>
      <c r="I316" s="15" t="inlineStr">
        <is>
          <t>签名</t>
        </is>
      </c>
    </row>
    <row r="317">
      <c r="A317" s="7" t="n"/>
      <c r="B317" s="9" t="n"/>
      <c r="C317" s="9" t="n"/>
      <c r="D317" s="11">
        <f>IFERROR((C317-B317)*1440,"")</f>
        <v/>
      </c>
      <c r="E317" s="9" t="n"/>
      <c r="F317" s="11">
        <f>IFERROR(E317*D317,"")</f>
        <v/>
      </c>
      <c r="G317" s="9" t="n"/>
      <c r="H317" s="9" t="n"/>
      <c r="I317" s="9" t="n"/>
    </row>
    <row r="318">
      <c r="A318" s="16" t="inlineStr">
        <is>
          <t>跳跃</t>
        </is>
      </c>
      <c r="B318" s="16" t="inlineStr">
        <is>
          <t>类型</t>
        </is>
      </c>
      <c r="C318" s="16" t="inlineStr">
        <is>
          <t>组×次</t>
        </is>
      </c>
      <c r="D318" s="16" t="inlineStr">
        <is>
          <t>负荷kg</t>
        </is>
      </c>
      <c r="E318" s="16" t="inlineStr">
        <is>
          <t>接触</t>
        </is>
      </c>
    </row>
    <row r="319">
      <c r="B319" t="inlineStr">
        <is>
          <t>CMJ</t>
        </is>
      </c>
      <c r="C319" t="inlineStr">
        <is>
          <t>3×3</t>
        </is>
      </c>
      <c r="D319" t="n">
        <v>0</v>
      </c>
      <c r="E319" t="n">
        <v>9</v>
      </c>
    </row>
    <row r="320">
      <c r="B320" t="inlineStr">
        <is>
          <t>箱跳</t>
        </is>
      </c>
      <c r="C320" t="inlineStr">
        <is>
          <t>3×3</t>
        </is>
      </c>
      <c r="D320" t="n">
        <v>0</v>
      </c>
      <c r="E320" t="n">
        <v>9</v>
      </c>
    </row>
    <row r="321">
      <c r="A321" s="17" t="inlineStr">
        <is>
          <t>▶ 暴露量汇总</t>
        </is>
      </c>
      <c r="B321" s="17" t="inlineStr">
        <is>
          <t>说明</t>
        </is>
      </c>
      <c r="C321" s="17" t="inlineStr">
        <is>
          <t>公式/来源</t>
        </is>
      </c>
      <c r="D321" s="17" t="inlineStr">
        <is>
          <t>数值</t>
        </is>
      </c>
    </row>
    <row r="322">
      <c r="A322" s="18" t="inlineStr">
        <is>
          <t>① 无负荷跳跃接触</t>
        </is>
      </c>
      <c r="B322" s="18" t="inlineStr">
        <is>
          <t>CMJ+SJ+箱跳</t>
        </is>
      </c>
      <c r="C322" s="19">
        <f>IFERROR(E319+E320,2)</f>
        <v/>
      </c>
    </row>
    <row r="323">
      <c r="A323" s="18" t="inlineStr">
        <is>
          <t>② 负重跳跃接触</t>
        </is>
      </c>
      <c r="B323" s="18" t="inlineStr">
        <is>
          <t>负重深蹲跳</t>
        </is>
      </c>
      <c r="C323" s="19">
        <f>IFERROR(E319,"")</f>
        <v/>
      </c>
    </row>
    <row r="324">
      <c r="A324" s="18" t="inlineStr">
        <is>
          <t>③ 跳跃总计</t>
        </is>
      </c>
      <c r="B324" s="18" t="inlineStr">
        <is>
          <t>①+②</t>
        </is>
      </c>
      <c r="C324" s="19">
        <f>IFERROR(B322+B323,"")</f>
        <v/>
      </c>
    </row>
    <row r="325">
      <c r="A325" s="18" t="inlineStr">
        <is>
          <t>④ 热身VL</t>
        </is>
      </c>
      <c r="B325" s="18" t="inlineStr">
        <is>
          <t>20×5+50%×3(+70%×2)</t>
        </is>
      </c>
      <c r="C325" s="19">
        <f>IFERROR(20*5+ROUND(V305*0.5,0)*3+ROUND(V{dr}*0.7,0)*2,"-")</f>
        <v/>
      </c>
    </row>
    <row r="326">
      <c r="A326" s="20" t="inlineStr">
        <is>
          <t>⑤ 主项工作组VL ★</t>
        </is>
      </c>
      <c r="B326" s="20" t="inlineStr">
        <is>
          <t>Σ(负荷×次数)</t>
        </is>
      </c>
      <c r="C326" s="21">
        <f>SUMPRODUCT($B$309:$B$314,$R$309:$R$314)</f>
        <v/>
      </c>
    </row>
    <row r="327">
      <c r="A327" s="18" t="inlineStr">
        <is>
          <t>⑥ 主项总VL</t>
        </is>
      </c>
      <c r="B327" s="18" t="inlineStr">
        <is>
          <t>④+⑤</t>
        </is>
      </c>
      <c r="C327" s="19">
        <f>IFERROR(D322+D323,"")</f>
        <v/>
      </c>
    </row>
    <row r="328">
      <c r="A328" s="18" t="inlineStr">
        <is>
          <t>⑦ 辅助VL</t>
        </is>
      </c>
      <c r="B328" s="18" t="inlineStr">
        <is>
          <t>RDL/保加利亚</t>
        </is>
      </c>
      <c r="C328" s="19">
        <f>IFERROR(I315,"")</f>
        <v/>
      </c>
    </row>
    <row r="329">
      <c r="A329" s="18" t="inlineStr">
        <is>
          <t>⑧ 总外部负荷</t>
        </is>
      </c>
      <c r="B329" s="18" t="inlineStr">
        <is>
          <t>⑥+⑦(+负重跳)</t>
        </is>
      </c>
      <c r="C329" s="19">
        <f>IFERROR(F322+G322,"")</f>
        <v/>
      </c>
    </row>
    <row r="330">
      <c r="A330" s="18" t="inlineStr">
        <is>
          <t>⑨ sRPE load</t>
        </is>
      </c>
      <c r="B330" s="18" t="inlineStr">
        <is>
          <t>sRPE×时长</t>
        </is>
      </c>
      <c r="C330" s="19">
        <f>IFERROR(F317,"")</f>
        <v/>
      </c>
    </row>
    <row r="333">
      <c r="A333" s="5" t="inlineStr">
        <is>
          <t>P009 王宏池  a=1.567 b=-0.0085 1RM=135</t>
        </is>
      </c>
    </row>
    <row r="334">
      <c r="A334" s="6" t="inlineStr">
        <is>
          <t>编号</t>
        </is>
      </c>
      <c r="B334" s="6" t="inlineStr">
        <is>
          <t>姓名</t>
        </is>
      </c>
      <c r="C334" s="6" t="inlineStr">
        <is>
          <t>身高</t>
        </is>
      </c>
      <c r="D334" s="6" t="inlineStr">
        <is>
          <t>1RM</t>
        </is>
      </c>
      <c r="E334" s="6" t="inlineStr">
        <is>
          <t>Hooper睡</t>
        </is>
      </c>
      <c r="F334" s="6" t="inlineStr">
        <is>
          <t>Hooper压</t>
        </is>
      </c>
      <c r="G334" s="6" t="inlineStr">
        <is>
          <t>Hooper疲</t>
        </is>
      </c>
      <c r="H334" s="6" t="inlineStr">
        <is>
          <t>Hooper酸</t>
        </is>
      </c>
      <c r="I334" s="6" t="inlineStr">
        <is>
          <t>H总</t>
        </is>
      </c>
      <c r="J334" s="6" t="inlineStr">
        <is>
          <t>不适?</t>
        </is>
      </c>
      <c r="K334" s="6" t="inlineStr">
        <is>
          <t>说明</t>
        </is>
      </c>
      <c r="L334" s="6" t="inlineStr">
        <is>
          <t>CMJ1</t>
        </is>
      </c>
      <c r="M334" s="6" t="inlineStr">
        <is>
          <t>CMJ2</t>
        </is>
      </c>
      <c r="N334" s="6" t="inlineStr">
        <is>
          <t>CMJ3</t>
        </is>
      </c>
      <c r="O334" s="6" t="inlineStr">
        <is>
          <t>CMJμ</t>
        </is>
      </c>
      <c r="P334" s="6" t="inlineStr">
        <is>
          <t>&lt;95%</t>
        </is>
      </c>
      <c r="Q334" s="6" t="inlineStr">
        <is>
          <t>减组</t>
        </is>
      </c>
      <c r="R334" s="6" t="inlineStr">
        <is>
          <t>组数</t>
        </is>
      </c>
      <c r="S334" s="6" t="inlineStr">
        <is>
          <t>a(V0)</t>
        </is>
      </c>
      <c r="T334" s="6" t="inlineStr">
        <is>
          <t>b</t>
        </is>
      </c>
      <c r="U334" s="6" t="inlineStr">
        <is>
          <t>等级</t>
        </is>
      </c>
      <c r="V334" s="6" t="inlineStr">
        <is>
          <t>预测起始</t>
        </is>
      </c>
    </row>
    <row r="335">
      <c r="A335" s="7" t="inlineStr">
        <is>
          <t>P009</t>
        </is>
      </c>
      <c r="B335" s="7" t="inlineStr">
        <is>
          <t>王宏池</t>
        </is>
      </c>
      <c r="C335" s="7" t="n">
        <v>185</v>
      </c>
      <c r="D335" s="8" t="n">
        <v>135</v>
      </c>
      <c r="E335" s="9" t="n"/>
      <c r="F335" s="9" t="n"/>
      <c r="G335" s="9" t="n"/>
      <c r="H335" s="9" t="n"/>
      <c r="I335" s="7">
        <f>IFERROR(SUM(E335:H335),"")</f>
        <v/>
      </c>
      <c r="J335" s="9" t="n"/>
      <c r="K335" s="9" t="n"/>
      <c r="L335" s="9" t="n"/>
      <c r="M335" s="9" t="n"/>
      <c r="N335" s="9" t="n"/>
      <c r="O335" s="7">
        <f>IFERROR(AVERAGE(L335:N335),"")</f>
        <v/>
      </c>
      <c r="P335" s="7">
        <f>IF(O335="","",IF(O335&lt;54.27,"是⚠","否"))</f>
        <v/>
      </c>
      <c r="Q335" s="7">
        <f>IF(O335="","",IF(O335&lt;54.27,5-1,5))</f>
        <v/>
      </c>
      <c r="R335" s="7" t="n"/>
      <c r="S335" s="8" t="n">
        <v>1.567</v>
      </c>
      <c r="T335" s="8" t="n">
        <v>-0.008500000000000001</v>
      </c>
      <c r="U335" s="7" t="inlineStr">
        <is>
          <t>B</t>
        </is>
      </c>
      <c r="V335" s="8" t="n">
        <v>127.5</v>
      </c>
    </row>
    <row r="336">
      <c r="A336" s="10" t="inlineStr">
        <is>
          <t>热身校准</t>
        </is>
      </c>
      <c r="B336" s="10" t="inlineStr">
        <is>
          <t>a</t>
        </is>
      </c>
      <c r="C336" s="10" t="inlineStr">
        <is>
          <t>b</t>
        </is>
      </c>
      <c r="D336" s="10" t="inlineStr">
        <is>
          <t>50%热身</t>
        </is>
      </c>
      <c r="E336" s="10" t="inlineStr">
        <is>
          <t>70%热身</t>
        </is>
      </c>
      <c r="F336" s="10" t="inlineStr">
        <is>
          <t>热身负荷</t>
        </is>
      </c>
      <c r="G336" s="10" t="inlineStr">
        <is>
          <t>实测MCV</t>
        </is>
      </c>
      <c r="H336" s="10" t="inlineStr">
        <is>
          <t>预测MCV</t>
        </is>
      </c>
      <c r="I336" s="10" t="inlineStr">
        <is>
          <t>Δv</t>
        </is>
      </c>
      <c r="J336" s="10" t="inlineStr">
        <is>
          <t>调整量</t>
        </is>
      </c>
      <c r="K336" s="10" t="inlineStr">
        <is>
          <t>校准第1组</t>
        </is>
      </c>
    </row>
    <row r="337">
      <c r="A337" s="7" t="n"/>
      <c r="B337" s="11" t="n">
        <v>1.567</v>
      </c>
      <c r="C337" s="11" t="n">
        <v>-0.008500000000000001</v>
      </c>
      <c r="D337" s="11">
        <f>IFERROR(ROUND(V335*0.5/2.5,0)*2.5,"")</f>
        <v/>
      </c>
      <c r="E337" s="11">
        <f>IFERROR(ROUND(V335*0.7/2.5,0)*2.5,"")</f>
        <v/>
      </c>
      <c r="F337" s="11">
        <f>IFERROR(ROUND(V335*0.6/2.5,0)*2.5,"")</f>
        <v/>
      </c>
      <c r="G337" s="9" t="n"/>
      <c r="H337" s="11">
        <f>IFERROR(B337+C337*F337,"")</f>
        <v/>
      </c>
      <c r="I337" s="11">
        <f>IFERROR(G337-H337,"")</f>
        <v/>
      </c>
      <c r="J337" s="11">
        <f>IFERROR(IF(I337&gt;0.08,5,IF(I337&gt;0.04,2.5,IF(I337&gt;=-0.04,0,IF(I337&gt;=-0.08,-2.5,-5)))),"")</f>
        <v/>
      </c>
      <c r="K337" s="11">
        <f>IFERROR(ROUND(V335+J337,0),"")</f>
        <v/>
      </c>
    </row>
    <row r="338">
      <c r="A338" s="12" t="inlineStr">
        <is>
          <t>组</t>
        </is>
      </c>
      <c r="B338" s="12" t="inlineStr">
        <is>
          <t>负荷</t>
        </is>
      </c>
      <c r="C338" s="12" t="inlineStr">
        <is>
          <t>rep1</t>
        </is>
      </c>
      <c r="D338" s="12" t="inlineStr">
        <is>
          <t>rep2</t>
        </is>
      </c>
      <c r="E338" s="12" t="inlineStr">
        <is>
          <t>rep3</t>
        </is>
      </c>
      <c r="F338" s="12" t="inlineStr">
        <is>
          <t>rep4</t>
        </is>
      </c>
      <c r="G338" s="12" t="inlineStr">
        <is>
          <t>rep5</t>
        </is>
      </c>
      <c r="H338" s="12" t="inlineStr">
        <is>
          <t>rep6</t>
        </is>
      </c>
      <c r="I338" s="12" t="inlineStr">
        <is>
          <t>best</t>
        </is>
      </c>
      <c r="J338" s="12" t="inlineStr">
        <is>
          <t>best#</t>
        </is>
      </c>
      <c r="K338" s="12" t="inlineStr">
        <is>
          <t>VL%</t>
        </is>
      </c>
      <c r="L338" s="12" t="inlineStr">
        <is>
          <t>stop_th</t>
        </is>
      </c>
      <c r="M338" s="12" t="inlineStr">
        <is>
          <t>latest</t>
        </is>
      </c>
      <c r="N338" s="12" t="inlineStr">
        <is>
          <t>VL_flag</t>
        </is>
      </c>
      <c r="O338" s="12" t="inlineStr">
        <is>
          <t>safety</t>
        </is>
      </c>
      <c r="P338" s="12" t="inlineStr">
        <is>
          <t>原因</t>
        </is>
      </c>
      <c r="Q338" s="12" t="inlineStr">
        <is>
          <t>建议</t>
        </is>
      </c>
      <c r="R338" s="12" t="inlineStr">
        <is>
          <t>次数</t>
        </is>
      </c>
    </row>
    <row r="339">
      <c r="A339" s="7" t="n">
        <v>1</v>
      </c>
      <c r="B339" s="9">
        <f>IFERROR(K337,"")</f>
        <v/>
      </c>
      <c r="C339" s="9" t="n"/>
      <c r="D339" s="9" t="n"/>
      <c r="E339" s="9" t="n"/>
      <c r="F339" s="9" t="n"/>
      <c r="G339" s="9" t="n"/>
      <c r="H339" s="9" t="n"/>
      <c r="I339" s="7">
        <f>IFERROR(MAX(C339:H339),"")</f>
        <v/>
      </c>
      <c r="J339" s="7">
        <f>IFERROR(MATCH(I339,C339:H339,0),"")</f>
        <v/>
      </c>
      <c r="K339" s="7" t="n">
        <v>25</v>
      </c>
      <c r="L339" s="7">
        <f>IFERROR(I339*(1-(K339/100)),"")</f>
        <v/>
      </c>
      <c r="M339" s="7">
        <f>IFERROR(LOOKUP(9.99E+307,C339:H339),"")</f>
        <v/>
      </c>
      <c r="N339" s="7">
        <f>IFERROR(IF(M339="","",IF(M339&lt;=N339,"停组🛑","继续✓")),"")</f>
        <v/>
      </c>
      <c r="O339" s="7">
        <f>IFERROR(IF(M339="","",IF(M339&lt;0.15,"SAFETY_STOP","")),"")</f>
        <v/>
      </c>
      <c r="P339" s="7">
        <f>IFERROR(IF(M339="","",IF(M339&lt;0.15,"SAFETY_STOP",IF(M339&lt;=N339,"VL_THRESHOLD",""))),"")</f>
        <v/>
      </c>
      <c r="Q339" s="7">
        <f>IFERROR(IF(I339="","",IF(I339&gt;(0.475+0.05),"+5kg",IF(I339&gt;(0.475+0.02),"+2.5kg",IF(I339&gt;=(0.475-0.05),"保持",IF(I339&gt;=(0.475-0.08),"-2.5kg","-5kg"))))),"")</f>
        <v/>
      </c>
      <c r="R339" s="9" t="n"/>
    </row>
    <row r="340">
      <c r="A340" s="7" t="n">
        <v>2</v>
      </c>
      <c r="B340" s="9" t="n"/>
      <c r="C340" s="9" t="n"/>
      <c r="D340" s="9" t="n"/>
      <c r="E340" s="9" t="n"/>
      <c r="F340" s="9" t="n"/>
      <c r="G340" s="9" t="n"/>
      <c r="H340" s="9" t="n"/>
      <c r="I340" s="7">
        <f>IFERROR(MAX(C340:H340),"")</f>
        <v/>
      </c>
      <c r="J340" s="7">
        <f>IFERROR(MATCH(I340,C340:H340,0),"")</f>
        <v/>
      </c>
      <c r="K340" s="7" t="n">
        <v>25</v>
      </c>
      <c r="L340" s="7">
        <f>IFERROR(I340*(1-(K340/100)),"")</f>
        <v/>
      </c>
      <c r="M340" s="7">
        <f>IFERROR(LOOKUP(9.99E+307,C340:H340),"")</f>
        <v/>
      </c>
      <c r="N340" s="7">
        <f>IFERROR(IF(M340="","",IF(M340&lt;=N340,"停组🛑","继续✓")),"")</f>
        <v/>
      </c>
      <c r="O340" s="7">
        <f>IFERROR(IF(M340="","",IF(M340&lt;0.15,"SAFETY_STOP","")),"")</f>
        <v/>
      </c>
      <c r="P340" s="7">
        <f>IFERROR(IF(M340="","",IF(M340&lt;0.15,"SAFETY_STOP",IF(M340&lt;=N340,"VL_THRESHOLD",""))),"")</f>
        <v/>
      </c>
      <c r="Q340" s="7">
        <f>IFERROR(IF(I340="","",IF(I340&gt;(0.475+0.05),"+5kg",IF(I340&gt;(0.475+0.02),"+2.5kg",IF(I340&gt;=(0.475-0.05),"保持",IF(I340&gt;=(0.475-0.08),"-2.5kg","-5kg"))))),"")</f>
        <v/>
      </c>
      <c r="R340" s="9" t="n"/>
    </row>
    <row r="341">
      <c r="A341" s="7" t="n">
        <v>3</v>
      </c>
      <c r="B341" s="9" t="n"/>
      <c r="C341" s="9" t="n"/>
      <c r="D341" s="9" t="n"/>
      <c r="E341" s="9" t="n"/>
      <c r="F341" s="9" t="n"/>
      <c r="G341" s="9" t="n"/>
      <c r="H341" s="9" t="n"/>
      <c r="I341" s="7">
        <f>IFERROR(MAX(C341:H341),"")</f>
        <v/>
      </c>
      <c r="J341" s="7">
        <f>IFERROR(MATCH(I341,C341:H341,0),"")</f>
        <v/>
      </c>
      <c r="K341" s="7" t="n">
        <v>25</v>
      </c>
      <c r="L341" s="7">
        <f>IFERROR(I341*(1-(K341/100)),"")</f>
        <v/>
      </c>
      <c r="M341" s="7">
        <f>IFERROR(LOOKUP(9.99E+307,C341:H341),"")</f>
        <v/>
      </c>
      <c r="N341" s="7">
        <f>IFERROR(IF(M341="","",IF(M341&lt;=N341,"停组🛑","继续✓")),"")</f>
        <v/>
      </c>
      <c r="O341" s="7">
        <f>IFERROR(IF(M341="","",IF(M341&lt;0.15,"SAFETY_STOP","")),"")</f>
        <v/>
      </c>
      <c r="P341" s="7">
        <f>IFERROR(IF(M341="","",IF(M341&lt;0.15,"SAFETY_STOP",IF(M341&lt;=N341,"VL_THRESHOLD",""))),"")</f>
        <v/>
      </c>
      <c r="Q341" s="7">
        <f>IFERROR(IF(I341="","",IF(I341&gt;(0.475+0.05),"+5kg",IF(I341&gt;(0.475+0.02),"+2.5kg",IF(I341&gt;=(0.475-0.05),"保持",IF(I341&gt;=(0.475-0.08),"-2.5kg","-5kg"))))),"")</f>
        <v/>
      </c>
      <c r="R341" s="9" t="n"/>
    </row>
    <row r="342">
      <c r="A342" s="7" t="n">
        <v>4</v>
      </c>
      <c r="B342" s="9" t="n"/>
      <c r="C342" s="9" t="n"/>
      <c r="D342" s="9" t="n"/>
      <c r="E342" s="9" t="n"/>
      <c r="F342" s="9" t="n"/>
      <c r="G342" s="9" t="n"/>
      <c r="H342" s="9" t="n"/>
      <c r="I342" s="7">
        <f>IFERROR(MAX(C342:H342),"")</f>
        <v/>
      </c>
      <c r="J342" s="7">
        <f>IFERROR(MATCH(I342,C342:H342,0),"")</f>
        <v/>
      </c>
      <c r="K342" s="7" t="n">
        <v>25</v>
      </c>
      <c r="L342" s="7">
        <f>IFERROR(I342*(1-(K342/100)),"")</f>
        <v/>
      </c>
      <c r="M342" s="7">
        <f>IFERROR(LOOKUP(9.99E+307,C342:H342),"")</f>
        <v/>
      </c>
      <c r="N342" s="7">
        <f>IFERROR(IF(M342="","",IF(M342&lt;=N342,"停组🛑","继续✓")),"")</f>
        <v/>
      </c>
      <c r="O342" s="7">
        <f>IFERROR(IF(M342="","",IF(M342&lt;0.15,"SAFETY_STOP","")),"")</f>
        <v/>
      </c>
      <c r="P342" s="7">
        <f>IFERROR(IF(M342="","",IF(M342&lt;0.15,"SAFETY_STOP",IF(M342&lt;=N342,"VL_THRESHOLD",""))),"")</f>
        <v/>
      </c>
      <c r="Q342" s="7">
        <f>IFERROR(IF(I342="","",IF(I342&gt;(0.475+0.05),"+5kg",IF(I342&gt;(0.475+0.02),"+2.5kg",IF(I342&gt;=(0.475-0.05),"保持",IF(I342&gt;=(0.475-0.08),"-2.5kg","-5kg"))))),"")</f>
        <v/>
      </c>
      <c r="R342" s="9" t="n"/>
    </row>
    <row r="343">
      <c r="A343" s="7" t="n">
        <v>5</v>
      </c>
      <c r="B343" s="9" t="n"/>
      <c r="C343" s="9" t="n"/>
      <c r="D343" s="9" t="n"/>
      <c r="E343" s="9" t="n"/>
      <c r="F343" s="9" t="n"/>
      <c r="G343" s="9" t="n"/>
      <c r="H343" s="9" t="n"/>
      <c r="I343" s="7">
        <f>IFERROR(MAX(C343:H343),"")</f>
        <v/>
      </c>
      <c r="J343" s="7">
        <f>IFERROR(MATCH(I343,C343:H343,0),"")</f>
        <v/>
      </c>
      <c r="K343" s="7" t="n">
        <v>25</v>
      </c>
      <c r="L343" s="7">
        <f>IFERROR(I343*(1-(K343/100)),"")</f>
        <v/>
      </c>
      <c r="M343" s="7">
        <f>IFERROR(LOOKUP(9.99E+307,C343:H343),"")</f>
        <v/>
      </c>
      <c r="N343" s="7">
        <f>IFERROR(IF(M343="","",IF(M343&lt;=N343,"停组🛑","继续✓")),"")</f>
        <v/>
      </c>
      <c r="O343" s="7">
        <f>IFERROR(IF(M343="","",IF(M343&lt;0.15,"SAFETY_STOP","")),"")</f>
        <v/>
      </c>
      <c r="P343" s="7">
        <f>IFERROR(IF(M343="","",IF(M343&lt;0.15,"SAFETY_STOP",IF(M343&lt;=N343,"VL_THRESHOLD",""))),"")</f>
        <v/>
      </c>
      <c r="Q343" s="7">
        <f>IFERROR(IF(I343="","",IF(I343&gt;(0.475+0.05),"+5kg",IF(I343&gt;(0.475+0.02),"+2.5kg",IF(I343&gt;=(0.475-0.05),"保持",IF(I343&gt;=(0.475-0.08),"-2.5kg","-5kg"))))),"")</f>
        <v/>
      </c>
      <c r="R343" s="9" t="n"/>
    </row>
    <row r="344">
      <c r="A344" s="7" t="n">
        <v>6</v>
      </c>
      <c r="B344" s="9" t="n"/>
      <c r="C344" s="9" t="n"/>
      <c r="D344" s="9" t="n"/>
      <c r="E344" s="9" t="n"/>
      <c r="F344" s="9" t="n"/>
      <c r="G344" s="9" t="n"/>
      <c r="H344" s="9" t="n"/>
      <c r="I344" s="7">
        <f>IFERROR(MAX(C344:H344),"")</f>
        <v/>
      </c>
      <c r="J344" s="7">
        <f>IFERROR(MATCH(I344,C344:H344,0),"")</f>
        <v/>
      </c>
      <c r="K344" s="7" t="n">
        <v>25</v>
      </c>
      <c r="L344" s="7">
        <f>IFERROR(I344*(1-(K344/100)),"")</f>
        <v/>
      </c>
      <c r="M344" s="7">
        <f>IFERROR(LOOKUP(9.99E+307,C344:H344),"")</f>
        <v/>
      </c>
      <c r="N344" s="7">
        <f>IFERROR(IF(M344="","",IF(M344&lt;=N344,"停组🛑","继续✓")),"")</f>
        <v/>
      </c>
      <c r="O344" s="7">
        <f>IFERROR(IF(M344="","",IF(M344&lt;0.15,"SAFETY_STOP","")),"")</f>
        <v/>
      </c>
      <c r="P344" s="7">
        <f>IFERROR(IF(M344="","",IF(M344&lt;0.15,"SAFETY_STOP",IF(M344&lt;=N344,"VL_THRESHOLD",""))),"")</f>
        <v/>
      </c>
      <c r="Q344" s="7">
        <f>IFERROR(IF(I344="","",IF(I344&gt;(0.475+0.05),"+5kg",IF(I344&gt;(0.475+0.02),"+2.5kg",IF(I344&gt;=(0.475-0.05),"保持",IF(I344&gt;=(0.475-0.08),"-2.5kg","-5kg"))))),"")</f>
        <v/>
      </c>
      <c r="R344" s="9" t="n"/>
    </row>
    <row r="345">
      <c r="A345" s="13" t="inlineStr">
        <is>
          <t>辅助</t>
        </is>
      </c>
      <c r="D345" s="14" t="inlineStr">
        <is>
          <t>RDL</t>
        </is>
      </c>
      <c r="E345" s="14" t="inlineStr">
        <is>
          <t>负荷</t>
        </is>
      </c>
      <c r="F345" s="14" t="inlineStr">
        <is>
          <t>完成</t>
        </is>
      </c>
      <c r="I345" t="inlineStr">
        <is>
          <t>VL</t>
        </is>
      </c>
    </row>
    <row r="346">
      <c r="A346" s="15" t="inlineStr">
        <is>
          <t>训练后</t>
        </is>
      </c>
      <c r="B346" s="15" t="inlineStr">
        <is>
          <t>开始</t>
        </is>
      </c>
      <c r="C346" s="15" t="inlineStr">
        <is>
          <t>结束</t>
        </is>
      </c>
      <c r="D346" s="15" t="inlineStr">
        <is>
          <t>时长min</t>
        </is>
      </c>
      <c r="E346" s="15" t="inlineStr">
        <is>
          <t>sRPE</t>
        </is>
      </c>
      <c r="F346" s="15" t="inlineStr">
        <is>
          <t>load</t>
        </is>
      </c>
      <c r="G346" s="15" t="inlineStr">
        <is>
          <t>不适?</t>
        </is>
      </c>
      <c r="H346" s="15" t="inlineStr">
        <is>
          <t>备注</t>
        </is>
      </c>
      <c r="I346" s="15" t="inlineStr">
        <is>
          <t>签名</t>
        </is>
      </c>
    </row>
    <row r="347">
      <c r="A347" s="7" t="n"/>
      <c r="B347" s="9" t="n"/>
      <c r="C347" s="9" t="n"/>
      <c r="D347" s="11">
        <f>IFERROR((C347-B347)*1440,"")</f>
        <v/>
      </c>
      <c r="E347" s="9" t="n"/>
      <c r="F347" s="11">
        <f>IFERROR(E347*D347,"")</f>
        <v/>
      </c>
      <c r="G347" s="9" t="n"/>
      <c r="H347" s="9" t="n"/>
      <c r="I347" s="9" t="n"/>
    </row>
    <row r="348">
      <c r="A348" s="16" t="inlineStr">
        <is>
          <t>跳跃</t>
        </is>
      </c>
      <c r="B348" s="16" t="inlineStr">
        <is>
          <t>类型</t>
        </is>
      </c>
      <c r="C348" s="16" t="inlineStr">
        <is>
          <t>组×次</t>
        </is>
      </c>
      <c r="D348" s="16" t="inlineStr">
        <is>
          <t>负荷kg</t>
        </is>
      </c>
      <c r="E348" s="16" t="inlineStr">
        <is>
          <t>接触</t>
        </is>
      </c>
    </row>
    <row r="349">
      <c r="B349" t="inlineStr">
        <is>
          <t>CMJ</t>
        </is>
      </c>
      <c r="C349" t="inlineStr">
        <is>
          <t>3×3</t>
        </is>
      </c>
      <c r="D349" t="n">
        <v>0</v>
      </c>
      <c r="E349" t="n">
        <v>9</v>
      </c>
    </row>
    <row r="350">
      <c r="B350" t="inlineStr">
        <is>
          <t>箱跳</t>
        </is>
      </c>
      <c r="C350" t="inlineStr">
        <is>
          <t>3×3</t>
        </is>
      </c>
      <c r="D350" t="n">
        <v>0</v>
      </c>
      <c r="E350" t="n">
        <v>9</v>
      </c>
    </row>
    <row r="351">
      <c r="A351" s="17" t="inlineStr">
        <is>
          <t>▶ 暴露量汇总</t>
        </is>
      </c>
      <c r="B351" s="17" t="inlineStr">
        <is>
          <t>说明</t>
        </is>
      </c>
      <c r="C351" s="17" t="inlineStr">
        <is>
          <t>公式/来源</t>
        </is>
      </c>
      <c r="D351" s="17" t="inlineStr">
        <is>
          <t>数值</t>
        </is>
      </c>
    </row>
    <row r="352">
      <c r="A352" s="18" t="inlineStr">
        <is>
          <t>① 无负荷跳跃接触</t>
        </is>
      </c>
      <c r="B352" s="18" t="inlineStr">
        <is>
          <t>CMJ+SJ+箱跳</t>
        </is>
      </c>
      <c r="C352" s="19">
        <f>IFERROR(E349+E350,2)</f>
        <v/>
      </c>
    </row>
    <row r="353">
      <c r="A353" s="18" t="inlineStr">
        <is>
          <t>② 负重跳跃接触</t>
        </is>
      </c>
      <c r="B353" s="18" t="inlineStr">
        <is>
          <t>负重深蹲跳</t>
        </is>
      </c>
      <c r="C353" s="19">
        <f>IFERROR(E349,"")</f>
        <v/>
      </c>
    </row>
    <row r="354">
      <c r="A354" s="18" t="inlineStr">
        <is>
          <t>③ 跳跃总计</t>
        </is>
      </c>
      <c r="B354" s="18" t="inlineStr">
        <is>
          <t>①+②</t>
        </is>
      </c>
      <c r="C354" s="19">
        <f>IFERROR(B352+B353,"")</f>
        <v/>
      </c>
    </row>
    <row r="355">
      <c r="A355" s="18" t="inlineStr">
        <is>
          <t>④ 热身VL</t>
        </is>
      </c>
      <c r="B355" s="18" t="inlineStr">
        <is>
          <t>20×5+50%×3(+70%×2)</t>
        </is>
      </c>
      <c r="C355" s="19">
        <f>IFERROR(20*5+ROUND(V335*0.5,0)*3+ROUND(V{dr}*0.7,0)*2,"-")</f>
        <v/>
      </c>
    </row>
    <row r="356">
      <c r="A356" s="20" t="inlineStr">
        <is>
          <t>⑤ 主项工作组VL ★</t>
        </is>
      </c>
      <c r="B356" s="20" t="inlineStr">
        <is>
          <t>Σ(负荷×次数)</t>
        </is>
      </c>
      <c r="C356" s="21">
        <f>SUMPRODUCT($B$339:$B$344,$R$339:$R$344)</f>
        <v/>
      </c>
    </row>
    <row r="357">
      <c r="A357" s="18" t="inlineStr">
        <is>
          <t>⑥ 主项总VL</t>
        </is>
      </c>
      <c r="B357" s="18" t="inlineStr">
        <is>
          <t>④+⑤</t>
        </is>
      </c>
      <c r="C357" s="19">
        <f>IFERROR(D352+D353,"")</f>
        <v/>
      </c>
    </row>
    <row r="358">
      <c r="A358" s="18" t="inlineStr">
        <is>
          <t>⑦ 辅助VL</t>
        </is>
      </c>
      <c r="B358" s="18" t="inlineStr">
        <is>
          <t>RDL/保加利亚</t>
        </is>
      </c>
      <c r="C358" s="19">
        <f>IFERROR(I345,"")</f>
        <v/>
      </c>
    </row>
    <row r="359">
      <c r="A359" s="18" t="inlineStr">
        <is>
          <t>⑧ 总外部负荷</t>
        </is>
      </c>
      <c r="B359" s="18" t="inlineStr">
        <is>
          <t>⑥+⑦(+负重跳)</t>
        </is>
      </c>
      <c r="C359" s="19">
        <f>IFERROR(F352+G352,"")</f>
        <v/>
      </c>
    </row>
    <row r="360">
      <c r="A360" s="18" t="inlineStr">
        <is>
          <t>⑨ sRPE load</t>
        </is>
      </c>
      <c r="B360" s="18" t="inlineStr">
        <is>
          <t>sRPE×时长</t>
        </is>
      </c>
      <c r="C360" s="19">
        <f>IFERROR(F347,"")</f>
        <v/>
      </c>
    </row>
  </sheetData>
  <mergeCells count="25">
    <mergeCell ref="A213:V213"/>
    <mergeCell ref="A255:C255"/>
    <mergeCell ref="A33:V33"/>
    <mergeCell ref="A75:C75"/>
    <mergeCell ref="A303:V303"/>
    <mergeCell ref="A105:C105"/>
    <mergeCell ref="A285:C285"/>
    <mergeCell ref="A333:V333"/>
    <mergeCell ref="A195:C195"/>
    <mergeCell ref="A63:V63"/>
    <mergeCell ref="A93:V93"/>
    <mergeCell ref="A135:C135"/>
    <mergeCell ref="A165:C165"/>
    <mergeCell ref="A1:V1"/>
    <mergeCell ref="A123:V123"/>
    <mergeCell ref="A153:V153"/>
    <mergeCell ref="A15:C15"/>
    <mergeCell ref="A243:V243"/>
    <mergeCell ref="A183:V183"/>
    <mergeCell ref="A225:C225"/>
    <mergeCell ref="A45:C45"/>
    <mergeCell ref="A273:V273"/>
    <mergeCell ref="A315:C315"/>
    <mergeCell ref="A3:V3"/>
    <mergeCell ref="A345:C3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12" customWidth="1" min="12" max="12"/>
    <col width="10" customWidth="1" min="13" max="13"/>
    <col width="10" customWidth="1" min="14" max="14"/>
    <col width="12" customWidth="1" min="15" max="15"/>
    <col width="18" customWidth="1" min="16" max="16"/>
    <col width="12" customWidth="1" min="17" max="17"/>
    <col width="10" customWidth="1" min="18" max="18"/>
    <col width="12" customWidth="1" min="19" max="19"/>
    <col width="16" customWidth="1" min="20" max="20"/>
    <col width="14" customWidth="1" min="21" max="21"/>
    <col width="14" customWidth="1" min="22" max="22"/>
  </cols>
  <sheetData>
    <row r="1">
      <c r="A1" s="1" t="inlineStr">
        <is>
          <t>研究二AI组 W3_B (B日) MC=0.65-0.75 VL%=15</t>
        </is>
      </c>
    </row>
    <row r="2">
      <c r="A2" s="2" t="inlineStr">
        <is>
          <t>MC区间</t>
        </is>
      </c>
      <c r="B2" s="3" t="inlineStr">
        <is>
          <t>MC中点</t>
        </is>
      </c>
      <c r="C2" s="3" t="inlineStr">
        <is>
          <t>VL%</t>
        </is>
      </c>
      <c r="D2" s="3" t="inlineStr">
        <is>
          <t>安全停止</t>
        </is>
      </c>
      <c r="E2" s="3" t="inlineStr">
        <is>
          <t>组数</t>
        </is>
      </c>
      <c r="F2" s="3" t="inlineStr">
        <is>
          <t>热身</t>
        </is>
      </c>
      <c r="G2" s="4" t="inlineStr">
        <is>
          <t>B</t>
        </is>
      </c>
    </row>
    <row r="3">
      <c r="A3" s="5" t="inlineStr">
        <is>
          <t>P007 陈鑫  a=1.65 b=-0.0125 1RM=110</t>
        </is>
      </c>
    </row>
    <row r="4">
      <c r="A4" s="6" t="inlineStr">
        <is>
          <t>编号</t>
        </is>
      </c>
      <c r="B4" s="6" t="inlineStr">
        <is>
          <t>姓名</t>
        </is>
      </c>
      <c r="C4" s="6" t="inlineStr">
        <is>
          <t>身高</t>
        </is>
      </c>
      <c r="D4" s="6" t="inlineStr">
        <is>
          <t>1RM</t>
        </is>
      </c>
      <c r="E4" s="6" t="inlineStr">
        <is>
          <t>Hooper睡</t>
        </is>
      </c>
      <c r="F4" s="6" t="inlineStr">
        <is>
          <t>Hooper压</t>
        </is>
      </c>
      <c r="G4" s="6" t="inlineStr">
        <is>
          <t>Hooper疲</t>
        </is>
      </c>
      <c r="H4" s="6" t="inlineStr">
        <is>
          <t>Hooper酸</t>
        </is>
      </c>
      <c r="I4" s="6" t="inlineStr">
        <is>
          <t>H总</t>
        </is>
      </c>
      <c r="J4" s="6" t="inlineStr">
        <is>
          <t>不适?</t>
        </is>
      </c>
      <c r="K4" s="6" t="inlineStr">
        <is>
          <t>说明</t>
        </is>
      </c>
      <c r="L4" s="6" t="inlineStr">
        <is>
          <t>CMJ1</t>
        </is>
      </c>
      <c r="M4" s="6" t="inlineStr">
        <is>
          <t>CMJ2</t>
        </is>
      </c>
      <c r="N4" s="6" t="inlineStr">
        <is>
          <t>CMJ3</t>
        </is>
      </c>
      <c r="O4" s="6" t="inlineStr">
        <is>
          <t>CMJμ</t>
        </is>
      </c>
      <c r="P4" s="6" t="inlineStr">
        <is>
          <t>&lt;95%</t>
        </is>
      </c>
      <c r="Q4" s="6" t="inlineStr">
        <is>
          <t>减组</t>
        </is>
      </c>
      <c r="R4" s="6" t="inlineStr">
        <is>
          <t>组数</t>
        </is>
      </c>
      <c r="S4" s="6" t="inlineStr">
        <is>
          <t>a(V0)</t>
        </is>
      </c>
      <c r="T4" s="6" t="inlineStr">
        <is>
          <t>b</t>
        </is>
      </c>
      <c r="U4" s="6" t="inlineStr">
        <is>
          <t>等级</t>
        </is>
      </c>
      <c r="V4" s="6" t="inlineStr">
        <is>
          <t>预测起始</t>
        </is>
      </c>
    </row>
    <row r="5">
      <c r="A5" s="7" t="inlineStr">
        <is>
          <t>P007</t>
        </is>
      </c>
      <c r="B5" s="7" t="inlineStr">
        <is>
          <t>陈鑫</t>
        </is>
      </c>
      <c r="C5" s="7" t="n">
        <v>173</v>
      </c>
      <c r="D5" s="8" t="n">
        <v>110</v>
      </c>
      <c r="E5" s="9" t="n"/>
      <c r="F5" s="9" t="n"/>
      <c r="G5" s="9" t="n"/>
      <c r="H5" s="9" t="n"/>
      <c r="I5" s="7">
        <f>IFERROR(SUM(E5:H5),"")</f>
        <v/>
      </c>
      <c r="J5" s="9" t="n"/>
      <c r="K5" s="9" t="n"/>
      <c r="L5" s="9" t="n"/>
      <c r="M5" s="9" t="n"/>
      <c r="N5" s="9" t="n"/>
      <c r="O5" s="7">
        <f>IFERROR(AVERAGE(L5:N5),"")</f>
        <v/>
      </c>
      <c r="P5" s="7">
        <f>IF(O5="","",IF(O5&lt;63.01,"是⚠","否"))</f>
        <v/>
      </c>
      <c r="Q5" s="7">
        <f>IF(O5="","",IF(O5&lt;63.01,5-1,5))</f>
        <v/>
      </c>
      <c r="R5" s="7" t="n"/>
      <c r="S5" s="8" t="n">
        <v>1.65</v>
      </c>
      <c r="T5" s="8" t="n">
        <v>-0.0125</v>
      </c>
      <c r="U5" s="7" t="inlineStr">
        <is>
          <t>A</t>
        </is>
      </c>
      <c r="V5" s="8" t="n">
        <v>75</v>
      </c>
    </row>
    <row r="6">
      <c r="A6" s="10" t="inlineStr">
        <is>
          <t>热身校准</t>
        </is>
      </c>
      <c r="B6" s="10" t="inlineStr">
        <is>
          <t>a</t>
        </is>
      </c>
      <c r="C6" s="10" t="inlineStr">
        <is>
          <t>b</t>
        </is>
      </c>
      <c r="D6" s="10" t="inlineStr">
        <is>
          <t>50%热身</t>
        </is>
      </c>
      <c r="E6" s="10" t="inlineStr">
        <is>
          <t>70%热身</t>
        </is>
      </c>
      <c r="F6" s="10" t="inlineStr">
        <is>
          <t>热身负荷</t>
        </is>
      </c>
      <c r="G6" s="10" t="inlineStr">
        <is>
          <t>实测MCV</t>
        </is>
      </c>
      <c r="H6" s="10" t="inlineStr">
        <is>
          <t>预测MCV</t>
        </is>
      </c>
      <c r="I6" s="10" t="inlineStr">
        <is>
          <t>Δv</t>
        </is>
      </c>
      <c r="J6" s="10" t="inlineStr">
        <is>
          <t>调整量</t>
        </is>
      </c>
      <c r="K6" s="10" t="inlineStr">
        <is>
          <t>校准第1组</t>
        </is>
      </c>
    </row>
    <row r="7">
      <c r="A7" s="7" t="n"/>
      <c r="B7" s="11" t="n">
        <v>1.65</v>
      </c>
      <c r="C7" s="11" t="n">
        <v>-0.0125</v>
      </c>
      <c r="D7" s="11">
        <f>IFERROR(ROUND(V5*0.5/2.5,0)*2.5,"")</f>
        <v/>
      </c>
      <c r="E7" s="11" t="inlineStr"/>
      <c r="F7" s="11">
        <f>IFERROR(ROUND(V5*0.5/2.5,0)*2.5,"")</f>
        <v/>
      </c>
      <c r="G7" s="9" t="n"/>
      <c r="H7" s="11">
        <f>IFERROR(B7+C7*F7,"")</f>
        <v/>
      </c>
      <c r="I7" s="11">
        <f>IFERROR(G7-H7,"")</f>
        <v/>
      </c>
      <c r="J7" s="11">
        <f>IFERROR(IF(I7&gt;0.08,5,IF(I7&gt;0.04,2.5,IF(I7&gt;=-0.04,0,IF(I7&gt;=-0.08,-2.5,-5)))),"")</f>
        <v/>
      </c>
      <c r="K7" s="11">
        <f>IFERROR(ROUND(V5+J7,0),"")</f>
        <v/>
      </c>
    </row>
    <row r="8">
      <c r="A8" s="12" t="inlineStr">
        <is>
          <t>组</t>
        </is>
      </c>
      <c r="B8" s="12" t="inlineStr">
        <is>
          <t>负荷</t>
        </is>
      </c>
      <c r="C8" s="12" t="inlineStr">
        <is>
          <t>rep1</t>
        </is>
      </c>
      <c r="D8" s="12" t="inlineStr">
        <is>
          <t>rep2</t>
        </is>
      </c>
      <c r="E8" s="12" t="inlineStr">
        <is>
          <t>rep3</t>
        </is>
      </c>
      <c r="F8" s="12" t="inlineStr">
        <is>
          <t>rep4</t>
        </is>
      </c>
      <c r="G8" s="12" t="inlineStr">
        <is>
          <t>rep5</t>
        </is>
      </c>
      <c r="H8" s="12" t="inlineStr">
        <is>
          <t>rep6</t>
        </is>
      </c>
      <c r="I8" s="12" t="inlineStr">
        <is>
          <t>best</t>
        </is>
      </c>
      <c r="J8" s="12" t="inlineStr">
        <is>
          <t>best#</t>
        </is>
      </c>
      <c r="K8" s="12" t="inlineStr">
        <is>
          <t>VL%</t>
        </is>
      </c>
      <c r="L8" s="12" t="inlineStr">
        <is>
          <t>stop_th</t>
        </is>
      </c>
      <c r="M8" s="12" t="inlineStr">
        <is>
          <t>latest</t>
        </is>
      </c>
      <c r="N8" s="12" t="inlineStr">
        <is>
          <t>VL_flag</t>
        </is>
      </c>
      <c r="O8" s="12" t="inlineStr">
        <is>
          <t>safety</t>
        </is>
      </c>
      <c r="P8" s="12" t="inlineStr">
        <is>
          <t>原因</t>
        </is>
      </c>
      <c r="Q8" s="12" t="inlineStr">
        <is>
          <t>建议</t>
        </is>
      </c>
      <c r="R8" s="12" t="inlineStr">
        <is>
          <t>次数</t>
        </is>
      </c>
    </row>
    <row r="9">
      <c r="A9" s="7" t="n">
        <v>1</v>
      </c>
      <c r="B9" s="9">
        <f>IFERROR(K7,"")</f>
        <v/>
      </c>
      <c r="C9" s="9" t="n"/>
      <c r="D9" s="9" t="n"/>
      <c r="E9" s="9" t="n"/>
      <c r="F9" s="9" t="n"/>
      <c r="G9" s="9" t="n"/>
      <c r="H9" s="9" t="n"/>
      <c r="I9" s="7">
        <f>IFERROR(MAX(C9:H9),"")</f>
        <v/>
      </c>
      <c r="J9" s="7">
        <f>IFERROR(MATCH(I9,C9:H9,0),"")</f>
        <v/>
      </c>
      <c r="K9" s="7" t="n">
        <v>15</v>
      </c>
      <c r="L9" s="7">
        <f>IFERROR(I9*(1-(K9/100)),"")</f>
        <v/>
      </c>
      <c r="M9" s="7">
        <f>IFERROR(LOOKUP(9.99E+307,C9:H9),"")</f>
        <v/>
      </c>
      <c r="N9" s="7">
        <f>IFERROR(IF(M9="","",IF(M9&lt;=N9,"停组🛑","继续✓")),"")</f>
        <v/>
      </c>
      <c r="O9" s="7">
        <f>IFERROR(IF(M9="","",IF(M9&lt;0.15,"SAFETY_STOP","")),"")</f>
        <v/>
      </c>
      <c r="P9" s="7">
        <f>IFERROR(IF(M9="","",IF(M9&lt;0.15,"SAFETY_STOP",IF(M9&lt;=N9,"VL_THRESHOLD",""))),"")</f>
        <v/>
      </c>
      <c r="Q9" s="7">
        <f>IFERROR(IF(I9="","",IF(I9&gt;(0.7+0.05),"+5kg",IF(I9&gt;(0.7+0.02),"+2.5kg",IF(I9&gt;=(0.7-0.05),"保持",IF(I9&gt;=(0.7-0.08),"-2.5kg","-5kg"))))),"")</f>
        <v/>
      </c>
      <c r="R9" s="9" t="n"/>
    </row>
    <row r="10">
      <c r="A10" s="7" t="n">
        <v>2</v>
      </c>
      <c r="B10" s="9" t="n"/>
      <c r="C10" s="9" t="n"/>
      <c r="D10" s="9" t="n"/>
      <c r="E10" s="9" t="n"/>
      <c r="F10" s="9" t="n"/>
      <c r="G10" s="9" t="n"/>
      <c r="H10" s="9" t="n"/>
      <c r="I10" s="7">
        <f>IFERROR(MAX(C10:H10),"")</f>
        <v/>
      </c>
      <c r="J10" s="7">
        <f>IFERROR(MATCH(I10,C10:H10,0),"")</f>
        <v/>
      </c>
      <c r="K10" s="7" t="n">
        <v>15</v>
      </c>
      <c r="L10" s="7">
        <f>IFERROR(I10*(1-(K10/100)),"")</f>
        <v/>
      </c>
      <c r="M10" s="7">
        <f>IFERROR(LOOKUP(9.99E+307,C10:H10),"")</f>
        <v/>
      </c>
      <c r="N10" s="7">
        <f>IFERROR(IF(M10="","",IF(M10&lt;=N10,"停组🛑","继续✓")),"")</f>
        <v/>
      </c>
      <c r="O10" s="7">
        <f>IFERROR(IF(M10="","",IF(M10&lt;0.15,"SAFETY_STOP","")),"")</f>
        <v/>
      </c>
      <c r="P10" s="7">
        <f>IFERROR(IF(M10="","",IF(M10&lt;0.15,"SAFETY_STOP",IF(M10&lt;=N10,"VL_THRESHOLD",""))),"")</f>
        <v/>
      </c>
      <c r="Q10" s="7">
        <f>IFERROR(IF(I10="","",IF(I10&gt;(0.7+0.05),"+5kg",IF(I10&gt;(0.7+0.02),"+2.5kg",IF(I10&gt;=(0.7-0.05),"保持",IF(I10&gt;=(0.7-0.08),"-2.5kg","-5kg"))))),"")</f>
        <v/>
      </c>
      <c r="R10" s="9" t="n"/>
    </row>
    <row r="11">
      <c r="A11" s="7" t="n">
        <v>3</v>
      </c>
      <c r="B11" s="9" t="n"/>
      <c r="C11" s="9" t="n"/>
      <c r="D11" s="9" t="n"/>
      <c r="E11" s="9" t="n"/>
      <c r="F11" s="9" t="n"/>
      <c r="G11" s="9" t="n"/>
      <c r="H11" s="9" t="n"/>
      <c r="I11" s="7">
        <f>IFERROR(MAX(C11:H11),"")</f>
        <v/>
      </c>
      <c r="J11" s="7">
        <f>IFERROR(MATCH(I11,C11:H11,0),"")</f>
        <v/>
      </c>
      <c r="K11" s="7" t="n">
        <v>15</v>
      </c>
      <c r="L11" s="7">
        <f>IFERROR(I11*(1-(K11/100)),"")</f>
        <v/>
      </c>
      <c r="M11" s="7">
        <f>IFERROR(LOOKUP(9.99E+307,C11:H11),"")</f>
        <v/>
      </c>
      <c r="N11" s="7">
        <f>IFERROR(IF(M11="","",IF(M11&lt;=N11,"停组🛑","继续✓")),"")</f>
        <v/>
      </c>
      <c r="O11" s="7">
        <f>IFERROR(IF(M11="","",IF(M11&lt;0.15,"SAFETY_STOP","")),"")</f>
        <v/>
      </c>
      <c r="P11" s="7">
        <f>IFERROR(IF(M11="","",IF(M11&lt;0.15,"SAFETY_STOP",IF(M11&lt;=N11,"VL_THRESHOLD",""))),"")</f>
        <v/>
      </c>
      <c r="Q11" s="7">
        <f>IFERROR(IF(I11="","",IF(I11&gt;(0.7+0.05),"+5kg",IF(I11&gt;(0.7+0.02),"+2.5kg",IF(I11&gt;=(0.7-0.05),"保持",IF(I11&gt;=(0.7-0.08),"-2.5kg","-5kg"))))),"")</f>
        <v/>
      </c>
      <c r="R11" s="9" t="n"/>
    </row>
    <row r="12">
      <c r="A12" s="7" t="n">
        <v>4</v>
      </c>
      <c r="B12" s="9" t="n"/>
      <c r="C12" s="9" t="n"/>
      <c r="D12" s="9" t="n"/>
      <c r="E12" s="9" t="n"/>
      <c r="F12" s="9" t="n"/>
      <c r="G12" s="9" t="n"/>
      <c r="H12" s="9" t="n"/>
      <c r="I12" s="7">
        <f>IFERROR(MAX(C12:H12),"")</f>
        <v/>
      </c>
      <c r="J12" s="7">
        <f>IFERROR(MATCH(I12,C12:H12,0),"")</f>
        <v/>
      </c>
      <c r="K12" s="7" t="n">
        <v>15</v>
      </c>
      <c r="L12" s="7">
        <f>IFERROR(I12*(1-(K12/100)),"")</f>
        <v/>
      </c>
      <c r="M12" s="7">
        <f>IFERROR(LOOKUP(9.99E+307,C12:H12),"")</f>
        <v/>
      </c>
      <c r="N12" s="7">
        <f>IFERROR(IF(M12="","",IF(M12&lt;=N12,"停组🛑","继续✓")),"")</f>
        <v/>
      </c>
      <c r="O12" s="7">
        <f>IFERROR(IF(M12="","",IF(M12&lt;0.15,"SAFETY_STOP","")),"")</f>
        <v/>
      </c>
      <c r="P12" s="7">
        <f>IFERROR(IF(M12="","",IF(M12&lt;0.15,"SAFETY_STOP",IF(M12&lt;=N12,"VL_THRESHOLD",""))),"")</f>
        <v/>
      </c>
      <c r="Q12" s="7">
        <f>IFERROR(IF(I12="","",IF(I12&gt;(0.7+0.05),"+5kg",IF(I12&gt;(0.7+0.02),"+2.5kg",IF(I12&gt;=(0.7-0.05),"保持",IF(I12&gt;=(0.7-0.08),"-2.5kg","-5kg"))))),"")</f>
        <v/>
      </c>
      <c r="R12" s="9" t="n"/>
    </row>
    <row r="13">
      <c r="A13" s="7" t="n">
        <v>5</v>
      </c>
      <c r="B13" s="9" t="n"/>
      <c r="C13" s="9" t="n"/>
      <c r="D13" s="9" t="n"/>
      <c r="E13" s="9" t="n"/>
      <c r="F13" s="9" t="n"/>
      <c r="G13" s="9" t="n"/>
      <c r="H13" s="9" t="n"/>
      <c r="I13" s="7">
        <f>IFERROR(MAX(C13:H13),"")</f>
        <v/>
      </c>
      <c r="J13" s="7">
        <f>IFERROR(MATCH(I13,C13:H13,0),"")</f>
        <v/>
      </c>
      <c r="K13" s="7" t="n">
        <v>15</v>
      </c>
      <c r="L13" s="7">
        <f>IFERROR(I13*(1-(K13/100)),"")</f>
        <v/>
      </c>
      <c r="M13" s="7">
        <f>IFERROR(LOOKUP(9.99E+307,C13:H13),"")</f>
        <v/>
      </c>
      <c r="N13" s="7">
        <f>IFERROR(IF(M13="","",IF(M13&lt;=N13,"停组🛑","继续✓")),"")</f>
        <v/>
      </c>
      <c r="O13" s="7">
        <f>IFERROR(IF(M13="","",IF(M13&lt;0.15,"SAFETY_STOP","")),"")</f>
        <v/>
      </c>
      <c r="P13" s="7">
        <f>IFERROR(IF(M13="","",IF(M13&lt;0.15,"SAFETY_STOP",IF(M13&lt;=N13,"VL_THRESHOLD",""))),"")</f>
        <v/>
      </c>
      <c r="Q13" s="7">
        <f>IFERROR(IF(I13="","",IF(I13&gt;(0.7+0.05),"+5kg",IF(I13&gt;(0.7+0.02),"+2.5kg",IF(I13&gt;=(0.7-0.05),"保持",IF(I13&gt;=(0.7-0.08),"-2.5kg","-5kg"))))),"")</f>
        <v/>
      </c>
      <c r="R13" s="9" t="n"/>
    </row>
    <row r="14">
      <c r="A14" s="7" t="n">
        <v>6</v>
      </c>
      <c r="B14" s="9" t="n"/>
      <c r="C14" s="9" t="n"/>
      <c r="D14" s="9" t="n"/>
      <c r="E14" s="9" t="n"/>
      <c r="F14" s="9" t="n"/>
      <c r="G14" s="9" t="n"/>
      <c r="H14" s="9" t="n"/>
      <c r="I14" s="7">
        <f>IFERROR(MAX(C14:H14),"")</f>
        <v/>
      </c>
      <c r="J14" s="7">
        <f>IFERROR(MATCH(I14,C14:H14,0),"")</f>
        <v/>
      </c>
      <c r="K14" s="7" t="n">
        <v>15</v>
      </c>
      <c r="L14" s="7">
        <f>IFERROR(I14*(1-(K14/100)),"")</f>
        <v/>
      </c>
      <c r="M14" s="7">
        <f>IFERROR(LOOKUP(9.99E+307,C14:H14),"")</f>
        <v/>
      </c>
      <c r="N14" s="7">
        <f>IFERROR(IF(M14="","",IF(M14&lt;=N14,"停组🛑","继续✓")),"")</f>
        <v/>
      </c>
      <c r="O14" s="7">
        <f>IFERROR(IF(M14="","",IF(M14&lt;0.15,"SAFETY_STOP","")),"")</f>
        <v/>
      </c>
      <c r="P14" s="7">
        <f>IFERROR(IF(M14="","",IF(M14&lt;0.15,"SAFETY_STOP",IF(M14&lt;=N14,"VL_THRESHOLD",""))),"")</f>
        <v/>
      </c>
      <c r="Q14" s="7">
        <f>IFERROR(IF(I14="","",IF(I14&gt;(0.7+0.05),"+5kg",IF(I14&gt;(0.7+0.02),"+2.5kg",IF(I14&gt;=(0.7-0.05),"保持",IF(I14&gt;=(0.7-0.08),"-2.5kg","-5kg"))))),"")</f>
        <v/>
      </c>
      <c r="R14" s="9" t="n"/>
    </row>
    <row r="15">
      <c r="A15" s="13" t="inlineStr">
        <is>
          <t>辅助</t>
        </is>
      </c>
      <c r="D15" s="14" t="inlineStr">
        <is>
          <t>保加利亚单腿蹲</t>
        </is>
      </c>
      <c r="E15" s="14" t="inlineStr">
        <is>
          <t>负荷</t>
        </is>
      </c>
      <c r="F15" s="14" t="inlineStr">
        <is>
          <t>完成</t>
        </is>
      </c>
      <c r="I15" t="inlineStr">
        <is>
          <t>VL</t>
        </is>
      </c>
    </row>
    <row r="16">
      <c r="A16" s="15" t="inlineStr">
        <is>
          <t>训练后</t>
        </is>
      </c>
      <c r="B16" s="15" t="inlineStr">
        <is>
          <t>开始</t>
        </is>
      </c>
      <c r="C16" s="15" t="inlineStr">
        <is>
          <t>结束</t>
        </is>
      </c>
      <c r="D16" s="15" t="inlineStr">
        <is>
          <t>时长min</t>
        </is>
      </c>
      <c r="E16" s="15" t="inlineStr">
        <is>
          <t>sRPE</t>
        </is>
      </c>
      <c r="F16" s="15" t="inlineStr">
        <is>
          <t>load</t>
        </is>
      </c>
      <c r="G16" s="15" t="inlineStr">
        <is>
          <t>不适?</t>
        </is>
      </c>
      <c r="H16" s="15" t="inlineStr">
        <is>
          <t>备注</t>
        </is>
      </c>
      <c r="I16" s="15" t="inlineStr">
        <is>
          <t>签名</t>
        </is>
      </c>
    </row>
    <row r="17">
      <c r="A17" s="7" t="n"/>
      <c r="B17" s="9" t="n"/>
      <c r="C17" s="9" t="n"/>
      <c r="D17" s="11">
        <f>IFERROR((C17-B17)*1440,"")</f>
        <v/>
      </c>
      <c r="E17" s="9" t="n"/>
      <c r="F17" s="11">
        <f>IFERROR(E17*D17,"")</f>
        <v/>
      </c>
      <c r="G17" s="9" t="n"/>
      <c r="H17" s="9" t="n"/>
      <c r="I17" s="9" t="n"/>
    </row>
    <row r="18">
      <c r="A18" s="16" t="inlineStr">
        <is>
          <t>跳跃</t>
        </is>
      </c>
      <c r="B18" s="16" t="inlineStr">
        <is>
          <t>类型</t>
        </is>
      </c>
      <c r="C18" s="16" t="inlineStr">
        <is>
          <t>组×次</t>
        </is>
      </c>
      <c r="D18" s="16" t="inlineStr">
        <is>
          <t>负荷kg</t>
        </is>
      </c>
      <c r="E18" s="16" t="inlineStr">
        <is>
          <t>接触</t>
        </is>
      </c>
    </row>
    <row r="19">
      <c r="B19" t="inlineStr">
        <is>
          <t>SJ</t>
        </is>
      </c>
      <c r="C19" t="inlineStr">
        <is>
          <t>3×3</t>
        </is>
      </c>
      <c r="D19" t="n">
        <v>0</v>
      </c>
      <c r="E19" t="n">
        <v>9</v>
      </c>
    </row>
    <row r="20">
      <c r="B20" t="inlineStr">
        <is>
          <t>负重跳</t>
        </is>
      </c>
      <c r="C20" t="inlineStr">
        <is>
          <t>3×5</t>
        </is>
      </c>
      <c r="D20" s="14" t="n"/>
      <c r="E20" s="14" t="n"/>
    </row>
    <row r="21">
      <c r="A21" s="17" t="inlineStr">
        <is>
          <t>▶ 暴露量汇总</t>
        </is>
      </c>
      <c r="B21" s="17" t="inlineStr">
        <is>
          <t>说明</t>
        </is>
      </c>
      <c r="C21" s="17" t="inlineStr">
        <is>
          <t>公式/来源</t>
        </is>
      </c>
      <c r="D21" s="17" t="inlineStr">
        <is>
          <t>数值</t>
        </is>
      </c>
    </row>
    <row r="22">
      <c r="A22" s="18" t="inlineStr">
        <is>
          <t>① 无负荷跳跃接触</t>
        </is>
      </c>
      <c r="B22" s="18" t="inlineStr">
        <is>
          <t>CMJ+SJ+箱跳</t>
        </is>
      </c>
      <c r="C22" s="19">
        <f>IFERROR(E19+E20,2)</f>
        <v/>
      </c>
    </row>
    <row r="23">
      <c r="A23" s="18" t="inlineStr">
        <is>
          <t>② 负重跳跃接触</t>
        </is>
      </c>
      <c r="B23" s="18" t="inlineStr">
        <is>
          <t>负重深蹲跳</t>
        </is>
      </c>
      <c r="C23" s="19">
        <f>IFERROR(E20,"")</f>
        <v/>
      </c>
    </row>
    <row r="24">
      <c r="A24" s="18" t="inlineStr">
        <is>
          <t>③ 跳跃总计</t>
        </is>
      </c>
      <c r="B24" s="18" t="inlineStr">
        <is>
          <t>①+②</t>
        </is>
      </c>
      <c r="C24" s="19">
        <f>IFERROR(B22+B23,"")</f>
        <v/>
      </c>
    </row>
    <row r="25">
      <c r="A25" s="18" t="inlineStr">
        <is>
          <t>④ 热身VL</t>
        </is>
      </c>
      <c r="B25" s="18" t="inlineStr">
        <is>
          <t>20×5+50%×3(+70%×2)</t>
        </is>
      </c>
      <c r="C25" s="19">
        <f>IFERROR(20*5+ROUND(V5*0.5,0)*3,"-")</f>
        <v/>
      </c>
    </row>
    <row r="26">
      <c r="A26" s="20" t="inlineStr">
        <is>
          <t>⑤ 主项工作组VL ★</t>
        </is>
      </c>
      <c r="B26" s="20" t="inlineStr">
        <is>
          <t>Σ(负荷×次数)</t>
        </is>
      </c>
      <c r="C26" s="21">
        <f>SUMPRODUCT($B$9:$B$14,$R$9:$R$14)</f>
        <v/>
      </c>
    </row>
    <row r="27">
      <c r="A27" s="18" t="inlineStr">
        <is>
          <t>⑥ 主项总VL</t>
        </is>
      </c>
      <c r="B27" s="18" t="inlineStr">
        <is>
          <t>④+⑤</t>
        </is>
      </c>
      <c r="C27" s="19">
        <f>IFERROR(D22+D23,"")</f>
        <v/>
      </c>
    </row>
    <row r="28">
      <c r="A28" s="18" t="inlineStr">
        <is>
          <t>⑦ 辅助VL</t>
        </is>
      </c>
      <c r="B28" s="18" t="inlineStr">
        <is>
          <t>RDL/保加利亚</t>
        </is>
      </c>
      <c r="C28" s="19">
        <f>IFERROR(I15,"")</f>
        <v/>
      </c>
    </row>
    <row r="29">
      <c r="A29" s="18" t="inlineStr">
        <is>
          <t>⑧ 总外部负荷</t>
        </is>
      </c>
      <c r="B29" s="18" t="inlineStr">
        <is>
          <t>⑥+⑦(+负重跳)</t>
        </is>
      </c>
      <c r="C29" s="19">
        <f>IFERROR(F22+G22,"")</f>
        <v/>
      </c>
    </row>
    <row r="30">
      <c r="A30" s="18" t="inlineStr">
        <is>
          <t>⑨ sRPE load</t>
        </is>
      </c>
      <c r="B30" s="18" t="inlineStr">
        <is>
          <t>sRPE×时长</t>
        </is>
      </c>
      <c r="C30" s="19">
        <f>IFERROR(F17,"")</f>
        <v/>
      </c>
    </row>
    <row r="33">
      <c r="A33" s="5" t="inlineStr">
        <is>
          <t>P005 曾庆华  a=1.775 b=-0.00875 1RM=155</t>
        </is>
      </c>
    </row>
    <row r="34">
      <c r="A34" s="6" t="inlineStr">
        <is>
          <t>编号</t>
        </is>
      </c>
      <c r="B34" s="6" t="inlineStr">
        <is>
          <t>姓名</t>
        </is>
      </c>
      <c r="C34" s="6" t="inlineStr">
        <is>
          <t>身高</t>
        </is>
      </c>
      <c r="D34" s="6" t="inlineStr">
        <is>
          <t>1RM</t>
        </is>
      </c>
      <c r="E34" s="6" t="inlineStr">
        <is>
          <t>Hooper睡</t>
        </is>
      </c>
      <c r="F34" s="6" t="inlineStr">
        <is>
          <t>Hooper压</t>
        </is>
      </c>
      <c r="G34" s="6" t="inlineStr">
        <is>
          <t>Hooper疲</t>
        </is>
      </c>
      <c r="H34" s="6" t="inlineStr">
        <is>
          <t>Hooper酸</t>
        </is>
      </c>
      <c r="I34" s="6" t="inlineStr">
        <is>
          <t>H总</t>
        </is>
      </c>
      <c r="J34" s="6" t="inlineStr">
        <is>
          <t>不适?</t>
        </is>
      </c>
      <c r="K34" s="6" t="inlineStr">
        <is>
          <t>说明</t>
        </is>
      </c>
      <c r="L34" s="6" t="inlineStr">
        <is>
          <t>CMJ1</t>
        </is>
      </c>
      <c r="M34" s="6" t="inlineStr">
        <is>
          <t>CMJ2</t>
        </is>
      </c>
      <c r="N34" s="6" t="inlineStr">
        <is>
          <t>CMJ3</t>
        </is>
      </c>
      <c r="O34" s="6" t="inlineStr">
        <is>
          <t>CMJμ</t>
        </is>
      </c>
      <c r="P34" s="6" t="inlineStr">
        <is>
          <t>&lt;95%</t>
        </is>
      </c>
      <c r="Q34" s="6" t="inlineStr">
        <is>
          <t>减组</t>
        </is>
      </c>
      <c r="R34" s="6" t="inlineStr">
        <is>
          <t>组数</t>
        </is>
      </c>
      <c r="S34" s="6" t="inlineStr">
        <is>
          <t>a(V0)</t>
        </is>
      </c>
      <c r="T34" s="6" t="inlineStr">
        <is>
          <t>b</t>
        </is>
      </c>
      <c r="U34" s="6" t="inlineStr">
        <is>
          <t>等级</t>
        </is>
      </c>
      <c r="V34" s="6" t="inlineStr">
        <is>
          <t>预测起始</t>
        </is>
      </c>
    </row>
    <row r="35">
      <c r="A35" s="7" t="inlineStr">
        <is>
          <t>P005</t>
        </is>
      </c>
      <c r="B35" s="7" t="inlineStr">
        <is>
          <t>曾庆华</t>
        </is>
      </c>
      <c r="C35" s="7" t="n">
        <v>177</v>
      </c>
      <c r="D35" s="8" t="n">
        <v>155</v>
      </c>
      <c r="E35" s="9" t="n"/>
      <c r="F35" s="9" t="n"/>
      <c r="G35" s="9" t="n"/>
      <c r="H35" s="9" t="n"/>
      <c r="I35" s="7">
        <f>IFERROR(SUM(E35:H35),"")</f>
        <v/>
      </c>
      <c r="J35" s="9" t="n"/>
      <c r="K35" s="9" t="n"/>
      <c r="L35" s="9" t="n"/>
      <c r="M35" s="9" t="n"/>
      <c r="N35" s="9" t="n"/>
      <c r="O35" s="7">
        <f>IFERROR(AVERAGE(L35:N35),"")</f>
        <v/>
      </c>
      <c r="P35" s="7">
        <f>IF(O35="","",IF(O35&lt;57.57,"是⚠","否"))</f>
        <v/>
      </c>
      <c r="Q35" s="7">
        <f>IF(O35="","",IF(O35&lt;57.57,5-1,5))</f>
        <v/>
      </c>
      <c r="R35" s="7" t="n"/>
      <c r="S35" s="8" t="n">
        <v>1.775</v>
      </c>
      <c r="T35" s="8" t="n">
        <v>-0.008750000000000001</v>
      </c>
      <c r="U35" s="7" t="inlineStr">
        <is>
          <t>B</t>
        </is>
      </c>
      <c r="V35" s="8" t="n">
        <v>122.5</v>
      </c>
    </row>
    <row r="36">
      <c r="A36" s="10" t="inlineStr">
        <is>
          <t>热身校准</t>
        </is>
      </c>
      <c r="B36" s="10" t="inlineStr">
        <is>
          <t>a</t>
        </is>
      </c>
      <c r="C36" s="10" t="inlineStr">
        <is>
          <t>b</t>
        </is>
      </c>
      <c r="D36" s="10" t="inlineStr">
        <is>
          <t>50%热身</t>
        </is>
      </c>
      <c r="E36" s="10" t="inlineStr">
        <is>
          <t>70%热身</t>
        </is>
      </c>
      <c r="F36" s="10" t="inlineStr">
        <is>
          <t>热身负荷</t>
        </is>
      </c>
      <c r="G36" s="10" t="inlineStr">
        <is>
          <t>实测MCV</t>
        </is>
      </c>
      <c r="H36" s="10" t="inlineStr">
        <is>
          <t>预测MCV</t>
        </is>
      </c>
      <c r="I36" s="10" t="inlineStr">
        <is>
          <t>Δv</t>
        </is>
      </c>
      <c r="J36" s="10" t="inlineStr">
        <is>
          <t>调整量</t>
        </is>
      </c>
      <c r="K36" s="10" t="inlineStr">
        <is>
          <t>校准第1组</t>
        </is>
      </c>
    </row>
    <row r="37">
      <c r="A37" s="7" t="n"/>
      <c r="B37" s="11" t="n">
        <v>1.775</v>
      </c>
      <c r="C37" s="11" t="n">
        <v>-0.008750000000000001</v>
      </c>
      <c r="D37" s="11">
        <f>IFERROR(ROUND(V35*0.5/2.5,0)*2.5,"")</f>
        <v/>
      </c>
      <c r="E37" s="11" t="inlineStr"/>
      <c r="F37" s="11">
        <f>IFERROR(ROUND(V35*0.5/2.5,0)*2.5,"")</f>
        <v/>
      </c>
      <c r="G37" s="9" t="n"/>
      <c r="H37" s="11">
        <f>IFERROR(B37+C37*F37,"")</f>
        <v/>
      </c>
      <c r="I37" s="11">
        <f>IFERROR(G37-H37,"")</f>
        <v/>
      </c>
      <c r="J37" s="11">
        <f>IFERROR(IF(I37&gt;0.08,5,IF(I37&gt;0.04,2.5,IF(I37&gt;=-0.04,0,IF(I37&gt;=-0.08,-2.5,-5)))),"")</f>
        <v/>
      </c>
      <c r="K37" s="11">
        <f>IFERROR(ROUND(V35+J37,0),"")</f>
        <v/>
      </c>
    </row>
    <row r="38">
      <c r="A38" s="12" t="inlineStr">
        <is>
          <t>组</t>
        </is>
      </c>
      <c r="B38" s="12" t="inlineStr">
        <is>
          <t>负荷</t>
        </is>
      </c>
      <c r="C38" s="12" t="inlineStr">
        <is>
          <t>rep1</t>
        </is>
      </c>
      <c r="D38" s="12" t="inlineStr">
        <is>
          <t>rep2</t>
        </is>
      </c>
      <c r="E38" s="12" t="inlineStr">
        <is>
          <t>rep3</t>
        </is>
      </c>
      <c r="F38" s="12" t="inlineStr">
        <is>
          <t>rep4</t>
        </is>
      </c>
      <c r="G38" s="12" t="inlineStr">
        <is>
          <t>rep5</t>
        </is>
      </c>
      <c r="H38" s="12" t="inlineStr">
        <is>
          <t>rep6</t>
        </is>
      </c>
      <c r="I38" s="12" t="inlineStr">
        <is>
          <t>best</t>
        </is>
      </c>
      <c r="J38" s="12" t="inlineStr">
        <is>
          <t>best#</t>
        </is>
      </c>
      <c r="K38" s="12" t="inlineStr">
        <is>
          <t>VL%</t>
        </is>
      </c>
      <c r="L38" s="12" t="inlineStr">
        <is>
          <t>stop_th</t>
        </is>
      </c>
      <c r="M38" s="12" t="inlineStr">
        <is>
          <t>latest</t>
        </is>
      </c>
      <c r="N38" s="12" t="inlineStr">
        <is>
          <t>VL_flag</t>
        </is>
      </c>
      <c r="O38" s="12" t="inlineStr">
        <is>
          <t>safety</t>
        </is>
      </c>
      <c r="P38" s="12" t="inlineStr">
        <is>
          <t>原因</t>
        </is>
      </c>
      <c r="Q38" s="12" t="inlineStr">
        <is>
          <t>建议</t>
        </is>
      </c>
      <c r="R38" s="12" t="inlineStr">
        <is>
          <t>次数</t>
        </is>
      </c>
    </row>
    <row r="39">
      <c r="A39" s="7" t="n">
        <v>1</v>
      </c>
      <c r="B39" s="9">
        <f>IFERROR(K37,"")</f>
        <v/>
      </c>
      <c r="C39" s="9" t="n"/>
      <c r="D39" s="9" t="n"/>
      <c r="E39" s="9" t="n"/>
      <c r="F39" s="9" t="n"/>
      <c r="G39" s="9" t="n"/>
      <c r="H39" s="9" t="n"/>
      <c r="I39" s="7">
        <f>IFERROR(MAX(C39:H39),"")</f>
        <v/>
      </c>
      <c r="J39" s="7">
        <f>IFERROR(MATCH(I39,C39:H39,0),"")</f>
        <v/>
      </c>
      <c r="K39" s="7" t="n">
        <v>15</v>
      </c>
      <c r="L39" s="7">
        <f>IFERROR(I39*(1-(K39/100)),"")</f>
        <v/>
      </c>
      <c r="M39" s="7">
        <f>IFERROR(LOOKUP(9.99E+307,C39:H39),"")</f>
        <v/>
      </c>
      <c r="N39" s="7">
        <f>IFERROR(IF(M39="","",IF(M39&lt;=N39,"停组🛑","继续✓")),"")</f>
        <v/>
      </c>
      <c r="O39" s="7">
        <f>IFERROR(IF(M39="","",IF(M39&lt;0.15,"SAFETY_STOP","")),"")</f>
        <v/>
      </c>
      <c r="P39" s="7">
        <f>IFERROR(IF(M39="","",IF(M39&lt;0.15,"SAFETY_STOP",IF(M39&lt;=N39,"VL_THRESHOLD",""))),"")</f>
        <v/>
      </c>
      <c r="Q39" s="7">
        <f>IFERROR(IF(I39="","",IF(I39&gt;(0.7+0.05),"+5kg",IF(I39&gt;(0.7+0.02),"+2.5kg",IF(I39&gt;=(0.7-0.05),"保持",IF(I39&gt;=(0.7-0.08),"-2.5kg","-5kg"))))),"")</f>
        <v/>
      </c>
      <c r="R39" s="9" t="n"/>
    </row>
    <row r="40">
      <c r="A40" s="7" t="n">
        <v>2</v>
      </c>
      <c r="B40" s="9" t="n"/>
      <c r="C40" s="9" t="n"/>
      <c r="D40" s="9" t="n"/>
      <c r="E40" s="9" t="n"/>
      <c r="F40" s="9" t="n"/>
      <c r="G40" s="9" t="n"/>
      <c r="H40" s="9" t="n"/>
      <c r="I40" s="7">
        <f>IFERROR(MAX(C40:H40),"")</f>
        <v/>
      </c>
      <c r="J40" s="7">
        <f>IFERROR(MATCH(I40,C40:H40,0),"")</f>
        <v/>
      </c>
      <c r="K40" s="7" t="n">
        <v>15</v>
      </c>
      <c r="L40" s="7">
        <f>IFERROR(I40*(1-(K40/100)),"")</f>
        <v/>
      </c>
      <c r="M40" s="7">
        <f>IFERROR(LOOKUP(9.99E+307,C40:H40),"")</f>
        <v/>
      </c>
      <c r="N40" s="7">
        <f>IFERROR(IF(M40="","",IF(M40&lt;=N40,"停组🛑","继续✓")),"")</f>
        <v/>
      </c>
      <c r="O40" s="7">
        <f>IFERROR(IF(M40="","",IF(M40&lt;0.15,"SAFETY_STOP","")),"")</f>
        <v/>
      </c>
      <c r="P40" s="7">
        <f>IFERROR(IF(M40="","",IF(M40&lt;0.15,"SAFETY_STOP",IF(M40&lt;=N40,"VL_THRESHOLD",""))),"")</f>
        <v/>
      </c>
      <c r="Q40" s="7">
        <f>IFERROR(IF(I40="","",IF(I40&gt;(0.7+0.05),"+5kg",IF(I40&gt;(0.7+0.02),"+2.5kg",IF(I40&gt;=(0.7-0.05),"保持",IF(I40&gt;=(0.7-0.08),"-2.5kg","-5kg"))))),"")</f>
        <v/>
      </c>
      <c r="R40" s="9" t="n"/>
    </row>
    <row r="41">
      <c r="A41" s="7" t="n">
        <v>3</v>
      </c>
      <c r="B41" s="9" t="n"/>
      <c r="C41" s="9" t="n"/>
      <c r="D41" s="9" t="n"/>
      <c r="E41" s="9" t="n"/>
      <c r="F41" s="9" t="n"/>
      <c r="G41" s="9" t="n"/>
      <c r="H41" s="9" t="n"/>
      <c r="I41" s="7">
        <f>IFERROR(MAX(C41:H41),"")</f>
        <v/>
      </c>
      <c r="J41" s="7">
        <f>IFERROR(MATCH(I41,C41:H41,0),"")</f>
        <v/>
      </c>
      <c r="K41" s="7" t="n">
        <v>15</v>
      </c>
      <c r="L41" s="7">
        <f>IFERROR(I41*(1-(K41/100)),"")</f>
        <v/>
      </c>
      <c r="M41" s="7">
        <f>IFERROR(LOOKUP(9.99E+307,C41:H41),"")</f>
        <v/>
      </c>
      <c r="N41" s="7">
        <f>IFERROR(IF(M41="","",IF(M41&lt;=N41,"停组🛑","继续✓")),"")</f>
        <v/>
      </c>
      <c r="O41" s="7">
        <f>IFERROR(IF(M41="","",IF(M41&lt;0.15,"SAFETY_STOP","")),"")</f>
        <v/>
      </c>
      <c r="P41" s="7">
        <f>IFERROR(IF(M41="","",IF(M41&lt;0.15,"SAFETY_STOP",IF(M41&lt;=N41,"VL_THRESHOLD",""))),"")</f>
        <v/>
      </c>
      <c r="Q41" s="7">
        <f>IFERROR(IF(I41="","",IF(I41&gt;(0.7+0.05),"+5kg",IF(I41&gt;(0.7+0.02),"+2.5kg",IF(I41&gt;=(0.7-0.05),"保持",IF(I41&gt;=(0.7-0.08),"-2.5kg","-5kg"))))),"")</f>
        <v/>
      </c>
      <c r="R41" s="9" t="n"/>
    </row>
    <row r="42">
      <c r="A42" s="7" t="n">
        <v>4</v>
      </c>
      <c r="B42" s="9" t="n"/>
      <c r="C42" s="9" t="n"/>
      <c r="D42" s="9" t="n"/>
      <c r="E42" s="9" t="n"/>
      <c r="F42" s="9" t="n"/>
      <c r="G42" s="9" t="n"/>
      <c r="H42" s="9" t="n"/>
      <c r="I42" s="7">
        <f>IFERROR(MAX(C42:H42),"")</f>
        <v/>
      </c>
      <c r="J42" s="7">
        <f>IFERROR(MATCH(I42,C42:H42,0),"")</f>
        <v/>
      </c>
      <c r="K42" s="7" t="n">
        <v>15</v>
      </c>
      <c r="L42" s="7">
        <f>IFERROR(I42*(1-(K42/100)),"")</f>
        <v/>
      </c>
      <c r="M42" s="7">
        <f>IFERROR(LOOKUP(9.99E+307,C42:H42),"")</f>
        <v/>
      </c>
      <c r="N42" s="7">
        <f>IFERROR(IF(M42="","",IF(M42&lt;=N42,"停组🛑","继续✓")),"")</f>
        <v/>
      </c>
      <c r="O42" s="7">
        <f>IFERROR(IF(M42="","",IF(M42&lt;0.15,"SAFETY_STOP","")),"")</f>
        <v/>
      </c>
      <c r="P42" s="7">
        <f>IFERROR(IF(M42="","",IF(M42&lt;0.15,"SAFETY_STOP",IF(M42&lt;=N42,"VL_THRESHOLD",""))),"")</f>
        <v/>
      </c>
      <c r="Q42" s="7">
        <f>IFERROR(IF(I42="","",IF(I42&gt;(0.7+0.05),"+5kg",IF(I42&gt;(0.7+0.02),"+2.5kg",IF(I42&gt;=(0.7-0.05),"保持",IF(I42&gt;=(0.7-0.08),"-2.5kg","-5kg"))))),"")</f>
        <v/>
      </c>
      <c r="R42" s="9" t="n"/>
    </row>
    <row r="43">
      <c r="A43" s="7" t="n">
        <v>5</v>
      </c>
      <c r="B43" s="9" t="n"/>
      <c r="C43" s="9" t="n"/>
      <c r="D43" s="9" t="n"/>
      <c r="E43" s="9" t="n"/>
      <c r="F43" s="9" t="n"/>
      <c r="G43" s="9" t="n"/>
      <c r="H43" s="9" t="n"/>
      <c r="I43" s="7">
        <f>IFERROR(MAX(C43:H43),"")</f>
        <v/>
      </c>
      <c r="J43" s="7">
        <f>IFERROR(MATCH(I43,C43:H43,0),"")</f>
        <v/>
      </c>
      <c r="K43" s="7" t="n">
        <v>15</v>
      </c>
      <c r="L43" s="7">
        <f>IFERROR(I43*(1-(K43/100)),"")</f>
        <v/>
      </c>
      <c r="M43" s="7">
        <f>IFERROR(LOOKUP(9.99E+307,C43:H43),"")</f>
        <v/>
      </c>
      <c r="N43" s="7">
        <f>IFERROR(IF(M43="","",IF(M43&lt;=N43,"停组🛑","继续✓")),"")</f>
        <v/>
      </c>
      <c r="O43" s="7">
        <f>IFERROR(IF(M43="","",IF(M43&lt;0.15,"SAFETY_STOP","")),"")</f>
        <v/>
      </c>
      <c r="P43" s="7">
        <f>IFERROR(IF(M43="","",IF(M43&lt;0.15,"SAFETY_STOP",IF(M43&lt;=N43,"VL_THRESHOLD",""))),"")</f>
        <v/>
      </c>
      <c r="Q43" s="7">
        <f>IFERROR(IF(I43="","",IF(I43&gt;(0.7+0.05),"+5kg",IF(I43&gt;(0.7+0.02),"+2.5kg",IF(I43&gt;=(0.7-0.05),"保持",IF(I43&gt;=(0.7-0.08),"-2.5kg","-5kg"))))),"")</f>
        <v/>
      </c>
      <c r="R43" s="9" t="n"/>
    </row>
    <row r="44">
      <c r="A44" s="7" t="n">
        <v>6</v>
      </c>
      <c r="B44" s="9" t="n"/>
      <c r="C44" s="9" t="n"/>
      <c r="D44" s="9" t="n"/>
      <c r="E44" s="9" t="n"/>
      <c r="F44" s="9" t="n"/>
      <c r="G44" s="9" t="n"/>
      <c r="H44" s="9" t="n"/>
      <c r="I44" s="7">
        <f>IFERROR(MAX(C44:H44),"")</f>
        <v/>
      </c>
      <c r="J44" s="7">
        <f>IFERROR(MATCH(I44,C44:H44,0),"")</f>
        <v/>
      </c>
      <c r="K44" s="7" t="n">
        <v>15</v>
      </c>
      <c r="L44" s="7">
        <f>IFERROR(I44*(1-(K44/100)),"")</f>
        <v/>
      </c>
      <c r="M44" s="7">
        <f>IFERROR(LOOKUP(9.99E+307,C44:H44),"")</f>
        <v/>
      </c>
      <c r="N44" s="7">
        <f>IFERROR(IF(M44="","",IF(M44&lt;=N44,"停组🛑","继续✓")),"")</f>
        <v/>
      </c>
      <c r="O44" s="7">
        <f>IFERROR(IF(M44="","",IF(M44&lt;0.15,"SAFETY_STOP","")),"")</f>
        <v/>
      </c>
      <c r="P44" s="7">
        <f>IFERROR(IF(M44="","",IF(M44&lt;0.15,"SAFETY_STOP",IF(M44&lt;=N44,"VL_THRESHOLD",""))),"")</f>
        <v/>
      </c>
      <c r="Q44" s="7">
        <f>IFERROR(IF(I44="","",IF(I44&gt;(0.7+0.05),"+5kg",IF(I44&gt;(0.7+0.02),"+2.5kg",IF(I44&gt;=(0.7-0.05),"保持",IF(I44&gt;=(0.7-0.08),"-2.5kg","-5kg"))))),"")</f>
        <v/>
      </c>
      <c r="R44" s="9" t="n"/>
    </row>
    <row r="45">
      <c r="A45" s="13" t="inlineStr">
        <is>
          <t>辅助</t>
        </is>
      </c>
      <c r="D45" s="14" t="inlineStr">
        <is>
          <t>保加利亚单腿蹲</t>
        </is>
      </c>
      <c r="E45" s="14" t="inlineStr">
        <is>
          <t>负荷</t>
        </is>
      </c>
      <c r="F45" s="14" t="inlineStr">
        <is>
          <t>完成</t>
        </is>
      </c>
      <c r="I45" t="inlineStr">
        <is>
          <t>VL</t>
        </is>
      </c>
    </row>
    <row r="46">
      <c r="A46" s="15" t="inlineStr">
        <is>
          <t>训练后</t>
        </is>
      </c>
      <c r="B46" s="15" t="inlineStr">
        <is>
          <t>开始</t>
        </is>
      </c>
      <c r="C46" s="15" t="inlineStr">
        <is>
          <t>结束</t>
        </is>
      </c>
      <c r="D46" s="15" t="inlineStr">
        <is>
          <t>时长min</t>
        </is>
      </c>
      <c r="E46" s="15" t="inlineStr">
        <is>
          <t>sRPE</t>
        </is>
      </c>
      <c r="F46" s="15" t="inlineStr">
        <is>
          <t>load</t>
        </is>
      </c>
      <c r="G46" s="15" t="inlineStr">
        <is>
          <t>不适?</t>
        </is>
      </c>
      <c r="H46" s="15" t="inlineStr">
        <is>
          <t>备注</t>
        </is>
      </c>
      <c r="I46" s="15" t="inlineStr">
        <is>
          <t>签名</t>
        </is>
      </c>
    </row>
    <row r="47">
      <c r="A47" s="7" t="n"/>
      <c r="B47" s="9" t="n"/>
      <c r="C47" s="9" t="n"/>
      <c r="D47" s="11">
        <f>IFERROR((C47-B47)*1440,"")</f>
        <v/>
      </c>
      <c r="E47" s="9" t="n"/>
      <c r="F47" s="11">
        <f>IFERROR(E47*D47,"")</f>
        <v/>
      </c>
      <c r="G47" s="9" t="n"/>
      <c r="H47" s="9" t="n"/>
      <c r="I47" s="9" t="n"/>
    </row>
    <row r="48">
      <c r="A48" s="16" t="inlineStr">
        <is>
          <t>跳跃</t>
        </is>
      </c>
      <c r="B48" s="16" t="inlineStr">
        <is>
          <t>类型</t>
        </is>
      </c>
      <c r="C48" s="16" t="inlineStr">
        <is>
          <t>组×次</t>
        </is>
      </c>
      <c r="D48" s="16" t="inlineStr">
        <is>
          <t>负荷kg</t>
        </is>
      </c>
      <c r="E48" s="16" t="inlineStr">
        <is>
          <t>接触</t>
        </is>
      </c>
    </row>
    <row r="49">
      <c r="B49" t="inlineStr">
        <is>
          <t>SJ</t>
        </is>
      </c>
      <c r="C49" t="inlineStr">
        <is>
          <t>3×3</t>
        </is>
      </c>
      <c r="D49" t="n">
        <v>0</v>
      </c>
      <c r="E49" t="n">
        <v>9</v>
      </c>
    </row>
    <row r="50">
      <c r="B50" t="inlineStr">
        <is>
          <t>负重跳</t>
        </is>
      </c>
      <c r="C50" t="inlineStr">
        <is>
          <t>3×5</t>
        </is>
      </c>
      <c r="D50" s="14" t="n"/>
      <c r="E50" s="14" t="n"/>
    </row>
    <row r="51">
      <c r="A51" s="17" t="inlineStr">
        <is>
          <t>▶ 暴露量汇总</t>
        </is>
      </c>
      <c r="B51" s="17" t="inlineStr">
        <is>
          <t>说明</t>
        </is>
      </c>
      <c r="C51" s="17" t="inlineStr">
        <is>
          <t>公式/来源</t>
        </is>
      </c>
      <c r="D51" s="17" t="inlineStr">
        <is>
          <t>数值</t>
        </is>
      </c>
    </row>
    <row r="52">
      <c r="A52" s="18" t="inlineStr">
        <is>
          <t>① 无负荷跳跃接触</t>
        </is>
      </c>
      <c r="B52" s="18" t="inlineStr">
        <is>
          <t>CMJ+SJ+箱跳</t>
        </is>
      </c>
      <c r="C52" s="19">
        <f>IFERROR(E49+E50,2)</f>
        <v/>
      </c>
    </row>
    <row r="53">
      <c r="A53" s="18" t="inlineStr">
        <is>
          <t>② 负重跳跃接触</t>
        </is>
      </c>
      <c r="B53" s="18" t="inlineStr">
        <is>
          <t>负重深蹲跳</t>
        </is>
      </c>
      <c r="C53" s="19">
        <f>IFERROR(E50,"")</f>
        <v/>
      </c>
    </row>
    <row r="54">
      <c r="A54" s="18" t="inlineStr">
        <is>
          <t>③ 跳跃总计</t>
        </is>
      </c>
      <c r="B54" s="18" t="inlineStr">
        <is>
          <t>①+②</t>
        </is>
      </c>
      <c r="C54" s="19">
        <f>IFERROR(B52+B53,"")</f>
        <v/>
      </c>
    </row>
    <row r="55">
      <c r="A55" s="18" t="inlineStr">
        <is>
          <t>④ 热身VL</t>
        </is>
      </c>
      <c r="B55" s="18" t="inlineStr">
        <is>
          <t>20×5+50%×3(+70%×2)</t>
        </is>
      </c>
      <c r="C55" s="19">
        <f>IFERROR(20*5+ROUND(V35*0.5,0)*3,"-")</f>
        <v/>
      </c>
    </row>
    <row r="56">
      <c r="A56" s="20" t="inlineStr">
        <is>
          <t>⑤ 主项工作组VL ★</t>
        </is>
      </c>
      <c r="B56" s="20" t="inlineStr">
        <is>
          <t>Σ(负荷×次数)</t>
        </is>
      </c>
      <c r="C56" s="21">
        <f>SUMPRODUCT($B$39:$B$44,$R$39:$R$44)</f>
        <v/>
      </c>
    </row>
    <row r="57">
      <c r="A57" s="18" t="inlineStr">
        <is>
          <t>⑥ 主项总VL</t>
        </is>
      </c>
      <c r="B57" s="18" t="inlineStr">
        <is>
          <t>④+⑤</t>
        </is>
      </c>
      <c r="C57" s="19">
        <f>IFERROR(D52+D53,"")</f>
        <v/>
      </c>
    </row>
    <row r="58">
      <c r="A58" s="18" t="inlineStr">
        <is>
          <t>⑦ 辅助VL</t>
        </is>
      </c>
      <c r="B58" s="18" t="inlineStr">
        <is>
          <t>RDL/保加利亚</t>
        </is>
      </c>
      <c r="C58" s="19">
        <f>IFERROR(I45,"")</f>
        <v/>
      </c>
    </row>
    <row r="59">
      <c r="A59" s="18" t="inlineStr">
        <is>
          <t>⑧ 总外部负荷</t>
        </is>
      </c>
      <c r="B59" s="18" t="inlineStr">
        <is>
          <t>⑥+⑦(+负重跳)</t>
        </is>
      </c>
      <c r="C59" s="19">
        <f>IFERROR(F52+G52,"")</f>
        <v/>
      </c>
    </row>
    <row r="60">
      <c r="A60" s="18" t="inlineStr">
        <is>
          <t>⑨ sRPE load</t>
        </is>
      </c>
      <c r="B60" s="18" t="inlineStr">
        <is>
          <t>sRPE×时长</t>
        </is>
      </c>
      <c r="C60" s="19">
        <f>IFERROR(F47,"")</f>
        <v/>
      </c>
    </row>
    <row r="63">
      <c r="A63" s="5" t="inlineStr">
        <is>
          <t>P002 何天元  a=1.487 b=-0.0054 1RM=150</t>
        </is>
      </c>
    </row>
    <row r="64">
      <c r="A64" s="6" t="inlineStr">
        <is>
          <t>编号</t>
        </is>
      </c>
      <c r="B64" s="6" t="inlineStr">
        <is>
          <t>姓名</t>
        </is>
      </c>
      <c r="C64" s="6" t="inlineStr">
        <is>
          <t>身高</t>
        </is>
      </c>
      <c r="D64" s="6" t="inlineStr">
        <is>
          <t>1RM</t>
        </is>
      </c>
      <c r="E64" s="6" t="inlineStr">
        <is>
          <t>Hooper睡</t>
        </is>
      </c>
      <c r="F64" s="6" t="inlineStr">
        <is>
          <t>Hooper压</t>
        </is>
      </c>
      <c r="G64" s="6" t="inlineStr">
        <is>
          <t>Hooper疲</t>
        </is>
      </c>
      <c r="H64" s="6" t="inlineStr">
        <is>
          <t>Hooper酸</t>
        </is>
      </c>
      <c r="I64" s="6" t="inlineStr">
        <is>
          <t>H总</t>
        </is>
      </c>
      <c r="J64" s="6" t="inlineStr">
        <is>
          <t>不适?</t>
        </is>
      </c>
      <c r="K64" s="6" t="inlineStr">
        <is>
          <t>说明</t>
        </is>
      </c>
      <c r="L64" s="6" t="inlineStr">
        <is>
          <t>CMJ1</t>
        </is>
      </c>
      <c r="M64" s="6" t="inlineStr">
        <is>
          <t>CMJ2</t>
        </is>
      </c>
      <c r="N64" s="6" t="inlineStr">
        <is>
          <t>CMJ3</t>
        </is>
      </c>
      <c r="O64" s="6" t="inlineStr">
        <is>
          <t>CMJμ</t>
        </is>
      </c>
      <c r="P64" s="6" t="inlineStr">
        <is>
          <t>&lt;95%</t>
        </is>
      </c>
      <c r="Q64" s="6" t="inlineStr">
        <is>
          <t>减组</t>
        </is>
      </c>
      <c r="R64" s="6" t="inlineStr">
        <is>
          <t>组数</t>
        </is>
      </c>
      <c r="S64" s="6" t="inlineStr">
        <is>
          <t>a(V0)</t>
        </is>
      </c>
      <c r="T64" s="6" t="inlineStr">
        <is>
          <t>b</t>
        </is>
      </c>
      <c r="U64" s="6" t="inlineStr">
        <is>
          <t>等级</t>
        </is>
      </c>
      <c r="V64" s="6" t="inlineStr">
        <is>
          <t>预测起始</t>
        </is>
      </c>
    </row>
    <row r="65">
      <c r="A65" s="7" t="inlineStr">
        <is>
          <t>P002</t>
        </is>
      </c>
      <c r="B65" s="7" t="inlineStr">
        <is>
          <t>何天元</t>
        </is>
      </c>
      <c r="C65" s="7" t="n">
        <v>178</v>
      </c>
      <c r="D65" s="8" t="n">
        <v>150</v>
      </c>
      <c r="E65" s="9" t="n"/>
      <c r="F65" s="9" t="n"/>
      <c r="G65" s="9" t="n"/>
      <c r="H65" s="9" t="n"/>
      <c r="I65" s="7">
        <f>IFERROR(SUM(E65:H65),"")</f>
        <v/>
      </c>
      <c r="J65" s="9" t="n"/>
      <c r="K65" s="9" t="n"/>
      <c r="L65" s="9" t="n"/>
      <c r="M65" s="9" t="n"/>
      <c r="N65" s="9" t="n"/>
      <c r="O65" s="7">
        <f>IFERROR(AVERAGE(L65:N65),"")</f>
        <v/>
      </c>
      <c r="P65" s="7">
        <f>IF(O65="","",IF(O65&lt;60.54,"是⚠","否"))</f>
        <v/>
      </c>
      <c r="Q65" s="7">
        <f>IF(O65="","",IF(O65&lt;60.54,5-1,5))</f>
        <v/>
      </c>
      <c r="R65" s="7" t="n"/>
      <c r="S65" s="8" t="n">
        <v>1.487</v>
      </c>
      <c r="T65" s="8" t="n">
        <v>-0.0054</v>
      </c>
      <c r="U65" s="7" t="inlineStr">
        <is>
          <t>B</t>
        </is>
      </c>
      <c r="V65" s="8" t="n">
        <v>145</v>
      </c>
    </row>
    <row r="66">
      <c r="A66" s="10" t="inlineStr">
        <is>
          <t>热身校准</t>
        </is>
      </c>
      <c r="B66" s="10" t="inlineStr">
        <is>
          <t>a</t>
        </is>
      </c>
      <c r="C66" s="10" t="inlineStr">
        <is>
          <t>b</t>
        </is>
      </c>
      <c r="D66" s="10" t="inlineStr">
        <is>
          <t>50%热身</t>
        </is>
      </c>
      <c r="E66" s="10" t="inlineStr">
        <is>
          <t>70%热身</t>
        </is>
      </c>
      <c r="F66" s="10" t="inlineStr">
        <is>
          <t>热身负荷</t>
        </is>
      </c>
      <c r="G66" s="10" t="inlineStr">
        <is>
          <t>实测MCV</t>
        </is>
      </c>
      <c r="H66" s="10" t="inlineStr">
        <is>
          <t>预测MCV</t>
        </is>
      </c>
      <c r="I66" s="10" t="inlineStr">
        <is>
          <t>Δv</t>
        </is>
      </c>
      <c r="J66" s="10" t="inlineStr">
        <is>
          <t>调整量</t>
        </is>
      </c>
      <c r="K66" s="10" t="inlineStr">
        <is>
          <t>校准第1组</t>
        </is>
      </c>
    </row>
    <row r="67">
      <c r="A67" s="7" t="n"/>
      <c r="B67" s="11" t="n">
        <v>1.487</v>
      </c>
      <c r="C67" s="11" t="n">
        <v>-0.0054</v>
      </c>
      <c r="D67" s="11">
        <f>IFERROR(ROUND(V65*0.5/2.5,0)*2.5,"")</f>
        <v/>
      </c>
      <c r="E67" s="11" t="inlineStr"/>
      <c r="F67" s="11">
        <f>IFERROR(ROUND(V65*0.5/2.5,0)*2.5,"")</f>
        <v/>
      </c>
      <c r="G67" s="9" t="n"/>
      <c r="H67" s="11">
        <f>IFERROR(B67+C67*F67,"")</f>
        <v/>
      </c>
      <c r="I67" s="11">
        <f>IFERROR(G67-H67,"")</f>
        <v/>
      </c>
      <c r="J67" s="11">
        <f>IFERROR(IF(I67&gt;0.08,5,IF(I67&gt;0.04,2.5,IF(I67&gt;=-0.04,0,IF(I67&gt;=-0.08,-2.5,-5)))),"")</f>
        <v/>
      </c>
      <c r="K67" s="11">
        <f>IFERROR(ROUND(V65+J67,0),"")</f>
        <v/>
      </c>
    </row>
    <row r="68">
      <c r="A68" s="12" t="inlineStr">
        <is>
          <t>组</t>
        </is>
      </c>
      <c r="B68" s="12" t="inlineStr">
        <is>
          <t>负荷</t>
        </is>
      </c>
      <c r="C68" s="12" t="inlineStr">
        <is>
          <t>rep1</t>
        </is>
      </c>
      <c r="D68" s="12" t="inlineStr">
        <is>
          <t>rep2</t>
        </is>
      </c>
      <c r="E68" s="12" t="inlineStr">
        <is>
          <t>rep3</t>
        </is>
      </c>
      <c r="F68" s="12" t="inlineStr">
        <is>
          <t>rep4</t>
        </is>
      </c>
      <c r="G68" s="12" t="inlineStr">
        <is>
          <t>rep5</t>
        </is>
      </c>
      <c r="H68" s="12" t="inlineStr">
        <is>
          <t>rep6</t>
        </is>
      </c>
      <c r="I68" s="12" t="inlineStr">
        <is>
          <t>best</t>
        </is>
      </c>
      <c r="J68" s="12" t="inlineStr">
        <is>
          <t>best#</t>
        </is>
      </c>
      <c r="K68" s="12" t="inlineStr">
        <is>
          <t>VL%</t>
        </is>
      </c>
      <c r="L68" s="12" t="inlineStr">
        <is>
          <t>stop_th</t>
        </is>
      </c>
      <c r="M68" s="12" t="inlineStr">
        <is>
          <t>latest</t>
        </is>
      </c>
      <c r="N68" s="12" t="inlineStr">
        <is>
          <t>VL_flag</t>
        </is>
      </c>
      <c r="O68" s="12" t="inlineStr">
        <is>
          <t>safety</t>
        </is>
      </c>
      <c r="P68" s="12" t="inlineStr">
        <is>
          <t>原因</t>
        </is>
      </c>
      <c r="Q68" s="12" t="inlineStr">
        <is>
          <t>建议</t>
        </is>
      </c>
      <c r="R68" s="12" t="inlineStr">
        <is>
          <t>次数</t>
        </is>
      </c>
    </row>
    <row r="69">
      <c r="A69" s="7" t="n">
        <v>1</v>
      </c>
      <c r="B69" s="9">
        <f>IFERROR(K67,"")</f>
        <v/>
      </c>
      <c r="C69" s="9" t="n"/>
      <c r="D69" s="9" t="n"/>
      <c r="E69" s="9" t="n"/>
      <c r="F69" s="9" t="n"/>
      <c r="G69" s="9" t="n"/>
      <c r="H69" s="9" t="n"/>
      <c r="I69" s="7">
        <f>IFERROR(MAX(C69:H69),"")</f>
        <v/>
      </c>
      <c r="J69" s="7">
        <f>IFERROR(MATCH(I69,C69:H69,0),"")</f>
        <v/>
      </c>
      <c r="K69" s="7" t="n">
        <v>15</v>
      </c>
      <c r="L69" s="7">
        <f>IFERROR(I69*(1-(K69/100)),"")</f>
        <v/>
      </c>
      <c r="M69" s="7">
        <f>IFERROR(LOOKUP(9.99E+307,C69:H69),"")</f>
        <v/>
      </c>
      <c r="N69" s="7">
        <f>IFERROR(IF(M69="","",IF(M69&lt;=N69,"停组🛑","继续✓")),"")</f>
        <v/>
      </c>
      <c r="O69" s="7">
        <f>IFERROR(IF(M69="","",IF(M69&lt;0.15,"SAFETY_STOP","")),"")</f>
        <v/>
      </c>
      <c r="P69" s="7">
        <f>IFERROR(IF(M69="","",IF(M69&lt;0.15,"SAFETY_STOP",IF(M69&lt;=N69,"VL_THRESHOLD",""))),"")</f>
        <v/>
      </c>
      <c r="Q69" s="7">
        <f>IFERROR(IF(I69="","",IF(I69&gt;(0.7+0.05),"+5kg",IF(I69&gt;(0.7+0.02),"+2.5kg",IF(I69&gt;=(0.7-0.05),"保持",IF(I69&gt;=(0.7-0.08),"-2.5kg","-5kg"))))),"")</f>
        <v/>
      </c>
      <c r="R69" s="9" t="n"/>
    </row>
    <row r="70">
      <c r="A70" s="7" t="n">
        <v>2</v>
      </c>
      <c r="B70" s="9" t="n"/>
      <c r="C70" s="9" t="n"/>
      <c r="D70" s="9" t="n"/>
      <c r="E70" s="9" t="n"/>
      <c r="F70" s="9" t="n"/>
      <c r="G70" s="9" t="n"/>
      <c r="H70" s="9" t="n"/>
      <c r="I70" s="7">
        <f>IFERROR(MAX(C70:H70),"")</f>
        <v/>
      </c>
      <c r="J70" s="7">
        <f>IFERROR(MATCH(I70,C70:H70,0),"")</f>
        <v/>
      </c>
      <c r="K70" s="7" t="n">
        <v>15</v>
      </c>
      <c r="L70" s="7">
        <f>IFERROR(I70*(1-(K70/100)),"")</f>
        <v/>
      </c>
      <c r="M70" s="7">
        <f>IFERROR(LOOKUP(9.99E+307,C70:H70),"")</f>
        <v/>
      </c>
      <c r="N70" s="7">
        <f>IFERROR(IF(M70="","",IF(M70&lt;=N70,"停组🛑","继续✓")),"")</f>
        <v/>
      </c>
      <c r="O70" s="7">
        <f>IFERROR(IF(M70="","",IF(M70&lt;0.15,"SAFETY_STOP","")),"")</f>
        <v/>
      </c>
      <c r="P70" s="7">
        <f>IFERROR(IF(M70="","",IF(M70&lt;0.15,"SAFETY_STOP",IF(M70&lt;=N70,"VL_THRESHOLD",""))),"")</f>
        <v/>
      </c>
      <c r="Q70" s="7">
        <f>IFERROR(IF(I70="","",IF(I70&gt;(0.7+0.05),"+5kg",IF(I70&gt;(0.7+0.02),"+2.5kg",IF(I70&gt;=(0.7-0.05),"保持",IF(I70&gt;=(0.7-0.08),"-2.5kg","-5kg"))))),"")</f>
        <v/>
      </c>
      <c r="R70" s="9" t="n"/>
    </row>
    <row r="71">
      <c r="A71" s="7" t="n">
        <v>3</v>
      </c>
      <c r="B71" s="9" t="n"/>
      <c r="C71" s="9" t="n"/>
      <c r="D71" s="9" t="n"/>
      <c r="E71" s="9" t="n"/>
      <c r="F71" s="9" t="n"/>
      <c r="G71" s="9" t="n"/>
      <c r="H71" s="9" t="n"/>
      <c r="I71" s="7">
        <f>IFERROR(MAX(C71:H71),"")</f>
        <v/>
      </c>
      <c r="J71" s="7">
        <f>IFERROR(MATCH(I71,C71:H71,0),"")</f>
        <v/>
      </c>
      <c r="K71" s="7" t="n">
        <v>15</v>
      </c>
      <c r="L71" s="7">
        <f>IFERROR(I71*(1-(K71/100)),"")</f>
        <v/>
      </c>
      <c r="M71" s="7">
        <f>IFERROR(LOOKUP(9.99E+307,C71:H71),"")</f>
        <v/>
      </c>
      <c r="N71" s="7">
        <f>IFERROR(IF(M71="","",IF(M71&lt;=N71,"停组🛑","继续✓")),"")</f>
        <v/>
      </c>
      <c r="O71" s="7">
        <f>IFERROR(IF(M71="","",IF(M71&lt;0.15,"SAFETY_STOP","")),"")</f>
        <v/>
      </c>
      <c r="P71" s="7">
        <f>IFERROR(IF(M71="","",IF(M71&lt;0.15,"SAFETY_STOP",IF(M71&lt;=N71,"VL_THRESHOLD",""))),"")</f>
        <v/>
      </c>
      <c r="Q71" s="7">
        <f>IFERROR(IF(I71="","",IF(I71&gt;(0.7+0.05),"+5kg",IF(I71&gt;(0.7+0.02),"+2.5kg",IF(I71&gt;=(0.7-0.05),"保持",IF(I71&gt;=(0.7-0.08),"-2.5kg","-5kg"))))),"")</f>
        <v/>
      </c>
      <c r="R71" s="9" t="n"/>
    </row>
    <row r="72">
      <c r="A72" s="7" t="n">
        <v>4</v>
      </c>
      <c r="B72" s="9" t="n"/>
      <c r="C72" s="9" t="n"/>
      <c r="D72" s="9" t="n"/>
      <c r="E72" s="9" t="n"/>
      <c r="F72" s="9" t="n"/>
      <c r="G72" s="9" t="n"/>
      <c r="H72" s="9" t="n"/>
      <c r="I72" s="7">
        <f>IFERROR(MAX(C72:H72),"")</f>
        <v/>
      </c>
      <c r="J72" s="7">
        <f>IFERROR(MATCH(I72,C72:H72,0),"")</f>
        <v/>
      </c>
      <c r="K72" s="7" t="n">
        <v>15</v>
      </c>
      <c r="L72" s="7">
        <f>IFERROR(I72*(1-(K72/100)),"")</f>
        <v/>
      </c>
      <c r="M72" s="7">
        <f>IFERROR(LOOKUP(9.99E+307,C72:H72),"")</f>
        <v/>
      </c>
      <c r="N72" s="7">
        <f>IFERROR(IF(M72="","",IF(M72&lt;=N72,"停组🛑","继续✓")),"")</f>
        <v/>
      </c>
      <c r="O72" s="7">
        <f>IFERROR(IF(M72="","",IF(M72&lt;0.15,"SAFETY_STOP","")),"")</f>
        <v/>
      </c>
      <c r="P72" s="7">
        <f>IFERROR(IF(M72="","",IF(M72&lt;0.15,"SAFETY_STOP",IF(M72&lt;=N72,"VL_THRESHOLD",""))),"")</f>
        <v/>
      </c>
      <c r="Q72" s="7">
        <f>IFERROR(IF(I72="","",IF(I72&gt;(0.7+0.05),"+5kg",IF(I72&gt;(0.7+0.02),"+2.5kg",IF(I72&gt;=(0.7-0.05),"保持",IF(I72&gt;=(0.7-0.08),"-2.5kg","-5kg"))))),"")</f>
        <v/>
      </c>
      <c r="R72" s="9" t="n"/>
    </row>
    <row r="73">
      <c r="A73" s="7" t="n">
        <v>5</v>
      </c>
      <c r="B73" s="9" t="n"/>
      <c r="C73" s="9" t="n"/>
      <c r="D73" s="9" t="n"/>
      <c r="E73" s="9" t="n"/>
      <c r="F73" s="9" t="n"/>
      <c r="G73" s="9" t="n"/>
      <c r="H73" s="9" t="n"/>
      <c r="I73" s="7">
        <f>IFERROR(MAX(C73:H73),"")</f>
        <v/>
      </c>
      <c r="J73" s="7">
        <f>IFERROR(MATCH(I73,C73:H73,0),"")</f>
        <v/>
      </c>
      <c r="K73" s="7" t="n">
        <v>15</v>
      </c>
      <c r="L73" s="7">
        <f>IFERROR(I73*(1-(K73/100)),"")</f>
        <v/>
      </c>
      <c r="M73" s="7">
        <f>IFERROR(LOOKUP(9.99E+307,C73:H73),"")</f>
        <v/>
      </c>
      <c r="N73" s="7">
        <f>IFERROR(IF(M73="","",IF(M73&lt;=N73,"停组🛑","继续✓")),"")</f>
        <v/>
      </c>
      <c r="O73" s="7">
        <f>IFERROR(IF(M73="","",IF(M73&lt;0.15,"SAFETY_STOP","")),"")</f>
        <v/>
      </c>
      <c r="P73" s="7">
        <f>IFERROR(IF(M73="","",IF(M73&lt;0.15,"SAFETY_STOP",IF(M73&lt;=N73,"VL_THRESHOLD",""))),"")</f>
        <v/>
      </c>
      <c r="Q73" s="7">
        <f>IFERROR(IF(I73="","",IF(I73&gt;(0.7+0.05),"+5kg",IF(I73&gt;(0.7+0.02),"+2.5kg",IF(I73&gt;=(0.7-0.05),"保持",IF(I73&gt;=(0.7-0.08),"-2.5kg","-5kg"))))),"")</f>
        <v/>
      </c>
      <c r="R73" s="9" t="n"/>
    </row>
    <row r="74">
      <c r="A74" s="7" t="n">
        <v>6</v>
      </c>
      <c r="B74" s="9" t="n"/>
      <c r="C74" s="9" t="n"/>
      <c r="D74" s="9" t="n"/>
      <c r="E74" s="9" t="n"/>
      <c r="F74" s="9" t="n"/>
      <c r="G74" s="9" t="n"/>
      <c r="H74" s="9" t="n"/>
      <c r="I74" s="7">
        <f>IFERROR(MAX(C74:H74),"")</f>
        <v/>
      </c>
      <c r="J74" s="7">
        <f>IFERROR(MATCH(I74,C74:H74,0),"")</f>
        <v/>
      </c>
      <c r="K74" s="7" t="n">
        <v>15</v>
      </c>
      <c r="L74" s="7">
        <f>IFERROR(I74*(1-(K74/100)),"")</f>
        <v/>
      </c>
      <c r="M74" s="7">
        <f>IFERROR(LOOKUP(9.99E+307,C74:H74),"")</f>
        <v/>
      </c>
      <c r="N74" s="7">
        <f>IFERROR(IF(M74="","",IF(M74&lt;=N74,"停组🛑","继续✓")),"")</f>
        <v/>
      </c>
      <c r="O74" s="7">
        <f>IFERROR(IF(M74="","",IF(M74&lt;0.15,"SAFETY_STOP","")),"")</f>
        <v/>
      </c>
      <c r="P74" s="7">
        <f>IFERROR(IF(M74="","",IF(M74&lt;0.15,"SAFETY_STOP",IF(M74&lt;=N74,"VL_THRESHOLD",""))),"")</f>
        <v/>
      </c>
      <c r="Q74" s="7">
        <f>IFERROR(IF(I74="","",IF(I74&gt;(0.7+0.05),"+5kg",IF(I74&gt;(0.7+0.02),"+2.5kg",IF(I74&gt;=(0.7-0.05),"保持",IF(I74&gt;=(0.7-0.08),"-2.5kg","-5kg"))))),"")</f>
        <v/>
      </c>
      <c r="R74" s="9" t="n"/>
    </row>
    <row r="75">
      <c r="A75" s="13" t="inlineStr">
        <is>
          <t>辅助</t>
        </is>
      </c>
      <c r="D75" s="14" t="inlineStr">
        <is>
          <t>保加利亚单腿蹲</t>
        </is>
      </c>
      <c r="E75" s="14" t="inlineStr">
        <is>
          <t>负荷</t>
        </is>
      </c>
      <c r="F75" s="14" t="inlineStr">
        <is>
          <t>完成</t>
        </is>
      </c>
      <c r="I75" t="inlineStr">
        <is>
          <t>VL</t>
        </is>
      </c>
    </row>
    <row r="76">
      <c r="A76" s="15" t="inlineStr">
        <is>
          <t>训练后</t>
        </is>
      </c>
      <c r="B76" s="15" t="inlineStr">
        <is>
          <t>开始</t>
        </is>
      </c>
      <c r="C76" s="15" t="inlineStr">
        <is>
          <t>结束</t>
        </is>
      </c>
      <c r="D76" s="15" t="inlineStr">
        <is>
          <t>时长min</t>
        </is>
      </c>
      <c r="E76" s="15" t="inlineStr">
        <is>
          <t>sRPE</t>
        </is>
      </c>
      <c r="F76" s="15" t="inlineStr">
        <is>
          <t>load</t>
        </is>
      </c>
      <c r="G76" s="15" t="inlineStr">
        <is>
          <t>不适?</t>
        </is>
      </c>
      <c r="H76" s="15" t="inlineStr">
        <is>
          <t>备注</t>
        </is>
      </c>
      <c r="I76" s="15" t="inlineStr">
        <is>
          <t>签名</t>
        </is>
      </c>
    </row>
    <row r="77">
      <c r="A77" s="7" t="n"/>
      <c r="B77" s="9" t="n"/>
      <c r="C77" s="9" t="n"/>
      <c r="D77" s="11">
        <f>IFERROR((C77-B77)*1440,"")</f>
        <v/>
      </c>
      <c r="E77" s="9" t="n"/>
      <c r="F77" s="11">
        <f>IFERROR(E77*D77,"")</f>
        <v/>
      </c>
      <c r="G77" s="9" t="n"/>
      <c r="H77" s="9" t="n"/>
      <c r="I77" s="9" t="n"/>
    </row>
    <row r="78">
      <c r="A78" s="16" t="inlineStr">
        <is>
          <t>跳跃</t>
        </is>
      </c>
      <c r="B78" s="16" t="inlineStr">
        <is>
          <t>类型</t>
        </is>
      </c>
      <c r="C78" s="16" t="inlineStr">
        <is>
          <t>组×次</t>
        </is>
      </c>
      <c r="D78" s="16" t="inlineStr">
        <is>
          <t>负荷kg</t>
        </is>
      </c>
      <c r="E78" s="16" t="inlineStr">
        <is>
          <t>接触</t>
        </is>
      </c>
    </row>
    <row r="79">
      <c r="B79" t="inlineStr">
        <is>
          <t>SJ</t>
        </is>
      </c>
      <c r="C79" t="inlineStr">
        <is>
          <t>3×3</t>
        </is>
      </c>
      <c r="D79" t="n">
        <v>0</v>
      </c>
      <c r="E79" t="n">
        <v>9</v>
      </c>
    </row>
    <row r="80">
      <c r="B80" t="inlineStr">
        <is>
          <t>负重跳</t>
        </is>
      </c>
      <c r="C80" t="inlineStr">
        <is>
          <t>3×5</t>
        </is>
      </c>
      <c r="D80" s="14" t="n"/>
      <c r="E80" s="14" t="n"/>
    </row>
    <row r="81">
      <c r="A81" s="17" t="inlineStr">
        <is>
          <t>▶ 暴露量汇总</t>
        </is>
      </c>
      <c r="B81" s="17" t="inlineStr">
        <is>
          <t>说明</t>
        </is>
      </c>
      <c r="C81" s="17" t="inlineStr">
        <is>
          <t>公式/来源</t>
        </is>
      </c>
      <c r="D81" s="17" t="inlineStr">
        <is>
          <t>数值</t>
        </is>
      </c>
    </row>
    <row r="82">
      <c r="A82" s="18" t="inlineStr">
        <is>
          <t>① 无负荷跳跃接触</t>
        </is>
      </c>
      <c r="B82" s="18" t="inlineStr">
        <is>
          <t>CMJ+SJ+箱跳</t>
        </is>
      </c>
      <c r="C82" s="19">
        <f>IFERROR(E79+E80,2)</f>
        <v/>
      </c>
    </row>
    <row r="83">
      <c r="A83" s="18" t="inlineStr">
        <is>
          <t>② 负重跳跃接触</t>
        </is>
      </c>
      <c r="B83" s="18" t="inlineStr">
        <is>
          <t>负重深蹲跳</t>
        </is>
      </c>
      <c r="C83" s="19">
        <f>IFERROR(E80,"")</f>
        <v/>
      </c>
    </row>
    <row r="84">
      <c r="A84" s="18" t="inlineStr">
        <is>
          <t>③ 跳跃总计</t>
        </is>
      </c>
      <c r="B84" s="18" t="inlineStr">
        <is>
          <t>①+②</t>
        </is>
      </c>
      <c r="C84" s="19">
        <f>IFERROR(B82+B83,"")</f>
        <v/>
      </c>
    </row>
    <row r="85">
      <c r="A85" s="18" t="inlineStr">
        <is>
          <t>④ 热身VL</t>
        </is>
      </c>
      <c r="B85" s="18" t="inlineStr">
        <is>
          <t>20×5+50%×3(+70%×2)</t>
        </is>
      </c>
      <c r="C85" s="19">
        <f>IFERROR(20*5+ROUND(V65*0.5,0)*3,"-")</f>
        <v/>
      </c>
    </row>
    <row r="86">
      <c r="A86" s="20" t="inlineStr">
        <is>
          <t>⑤ 主项工作组VL ★</t>
        </is>
      </c>
      <c r="B86" s="20" t="inlineStr">
        <is>
          <t>Σ(负荷×次数)</t>
        </is>
      </c>
      <c r="C86" s="21">
        <f>SUMPRODUCT($B$69:$B$74,$R$69:$R$74)</f>
        <v/>
      </c>
    </row>
    <row r="87">
      <c r="A87" s="18" t="inlineStr">
        <is>
          <t>⑥ 主项总VL</t>
        </is>
      </c>
      <c r="B87" s="18" t="inlineStr">
        <is>
          <t>④+⑤</t>
        </is>
      </c>
      <c r="C87" s="19">
        <f>IFERROR(D82+D83,"")</f>
        <v/>
      </c>
    </row>
    <row r="88">
      <c r="A88" s="18" t="inlineStr">
        <is>
          <t>⑦ 辅助VL</t>
        </is>
      </c>
      <c r="B88" s="18" t="inlineStr">
        <is>
          <t>RDL/保加利亚</t>
        </is>
      </c>
      <c r="C88" s="19">
        <f>IFERROR(I75,"")</f>
        <v/>
      </c>
    </row>
    <row r="89">
      <c r="A89" s="18" t="inlineStr">
        <is>
          <t>⑧ 总外部负荷</t>
        </is>
      </c>
      <c r="B89" s="18" t="inlineStr">
        <is>
          <t>⑥+⑦(+负重跳)</t>
        </is>
      </c>
      <c r="C89" s="19">
        <f>IFERROR(F82+G82,"")</f>
        <v/>
      </c>
    </row>
    <row r="90">
      <c r="A90" s="18" t="inlineStr">
        <is>
          <t>⑨ sRPE load</t>
        </is>
      </c>
      <c r="B90" s="18" t="inlineStr">
        <is>
          <t>sRPE×时长</t>
        </is>
      </c>
      <c r="C90" s="19">
        <f>IFERROR(F77,"")</f>
        <v/>
      </c>
    </row>
    <row r="93">
      <c r="A93" s="5" t="inlineStr">
        <is>
          <t>P006 陈镕垚  a=1.694 b=-0.01015 1RM=145</t>
        </is>
      </c>
    </row>
    <row r="94">
      <c r="A94" s="6" t="inlineStr">
        <is>
          <t>编号</t>
        </is>
      </c>
      <c r="B94" s="6" t="inlineStr">
        <is>
          <t>姓名</t>
        </is>
      </c>
      <c r="C94" s="6" t="inlineStr">
        <is>
          <t>身高</t>
        </is>
      </c>
      <c r="D94" s="6" t="inlineStr">
        <is>
          <t>1RM</t>
        </is>
      </c>
      <c r="E94" s="6" t="inlineStr">
        <is>
          <t>Hooper睡</t>
        </is>
      </c>
      <c r="F94" s="6" t="inlineStr">
        <is>
          <t>Hooper压</t>
        </is>
      </c>
      <c r="G94" s="6" t="inlineStr">
        <is>
          <t>Hooper疲</t>
        </is>
      </c>
      <c r="H94" s="6" t="inlineStr">
        <is>
          <t>Hooper酸</t>
        </is>
      </c>
      <c r="I94" s="6" t="inlineStr">
        <is>
          <t>H总</t>
        </is>
      </c>
      <c r="J94" s="6" t="inlineStr">
        <is>
          <t>不适?</t>
        </is>
      </c>
      <c r="K94" s="6" t="inlineStr">
        <is>
          <t>说明</t>
        </is>
      </c>
      <c r="L94" s="6" t="inlineStr">
        <is>
          <t>CMJ1</t>
        </is>
      </c>
      <c r="M94" s="6" t="inlineStr">
        <is>
          <t>CMJ2</t>
        </is>
      </c>
      <c r="N94" s="6" t="inlineStr">
        <is>
          <t>CMJ3</t>
        </is>
      </c>
      <c r="O94" s="6" t="inlineStr">
        <is>
          <t>CMJμ</t>
        </is>
      </c>
      <c r="P94" s="6" t="inlineStr">
        <is>
          <t>&lt;95%</t>
        </is>
      </c>
      <c r="Q94" s="6" t="inlineStr">
        <is>
          <t>减组</t>
        </is>
      </c>
      <c r="R94" s="6" t="inlineStr">
        <is>
          <t>组数</t>
        </is>
      </c>
      <c r="S94" s="6" t="inlineStr">
        <is>
          <t>a(V0)</t>
        </is>
      </c>
      <c r="T94" s="6" t="inlineStr">
        <is>
          <t>b</t>
        </is>
      </c>
      <c r="U94" s="6" t="inlineStr">
        <is>
          <t>等级</t>
        </is>
      </c>
      <c r="V94" s="6" t="inlineStr">
        <is>
          <t>预测起始</t>
        </is>
      </c>
    </row>
    <row r="95">
      <c r="A95" s="7" t="inlineStr">
        <is>
          <t>P006</t>
        </is>
      </c>
      <c r="B95" s="7" t="inlineStr">
        <is>
          <t>陈镕垚</t>
        </is>
      </c>
      <c r="C95" s="7" t="n">
        <v>181</v>
      </c>
      <c r="D95" s="8" t="n">
        <v>145</v>
      </c>
      <c r="E95" s="9" t="n"/>
      <c r="F95" s="9" t="n"/>
      <c r="G95" s="9" t="n"/>
      <c r="H95" s="9" t="n"/>
      <c r="I95" s="7">
        <f>IFERROR(SUM(E95:H95),"")</f>
        <v/>
      </c>
      <c r="J95" s="9" t="n"/>
      <c r="K95" s="9" t="n"/>
      <c r="L95" s="9" t="n"/>
      <c r="M95" s="9" t="n"/>
      <c r="N95" s="9" t="n"/>
      <c r="O95" s="7">
        <f>IFERROR(AVERAGE(L95:N95),"")</f>
        <v/>
      </c>
      <c r="P95" s="7">
        <f>IF(O95="","",IF(O95&lt;59.06,"是⚠","否"))</f>
        <v/>
      </c>
      <c r="Q95" s="7">
        <f>IF(O95="","",IF(O95&lt;59.06,5-1,5))</f>
        <v/>
      </c>
      <c r="R95" s="7" t="n"/>
      <c r="S95" s="8" t="n">
        <v>1.694</v>
      </c>
      <c r="T95" s="8" t="n">
        <v>-0.01015</v>
      </c>
      <c r="U95" s="7" t="inlineStr">
        <is>
          <t>A</t>
        </is>
      </c>
      <c r="V95" s="8" t="n">
        <v>97.5</v>
      </c>
    </row>
    <row r="96">
      <c r="A96" s="10" t="inlineStr">
        <is>
          <t>热身校准</t>
        </is>
      </c>
      <c r="B96" s="10" t="inlineStr">
        <is>
          <t>a</t>
        </is>
      </c>
      <c r="C96" s="10" t="inlineStr">
        <is>
          <t>b</t>
        </is>
      </c>
      <c r="D96" s="10" t="inlineStr">
        <is>
          <t>50%热身</t>
        </is>
      </c>
      <c r="E96" s="10" t="inlineStr">
        <is>
          <t>70%热身</t>
        </is>
      </c>
      <c r="F96" s="10" t="inlineStr">
        <is>
          <t>热身负荷</t>
        </is>
      </c>
      <c r="G96" s="10" t="inlineStr">
        <is>
          <t>实测MCV</t>
        </is>
      </c>
      <c r="H96" s="10" t="inlineStr">
        <is>
          <t>预测MCV</t>
        </is>
      </c>
      <c r="I96" s="10" t="inlineStr">
        <is>
          <t>Δv</t>
        </is>
      </c>
      <c r="J96" s="10" t="inlineStr">
        <is>
          <t>调整量</t>
        </is>
      </c>
      <c r="K96" s="10" t="inlineStr">
        <is>
          <t>校准第1组</t>
        </is>
      </c>
    </row>
    <row r="97">
      <c r="A97" s="7" t="n"/>
      <c r="B97" s="11" t="n">
        <v>1.694</v>
      </c>
      <c r="C97" s="11" t="n">
        <v>-0.01015</v>
      </c>
      <c r="D97" s="11">
        <f>IFERROR(ROUND(V95*0.5/2.5,0)*2.5,"")</f>
        <v/>
      </c>
      <c r="E97" s="11" t="inlineStr"/>
      <c r="F97" s="11">
        <f>IFERROR(ROUND(V95*0.5/2.5,0)*2.5,"")</f>
        <v/>
      </c>
      <c r="G97" s="9" t="n"/>
      <c r="H97" s="11">
        <f>IFERROR(B97+C97*F97,"")</f>
        <v/>
      </c>
      <c r="I97" s="11">
        <f>IFERROR(G97-H97,"")</f>
        <v/>
      </c>
      <c r="J97" s="11">
        <f>IFERROR(IF(I97&gt;0.08,5,IF(I97&gt;0.04,2.5,IF(I97&gt;=-0.04,0,IF(I97&gt;=-0.08,-2.5,-5)))),"")</f>
        <v/>
      </c>
      <c r="K97" s="11">
        <f>IFERROR(ROUND(V95+J97,0),"")</f>
        <v/>
      </c>
    </row>
    <row r="98">
      <c r="A98" s="12" t="inlineStr">
        <is>
          <t>组</t>
        </is>
      </c>
      <c r="B98" s="12" t="inlineStr">
        <is>
          <t>负荷</t>
        </is>
      </c>
      <c r="C98" s="12" t="inlineStr">
        <is>
          <t>rep1</t>
        </is>
      </c>
      <c r="D98" s="12" t="inlineStr">
        <is>
          <t>rep2</t>
        </is>
      </c>
      <c r="E98" s="12" t="inlineStr">
        <is>
          <t>rep3</t>
        </is>
      </c>
      <c r="F98" s="12" t="inlineStr">
        <is>
          <t>rep4</t>
        </is>
      </c>
      <c r="G98" s="12" t="inlineStr">
        <is>
          <t>rep5</t>
        </is>
      </c>
      <c r="H98" s="12" t="inlineStr">
        <is>
          <t>rep6</t>
        </is>
      </c>
      <c r="I98" s="12" t="inlineStr">
        <is>
          <t>best</t>
        </is>
      </c>
      <c r="J98" s="12" t="inlineStr">
        <is>
          <t>best#</t>
        </is>
      </c>
      <c r="K98" s="12" t="inlineStr">
        <is>
          <t>VL%</t>
        </is>
      </c>
      <c r="L98" s="12" t="inlineStr">
        <is>
          <t>stop_th</t>
        </is>
      </c>
      <c r="M98" s="12" t="inlineStr">
        <is>
          <t>latest</t>
        </is>
      </c>
      <c r="N98" s="12" t="inlineStr">
        <is>
          <t>VL_flag</t>
        </is>
      </c>
      <c r="O98" s="12" t="inlineStr">
        <is>
          <t>safety</t>
        </is>
      </c>
      <c r="P98" s="12" t="inlineStr">
        <is>
          <t>原因</t>
        </is>
      </c>
      <c r="Q98" s="12" t="inlineStr">
        <is>
          <t>建议</t>
        </is>
      </c>
      <c r="R98" s="12" t="inlineStr">
        <is>
          <t>次数</t>
        </is>
      </c>
    </row>
    <row r="99">
      <c r="A99" s="7" t="n">
        <v>1</v>
      </c>
      <c r="B99" s="9">
        <f>IFERROR(K97,"")</f>
        <v/>
      </c>
      <c r="C99" s="9" t="n"/>
      <c r="D99" s="9" t="n"/>
      <c r="E99" s="9" t="n"/>
      <c r="F99" s="9" t="n"/>
      <c r="G99" s="9" t="n"/>
      <c r="H99" s="9" t="n"/>
      <c r="I99" s="7">
        <f>IFERROR(MAX(C99:H99),"")</f>
        <v/>
      </c>
      <c r="J99" s="7">
        <f>IFERROR(MATCH(I99,C99:H99,0),"")</f>
        <v/>
      </c>
      <c r="K99" s="7" t="n">
        <v>15</v>
      </c>
      <c r="L99" s="7">
        <f>IFERROR(I99*(1-(K99/100)),"")</f>
        <v/>
      </c>
      <c r="M99" s="7">
        <f>IFERROR(LOOKUP(9.99E+307,C99:H99),"")</f>
        <v/>
      </c>
      <c r="N99" s="7">
        <f>IFERROR(IF(M99="","",IF(M99&lt;=N99,"停组🛑","继续✓")),"")</f>
        <v/>
      </c>
      <c r="O99" s="7">
        <f>IFERROR(IF(M99="","",IF(M99&lt;0.15,"SAFETY_STOP","")),"")</f>
        <v/>
      </c>
      <c r="P99" s="7">
        <f>IFERROR(IF(M99="","",IF(M99&lt;0.15,"SAFETY_STOP",IF(M99&lt;=N99,"VL_THRESHOLD",""))),"")</f>
        <v/>
      </c>
      <c r="Q99" s="7">
        <f>IFERROR(IF(I99="","",IF(I99&gt;(0.7+0.05),"+5kg",IF(I99&gt;(0.7+0.02),"+2.5kg",IF(I99&gt;=(0.7-0.05),"保持",IF(I99&gt;=(0.7-0.08),"-2.5kg","-5kg"))))),"")</f>
        <v/>
      </c>
      <c r="R99" s="9" t="n"/>
    </row>
    <row r="100">
      <c r="A100" s="7" t="n">
        <v>2</v>
      </c>
      <c r="B100" s="9" t="n"/>
      <c r="C100" s="9" t="n"/>
      <c r="D100" s="9" t="n"/>
      <c r="E100" s="9" t="n"/>
      <c r="F100" s="9" t="n"/>
      <c r="G100" s="9" t="n"/>
      <c r="H100" s="9" t="n"/>
      <c r="I100" s="7">
        <f>IFERROR(MAX(C100:H100),"")</f>
        <v/>
      </c>
      <c r="J100" s="7">
        <f>IFERROR(MATCH(I100,C100:H100,0),"")</f>
        <v/>
      </c>
      <c r="K100" s="7" t="n">
        <v>15</v>
      </c>
      <c r="L100" s="7">
        <f>IFERROR(I100*(1-(K100/100)),"")</f>
        <v/>
      </c>
      <c r="M100" s="7">
        <f>IFERROR(LOOKUP(9.99E+307,C100:H100),"")</f>
        <v/>
      </c>
      <c r="N100" s="7">
        <f>IFERROR(IF(M100="","",IF(M100&lt;=N100,"停组🛑","继续✓")),"")</f>
        <v/>
      </c>
      <c r="O100" s="7">
        <f>IFERROR(IF(M100="","",IF(M100&lt;0.15,"SAFETY_STOP","")),"")</f>
        <v/>
      </c>
      <c r="P100" s="7">
        <f>IFERROR(IF(M100="","",IF(M100&lt;0.15,"SAFETY_STOP",IF(M100&lt;=N100,"VL_THRESHOLD",""))),"")</f>
        <v/>
      </c>
      <c r="Q100" s="7">
        <f>IFERROR(IF(I100="","",IF(I100&gt;(0.7+0.05),"+5kg",IF(I100&gt;(0.7+0.02),"+2.5kg",IF(I100&gt;=(0.7-0.05),"保持",IF(I100&gt;=(0.7-0.08),"-2.5kg","-5kg"))))),"")</f>
        <v/>
      </c>
      <c r="R100" s="9" t="n"/>
    </row>
    <row r="101">
      <c r="A101" s="7" t="n">
        <v>3</v>
      </c>
      <c r="B101" s="9" t="n"/>
      <c r="C101" s="9" t="n"/>
      <c r="D101" s="9" t="n"/>
      <c r="E101" s="9" t="n"/>
      <c r="F101" s="9" t="n"/>
      <c r="G101" s="9" t="n"/>
      <c r="H101" s="9" t="n"/>
      <c r="I101" s="7">
        <f>IFERROR(MAX(C101:H101),"")</f>
        <v/>
      </c>
      <c r="J101" s="7">
        <f>IFERROR(MATCH(I101,C101:H101,0),"")</f>
        <v/>
      </c>
      <c r="K101" s="7" t="n">
        <v>15</v>
      </c>
      <c r="L101" s="7">
        <f>IFERROR(I101*(1-(K101/100)),"")</f>
        <v/>
      </c>
      <c r="M101" s="7">
        <f>IFERROR(LOOKUP(9.99E+307,C101:H101),"")</f>
        <v/>
      </c>
      <c r="N101" s="7">
        <f>IFERROR(IF(M101="","",IF(M101&lt;=N101,"停组🛑","继续✓")),"")</f>
        <v/>
      </c>
      <c r="O101" s="7">
        <f>IFERROR(IF(M101="","",IF(M101&lt;0.15,"SAFETY_STOP","")),"")</f>
        <v/>
      </c>
      <c r="P101" s="7">
        <f>IFERROR(IF(M101="","",IF(M101&lt;0.15,"SAFETY_STOP",IF(M101&lt;=N101,"VL_THRESHOLD",""))),"")</f>
        <v/>
      </c>
      <c r="Q101" s="7">
        <f>IFERROR(IF(I101="","",IF(I101&gt;(0.7+0.05),"+5kg",IF(I101&gt;(0.7+0.02),"+2.5kg",IF(I101&gt;=(0.7-0.05),"保持",IF(I101&gt;=(0.7-0.08),"-2.5kg","-5kg"))))),"")</f>
        <v/>
      </c>
      <c r="R101" s="9" t="n"/>
    </row>
    <row r="102">
      <c r="A102" s="7" t="n">
        <v>4</v>
      </c>
      <c r="B102" s="9" t="n"/>
      <c r="C102" s="9" t="n"/>
      <c r="D102" s="9" t="n"/>
      <c r="E102" s="9" t="n"/>
      <c r="F102" s="9" t="n"/>
      <c r="G102" s="9" t="n"/>
      <c r="H102" s="9" t="n"/>
      <c r="I102" s="7">
        <f>IFERROR(MAX(C102:H102),"")</f>
        <v/>
      </c>
      <c r="J102" s="7">
        <f>IFERROR(MATCH(I102,C102:H102,0),"")</f>
        <v/>
      </c>
      <c r="K102" s="7" t="n">
        <v>15</v>
      </c>
      <c r="L102" s="7">
        <f>IFERROR(I102*(1-(K102/100)),"")</f>
        <v/>
      </c>
      <c r="M102" s="7">
        <f>IFERROR(LOOKUP(9.99E+307,C102:H102),"")</f>
        <v/>
      </c>
      <c r="N102" s="7">
        <f>IFERROR(IF(M102="","",IF(M102&lt;=N102,"停组🛑","继续✓")),"")</f>
        <v/>
      </c>
      <c r="O102" s="7">
        <f>IFERROR(IF(M102="","",IF(M102&lt;0.15,"SAFETY_STOP","")),"")</f>
        <v/>
      </c>
      <c r="P102" s="7">
        <f>IFERROR(IF(M102="","",IF(M102&lt;0.15,"SAFETY_STOP",IF(M102&lt;=N102,"VL_THRESHOLD",""))),"")</f>
        <v/>
      </c>
      <c r="Q102" s="7">
        <f>IFERROR(IF(I102="","",IF(I102&gt;(0.7+0.05),"+5kg",IF(I102&gt;(0.7+0.02),"+2.5kg",IF(I102&gt;=(0.7-0.05),"保持",IF(I102&gt;=(0.7-0.08),"-2.5kg","-5kg"))))),"")</f>
        <v/>
      </c>
      <c r="R102" s="9" t="n"/>
    </row>
    <row r="103">
      <c r="A103" s="7" t="n">
        <v>5</v>
      </c>
      <c r="B103" s="9" t="n"/>
      <c r="C103" s="9" t="n"/>
      <c r="D103" s="9" t="n"/>
      <c r="E103" s="9" t="n"/>
      <c r="F103" s="9" t="n"/>
      <c r="G103" s="9" t="n"/>
      <c r="H103" s="9" t="n"/>
      <c r="I103" s="7">
        <f>IFERROR(MAX(C103:H103),"")</f>
        <v/>
      </c>
      <c r="J103" s="7">
        <f>IFERROR(MATCH(I103,C103:H103,0),"")</f>
        <v/>
      </c>
      <c r="K103" s="7" t="n">
        <v>15</v>
      </c>
      <c r="L103" s="7">
        <f>IFERROR(I103*(1-(K103/100)),"")</f>
        <v/>
      </c>
      <c r="M103" s="7">
        <f>IFERROR(LOOKUP(9.99E+307,C103:H103),"")</f>
        <v/>
      </c>
      <c r="N103" s="7">
        <f>IFERROR(IF(M103="","",IF(M103&lt;=N103,"停组🛑","继续✓")),"")</f>
        <v/>
      </c>
      <c r="O103" s="7">
        <f>IFERROR(IF(M103="","",IF(M103&lt;0.15,"SAFETY_STOP","")),"")</f>
        <v/>
      </c>
      <c r="P103" s="7">
        <f>IFERROR(IF(M103="","",IF(M103&lt;0.15,"SAFETY_STOP",IF(M103&lt;=N103,"VL_THRESHOLD",""))),"")</f>
        <v/>
      </c>
      <c r="Q103" s="7">
        <f>IFERROR(IF(I103="","",IF(I103&gt;(0.7+0.05),"+5kg",IF(I103&gt;(0.7+0.02),"+2.5kg",IF(I103&gt;=(0.7-0.05),"保持",IF(I103&gt;=(0.7-0.08),"-2.5kg","-5kg"))))),"")</f>
        <v/>
      </c>
      <c r="R103" s="9" t="n"/>
    </row>
    <row r="104">
      <c r="A104" s="7" t="n">
        <v>6</v>
      </c>
      <c r="B104" s="9" t="n"/>
      <c r="C104" s="9" t="n"/>
      <c r="D104" s="9" t="n"/>
      <c r="E104" s="9" t="n"/>
      <c r="F104" s="9" t="n"/>
      <c r="G104" s="9" t="n"/>
      <c r="H104" s="9" t="n"/>
      <c r="I104" s="7">
        <f>IFERROR(MAX(C104:H104),"")</f>
        <v/>
      </c>
      <c r="J104" s="7">
        <f>IFERROR(MATCH(I104,C104:H104,0),"")</f>
        <v/>
      </c>
      <c r="K104" s="7" t="n">
        <v>15</v>
      </c>
      <c r="L104" s="7">
        <f>IFERROR(I104*(1-(K104/100)),"")</f>
        <v/>
      </c>
      <c r="M104" s="7">
        <f>IFERROR(LOOKUP(9.99E+307,C104:H104),"")</f>
        <v/>
      </c>
      <c r="N104" s="7">
        <f>IFERROR(IF(M104="","",IF(M104&lt;=N104,"停组🛑","继续✓")),"")</f>
        <v/>
      </c>
      <c r="O104" s="7">
        <f>IFERROR(IF(M104="","",IF(M104&lt;0.15,"SAFETY_STOP","")),"")</f>
        <v/>
      </c>
      <c r="P104" s="7">
        <f>IFERROR(IF(M104="","",IF(M104&lt;0.15,"SAFETY_STOP",IF(M104&lt;=N104,"VL_THRESHOLD",""))),"")</f>
        <v/>
      </c>
      <c r="Q104" s="7">
        <f>IFERROR(IF(I104="","",IF(I104&gt;(0.7+0.05),"+5kg",IF(I104&gt;(0.7+0.02),"+2.5kg",IF(I104&gt;=(0.7-0.05),"保持",IF(I104&gt;=(0.7-0.08),"-2.5kg","-5kg"))))),"")</f>
        <v/>
      </c>
      <c r="R104" s="9" t="n"/>
    </row>
    <row r="105">
      <c r="A105" s="13" t="inlineStr">
        <is>
          <t>辅助</t>
        </is>
      </c>
      <c r="D105" s="14" t="inlineStr">
        <is>
          <t>保加利亚单腿蹲</t>
        </is>
      </c>
      <c r="E105" s="14" t="inlineStr">
        <is>
          <t>负荷</t>
        </is>
      </c>
      <c r="F105" s="14" t="inlineStr">
        <is>
          <t>完成</t>
        </is>
      </c>
      <c r="I105" t="inlineStr">
        <is>
          <t>VL</t>
        </is>
      </c>
    </row>
    <row r="106">
      <c r="A106" s="15" t="inlineStr">
        <is>
          <t>训练后</t>
        </is>
      </c>
      <c r="B106" s="15" t="inlineStr">
        <is>
          <t>开始</t>
        </is>
      </c>
      <c r="C106" s="15" t="inlineStr">
        <is>
          <t>结束</t>
        </is>
      </c>
      <c r="D106" s="15" t="inlineStr">
        <is>
          <t>时长min</t>
        </is>
      </c>
      <c r="E106" s="15" t="inlineStr">
        <is>
          <t>sRPE</t>
        </is>
      </c>
      <c r="F106" s="15" t="inlineStr">
        <is>
          <t>load</t>
        </is>
      </c>
      <c r="G106" s="15" t="inlineStr">
        <is>
          <t>不适?</t>
        </is>
      </c>
      <c r="H106" s="15" t="inlineStr">
        <is>
          <t>备注</t>
        </is>
      </c>
      <c r="I106" s="15" t="inlineStr">
        <is>
          <t>签名</t>
        </is>
      </c>
    </row>
    <row r="107">
      <c r="A107" s="7" t="n"/>
      <c r="B107" s="9" t="n"/>
      <c r="C107" s="9" t="n"/>
      <c r="D107" s="11">
        <f>IFERROR((C107-B107)*1440,"")</f>
        <v/>
      </c>
      <c r="E107" s="9" t="n"/>
      <c r="F107" s="11">
        <f>IFERROR(E107*D107,"")</f>
        <v/>
      </c>
      <c r="G107" s="9" t="n"/>
      <c r="H107" s="9" t="n"/>
      <c r="I107" s="9" t="n"/>
    </row>
    <row r="108">
      <c r="A108" s="16" t="inlineStr">
        <is>
          <t>跳跃</t>
        </is>
      </c>
      <c r="B108" s="16" t="inlineStr">
        <is>
          <t>类型</t>
        </is>
      </c>
      <c r="C108" s="16" t="inlineStr">
        <is>
          <t>组×次</t>
        </is>
      </c>
      <c r="D108" s="16" t="inlineStr">
        <is>
          <t>负荷kg</t>
        </is>
      </c>
      <c r="E108" s="16" t="inlineStr">
        <is>
          <t>接触</t>
        </is>
      </c>
    </row>
    <row r="109">
      <c r="B109" t="inlineStr">
        <is>
          <t>SJ</t>
        </is>
      </c>
      <c r="C109" t="inlineStr">
        <is>
          <t>3×3</t>
        </is>
      </c>
      <c r="D109" t="n">
        <v>0</v>
      </c>
      <c r="E109" t="n">
        <v>9</v>
      </c>
    </row>
    <row r="110">
      <c r="B110" t="inlineStr">
        <is>
          <t>负重跳</t>
        </is>
      </c>
      <c r="C110" t="inlineStr">
        <is>
          <t>3×5</t>
        </is>
      </c>
      <c r="D110" s="14" t="n"/>
      <c r="E110" s="14" t="n"/>
    </row>
    <row r="111">
      <c r="A111" s="17" t="inlineStr">
        <is>
          <t>▶ 暴露量汇总</t>
        </is>
      </c>
      <c r="B111" s="17" t="inlineStr">
        <is>
          <t>说明</t>
        </is>
      </c>
      <c r="C111" s="17" t="inlineStr">
        <is>
          <t>公式/来源</t>
        </is>
      </c>
      <c r="D111" s="17" t="inlineStr">
        <is>
          <t>数值</t>
        </is>
      </c>
    </row>
    <row r="112">
      <c r="A112" s="18" t="inlineStr">
        <is>
          <t>① 无负荷跳跃接触</t>
        </is>
      </c>
      <c r="B112" s="18" t="inlineStr">
        <is>
          <t>CMJ+SJ+箱跳</t>
        </is>
      </c>
      <c r="C112" s="19">
        <f>IFERROR(E109+E110,2)</f>
        <v/>
      </c>
    </row>
    <row r="113">
      <c r="A113" s="18" t="inlineStr">
        <is>
          <t>② 负重跳跃接触</t>
        </is>
      </c>
      <c r="B113" s="18" t="inlineStr">
        <is>
          <t>负重深蹲跳</t>
        </is>
      </c>
      <c r="C113" s="19">
        <f>IFERROR(E110,"")</f>
        <v/>
      </c>
    </row>
    <row r="114">
      <c r="A114" s="18" t="inlineStr">
        <is>
          <t>③ 跳跃总计</t>
        </is>
      </c>
      <c r="B114" s="18" t="inlineStr">
        <is>
          <t>①+②</t>
        </is>
      </c>
      <c r="C114" s="19">
        <f>IFERROR(B112+B113,"")</f>
        <v/>
      </c>
    </row>
    <row r="115">
      <c r="A115" s="18" t="inlineStr">
        <is>
          <t>④ 热身VL</t>
        </is>
      </c>
      <c r="B115" s="18" t="inlineStr">
        <is>
          <t>20×5+50%×3(+70%×2)</t>
        </is>
      </c>
      <c r="C115" s="19">
        <f>IFERROR(20*5+ROUND(V95*0.5,0)*3,"-")</f>
        <v/>
      </c>
    </row>
    <row r="116">
      <c r="A116" s="20" t="inlineStr">
        <is>
          <t>⑤ 主项工作组VL ★</t>
        </is>
      </c>
      <c r="B116" s="20" t="inlineStr">
        <is>
          <t>Σ(负荷×次数)</t>
        </is>
      </c>
      <c r="C116" s="21">
        <f>SUMPRODUCT($B$99:$B$104,$R$99:$R$104)</f>
        <v/>
      </c>
    </row>
    <row r="117">
      <c r="A117" s="18" t="inlineStr">
        <is>
          <t>⑥ 主项总VL</t>
        </is>
      </c>
      <c r="B117" s="18" t="inlineStr">
        <is>
          <t>④+⑤</t>
        </is>
      </c>
      <c r="C117" s="19">
        <f>IFERROR(D112+D113,"")</f>
        <v/>
      </c>
    </row>
    <row r="118">
      <c r="A118" s="18" t="inlineStr">
        <is>
          <t>⑦ 辅助VL</t>
        </is>
      </c>
      <c r="B118" s="18" t="inlineStr">
        <is>
          <t>RDL/保加利亚</t>
        </is>
      </c>
      <c r="C118" s="19">
        <f>IFERROR(I105,"")</f>
        <v/>
      </c>
    </row>
    <row r="119">
      <c r="A119" s="18" t="inlineStr">
        <is>
          <t>⑧ 总外部负荷</t>
        </is>
      </c>
      <c r="B119" s="18" t="inlineStr">
        <is>
          <t>⑥+⑦(+负重跳)</t>
        </is>
      </c>
      <c r="C119" s="19">
        <f>IFERROR(F112+G112,"")</f>
        <v/>
      </c>
    </row>
    <row r="120">
      <c r="A120" s="18" t="inlineStr">
        <is>
          <t>⑨ sRPE load</t>
        </is>
      </c>
      <c r="B120" s="18" t="inlineStr">
        <is>
          <t>sRPE×时长</t>
        </is>
      </c>
      <c r="C120" s="19">
        <f>IFERROR(F107,"")</f>
        <v/>
      </c>
    </row>
    <row r="123">
      <c r="A123" s="5" t="inlineStr">
        <is>
          <t>P015 陈先栋  a=1.77 b=-0.01025 1RM=135</t>
        </is>
      </c>
    </row>
    <row r="124">
      <c r="A124" s="6" t="inlineStr">
        <is>
          <t>编号</t>
        </is>
      </c>
      <c r="B124" s="6" t="inlineStr">
        <is>
          <t>姓名</t>
        </is>
      </c>
      <c r="C124" s="6" t="inlineStr">
        <is>
          <t>身高</t>
        </is>
      </c>
      <c r="D124" s="6" t="inlineStr">
        <is>
          <t>1RM</t>
        </is>
      </c>
      <c r="E124" s="6" t="inlineStr">
        <is>
          <t>Hooper睡</t>
        </is>
      </c>
      <c r="F124" s="6" t="inlineStr">
        <is>
          <t>Hooper压</t>
        </is>
      </c>
      <c r="G124" s="6" t="inlineStr">
        <is>
          <t>Hooper疲</t>
        </is>
      </c>
      <c r="H124" s="6" t="inlineStr">
        <is>
          <t>Hooper酸</t>
        </is>
      </c>
      <c r="I124" s="6" t="inlineStr">
        <is>
          <t>H总</t>
        </is>
      </c>
      <c r="J124" s="6" t="inlineStr">
        <is>
          <t>不适?</t>
        </is>
      </c>
      <c r="K124" s="6" t="inlineStr">
        <is>
          <t>说明</t>
        </is>
      </c>
      <c r="L124" s="6" t="inlineStr">
        <is>
          <t>CMJ1</t>
        </is>
      </c>
      <c r="M124" s="6" t="inlineStr">
        <is>
          <t>CMJ2</t>
        </is>
      </c>
      <c r="N124" s="6" t="inlineStr">
        <is>
          <t>CMJ3</t>
        </is>
      </c>
      <c r="O124" s="6" t="inlineStr">
        <is>
          <t>CMJμ</t>
        </is>
      </c>
      <c r="P124" s="6" t="inlineStr">
        <is>
          <t>&lt;95%</t>
        </is>
      </c>
      <c r="Q124" s="6" t="inlineStr">
        <is>
          <t>减组</t>
        </is>
      </c>
      <c r="R124" s="6" t="inlineStr">
        <is>
          <t>组数</t>
        </is>
      </c>
      <c r="S124" s="6" t="inlineStr">
        <is>
          <t>a(V0)</t>
        </is>
      </c>
      <c r="T124" s="6" t="inlineStr">
        <is>
          <t>b</t>
        </is>
      </c>
      <c r="U124" s="6" t="inlineStr">
        <is>
          <t>等级</t>
        </is>
      </c>
      <c r="V124" s="6" t="inlineStr">
        <is>
          <t>预测起始</t>
        </is>
      </c>
    </row>
    <row r="125">
      <c r="A125" s="7" t="inlineStr">
        <is>
          <t>P015</t>
        </is>
      </c>
      <c r="B125" s="7" t="inlineStr">
        <is>
          <t>陈先栋</t>
        </is>
      </c>
      <c r="C125" s="7" t="n">
        <v>175</v>
      </c>
      <c r="D125" s="8" t="n">
        <v>135</v>
      </c>
      <c r="E125" s="9" t="n"/>
      <c r="F125" s="9" t="n"/>
      <c r="G125" s="9" t="n"/>
      <c r="H125" s="9" t="n"/>
      <c r="I125" s="7">
        <f>IFERROR(SUM(E125:H125),"")</f>
        <v/>
      </c>
      <c r="J125" s="9" t="n"/>
      <c r="K125" s="9" t="n"/>
      <c r="L125" s="9" t="n"/>
      <c r="M125" s="9" t="n"/>
      <c r="N125" s="9" t="n"/>
      <c r="O125" s="7">
        <f>IFERROR(AVERAGE(L125:N125),"")</f>
        <v/>
      </c>
      <c r="P125" s="7">
        <f>IF(O125="","",IF(O125&lt;54.25,"是⚠","否"))</f>
        <v/>
      </c>
      <c r="Q125" s="7">
        <f>IF(O125="","",IF(O125&lt;54.25,5-1,5))</f>
        <v/>
      </c>
      <c r="R125" s="7" t="n"/>
      <c r="S125" s="8" t="n">
        <v>1.77</v>
      </c>
      <c r="T125" s="8" t="n">
        <v>-0.01025</v>
      </c>
      <c r="U125" s="7" t="inlineStr">
        <is>
          <t>C</t>
        </is>
      </c>
      <c r="V125" s="8" t="n">
        <v>105</v>
      </c>
    </row>
    <row r="126">
      <c r="A126" s="10" t="inlineStr">
        <is>
          <t>热身校准</t>
        </is>
      </c>
      <c r="B126" s="10" t="inlineStr">
        <is>
          <t>a</t>
        </is>
      </c>
      <c r="C126" s="10" t="inlineStr">
        <is>
          <t>b</t>
        </is>
      </c>
      <c r="D126" s="10" t="inlineStr">
        <is>
          <t>50%热身</t>
        </is>
      </c>
      <c r="E126" s="10" t="inlineStr">
        <is>
          <t>70%热身</t>
        </is>
      </c>
      <c r="F126" s="10" t="inlineStr">
        <is>
          <t>热身负荷</t>
        </is>
      </c>
      <c r="G126" s="10" t="inlineStr">
        <is>
          <t>实测MCV</t>
        </is>
      </c>
      <c r="H126" s="10" t="inlineStr">
        <is>
          <t>预测MCV</t>
        </is>
      </c>
      <c r="I126" s="10" t="inlineStr">
        <is>
          <t>Δv</t>
        </is>
      </c>
      <c r="J126" s="10" t="inlineStr">
        <is>
          <t>调整量</t>
        </is>
      </c>
      <c r="K126" s="10" t="inlineStr">
        <is>
          <t>校准第1组</t>
        </is>
      </c>
    </row>
    <row r="127">
      <c r="A127" s="7" t="n"/>
      <c r="B127" s="11" t="n">
        <v>1.77</v>
      </c>
      <c r="C127" s="11" t="n">
        <v>-0.01025</v>
      </c>
      <c r="D127" s="11">
        <f>IFERROR(ROUND(V125*0.5/2.5,0)*2.5,"")</f>
        <v/>
      </c>
      <c r="E127" s="11" t="inlineStr"/>
      <c r="F127" s="11">
        <f>IFERROR(ROUND(V125*0.5/2.5,0)*2.5,"")</f>
        <v/>
      </c>
      <c r="G127" s="9" t="n"/>
      <c r="H127" s="11">
        <f>IFERROR(B127+C127*F127,"")</f>
        <v/>
      </c>
      <c r="I127" s="11">
        <f>IFERROR(G127-H127,"")</f>
        <v/>
      </c>
      <c r="J127" s="11">
        <f>IFERROR(IF(I127&gt;0.08,5,IF(I127&gt;0.04,2.5,IF(I127&gt;=-0.04,0,IF(I127&gt;=-0.08,-2.5,-5)))),"")</f>
        <v/>
      </c>
      <c r="K127" s="11">
        <f>IFERROR(ROUND(V125+J127,0),"")</f>
        <v/>
      </c>
    </row>
    <row r="128">
      <c r="A128" s="12" t="inlineStr">
        <is>
          <t>组</t>
        </is>
      </c>
      <c r="B128" s="12" t="inlineStr">
        <is>
          <t>负荷</t>
        </is>
      </c>
      <c r="C128" s="12" t="inlineStr">
        <is>
          <t>rep1</t>
        </is>
      </c>
      <c r="D128" s="12" t="inlineStr">
        <is>
          <t>rep2</t>
        </is>
      </c>
      <c r="E128" s="12" t="inlineStr">
        <is>
          <t>rep3</t>
        </is>
      </c>
      <c r="F128" s="12" t="inlineStr">
        <is>
          <t>rep4</t>
        </is>
      </c>
      <c r="G128" s="12" t="inlineStr">
        <is>
          <t>rep5</t>
        </is>
      </c>
      <c r="H128" s="12" t="inlineStr">
        <is>
          <t>rep6</t>
        </is>
      </c>
      <c r="I128" s="12" t="inlineStr">
        <is>
          <t>best</t>
        </is>
      </c>
      <c r="J128" s="12" t="inlineStr">
        <is>
          <t>best#</t>
        </is>
      </c>
      <c r="K128" s="12" t="inlineStr">
        <is>
          <t>VL%</t>
        </is>
      </c>
      <c r="L128" s="12" t="inlineStr">
        <is>
          <t>stop_th</t>
        </is>
      </c>
      <c r="M128" s="12" t="inlineStr">
        <is>
          <t>latest</t>
        </is>
      </c>
      <c r="N128" s="12" t="inlineStr">
        <is>
          <t>VL_flag</t>
        </is>
      </c>
      <c r="O128" s="12" t="inlineStr">
        <is>
          <t>safety</t>
        </is>
      </c>
      <c r="P128" s="12" t="inlineStr">
        <is>
          <t>原因</t>
        </is>
      </c>
      <c r="Q128" s="12" t="inlineStr">
        <is>
          <t>建议</t>
        </is>
      </c>
      <c r="R128" s="12" t="inlineStr">
        <is>
          <t>次数</t>
        </is>
      </c>
    </row>
    <row r="129">
      <c r="A129" s="7" t="n">
        <v>1</v>
      </c>
      <c r="B129" s="9">
        <f>IFERROR(K127,"")</f>
        <v/>
      </c>
      <c r="C129" s="9" t="n"/>
      <c r="D129" s="9" t="n"/>
      <c r="E129" s="9" t="n"/>
      <c r="F129" s="9" t="n"/>
      <c r="G129" s="9" t="n"/>
      <c r="H129" s="9" t="n"/>
      <c r="I129" s="7">
        <f>IFERROR(MAX(C129:H129),"")</f>
        <v/>
      </c>
      <c r="J129" s="7">
        <f>IFERROR(MATCH(I129,C129:H129,0),"")</f>
        <v/>
      </c>
      <c r="K129" s="7" t="n">
        <v>15</v>
      </c>
      <c r="L129" s="7">
        <f>IFERROR(I129*(1-(K129/100)),"")</f>
        <v/>
      </c>
      <c r="M129" s="7">
        <f>IFERROR(LOOKUP(9.99E+307,C129:H129),"")</f>
        <v/>
      </c>
      <c r="N129" s="7">
        <f>IFERROR(IF(M129="","",IF(M129&lt;=N129,"停组🛑","继续✓")),"")</f>
        <v/>
      </c>
      <c r="O129" s="7">
        <f>IFERROR(IF(M129="","",IF(M129&lt;0.15,"SAFETY_STOP","")),"")</f>
        <v/>
      </c>
      <c r="P129" s="7">
        <f>IFERROR(IF(M129="","",IF(M129&lt;0.15,"SAFETY_STOP",IF(M129&lt;=N129,"VL_THRESHOLD",""))),"")</f>
        <v/>
      </c>
      <c r="Q129" s="7">
        <f>IFERROR(IF(I129="","",IF(I129&gt;(0.7+0.05),"+5kg",IF(I129&gt;(0.7+0.02),"+2.5kg",IF(I129&gt;=(0.7-0.05),"保持",IF(I129&gt;=(0.7-0.08),"-2.5kg","-5kg"))))),"")</f>
        <v/>
      </c>
      <c r="R129" s="9" t="n"/>
    </row>
    <row r="130">
      <c r="A130" s="7" t="n">
        <v>2</v>
      </c>
      <c r="B130" s="9" t="n"/>
      <c r="C130" s="9" t="n"/>
      <c r="D130" s="9" t="n"/>
      <c r="E130" s="9" t="n"/>
      <c r="F130" s="9" t="n"/>
      <c r="G130" s="9" t="n"/>
      <c r="H130" s="9" t="n"/>
      <c r="I130" s="7">
        <f>IFERROR(MAX(C130:H130),"")</f>
        <v/>
      </c>
      <c r="J130" s="7">
        <f>IFERROR(MATCH(I130,C130:H130,0),"")</f>
        <v/>
      </c>
      <c r="K130" s="7" t="n">
        <v>15</v>
      </c>
      <c r="L130" s="7">
        <f>IFERROR(I130*(1-(K130/100)),"")</f>
        <v/>
      </c>
      <c r="M130" s="7">
        <f>IFERROR(LOOKUP(9.99E+307,C130:H130),"")</f>
        <v/>
      </c>
      <c r="N130" s="7">
        <f>IFERROR(IF(M130="","",IF(M130&lt;=N130,"停组🛑","继续✓")),"")</f>
        <v/>
      </c>
      <c r="O130" s="7">
        <f>IFERROR(IF(M130="","",IF(M130&lt;0.15,"SAFETY_STOP","")),"")</f>
        <v/>
      </c>
      <c r="P130" s="7">
        <f>IFERROR(IF(M130="","",IF(M130&lt;0.15,"SAFETY_STOP",IF(M130&lt;=N130,"VL_THRESHOLD",""))),"")</f>
        <v/>
      </c>
      <c r="Q130" s="7">
        <f>IFERROR(IF(I130="","",IF(I130&gt;(0.7+0.05),"+5kg",IF(I130&gt;(0.7+0.02),"+2.5kg",IF(I130&gt;=(0.7-0.05),"保持",IF(I130&gt;=(0.7-0.08),"-2.5kg","-5kg"))))),"")</f>
        <v/>
      </c>
      <c r="R130" s="9" t="n"/>
    </row>
    <row r="131">
      <c r="A131" s="7" t="n">
        <v>3</v>
      </c>
      <c r="B131" s="9" t="n"/>
      <c r="C131" s="9" t="n"/>
      <c r="D131" s="9" t="n"/>
      <c r="E131" s="9" t="n"/>
      <c r="F131" s="9" t="n"/>
      <c r="G131" s="9" t="n"/>
      <c r="H131" s="9" t="n"/>
      <c r="I131" s="7">
        <f>IFERROR(MAX(C131:H131),"")</f>
        <v/>
      </c>
      <c r="J131" s="7">
        <f>IFERROR(MATCH(I131,C131:H131,0),"")</f>
        <v/>
      </c>
      <c r="K131" s="7" t="n">
        <v>15</v>
      </c>
      <c r="L131" s="7">
        <f>IFERROR(I131*(1-(K131/100)),"")</f>
        <v/>
      </c>
      <c r="M131" s="7">
        <f>IFERROR(LOOKUP(9.99E+307,C131:H131),"")</f>
        <v/>
      </c>
      <c r="N131" s="7">
        <f>IFERROR(IF(M131="","",IF(M131&lt;=N131,"停组🛑","继续✓")),"")</f>
        <v/>
      </c>
      <c r="O131" s="7">
        <f>IFERROR(IF(M131="","",IF(M131&lt;0.15,"SAFETY_STOP","")),"")</f>
        <v/>
      </c>
      <c r="P131" s="7">
        <f>IFERROR(IF(M131="","",IF(M131&lt;0.15,"SAFETY_STOP",IF(M131&lt;=N131,"VL_THRESHOLD",""))),"")</f>
        <v/>
      </c>
      <c r="Q131" s="7">
        <f>IFERROR(IF(I131="","",IF(I131&gt;(0.7+0.05),"+5kg",IF(I131&gt;(0.7+0.02),"+2.5kg",IF(I131&gt;=(0.7-0.05),"保持",IF(I131&gt;=(0.7-0.08),"-2.5kg","-5kg"))))),"")</f>
        <v/>
      </c>
      <c r="R131" s="9" t="n"/>
    </row>
    <row r="132">
      <c r="A132" s="7" t="n">
        <v>4</v>
      </c>
      <c r="B132" s="9" t="n"/>
      <c r="C132" s="9" t="n"/>
      <c r="D132" s="9" t="n"/>
      <c r="E132" s="9" t="n"/>
      <c r="F132" s="9" t="n"/>
      <c r="G132" s="9" t="n"/>
      <c r="H132" s="9" t="n"/>
      <c r="I132" s="7">
        <f>IFERROR(MAX(C132:H132),"")</f>
        <v/>
      </c>
      <c r="J132" s="7">
        <f>IFERROR(MATCH(I132,C132:H132,0),"")</f>
        <v/>
      </c>
      <c r="K132" s="7" t="n">
        <v>15</v>
      </c>
      <c r="L132" s="7">
        <f>IFERROR(I132*(1-(K132/100)),"")</f>
        <v/>
      </c>
      <c r="M132" s="7">
        <f>IFERROR(LOOKUP(9.99E+307,C132:H132),"")</f>
        <v/>
      </c>
      <c r="N132" s="7">
        <f>IFERROR(IF(M132="","",IF(M132&lt;=N132,"停组🛑","继续✓")),"")</f>
        <v/>
      </c>
      <c r="O132" s="7">
        <f>IFERROR(IF(M132="","",IF(M132&lt;0.15,"SAFETY_STOP","")),"")</f>
        <v/>
      </c>
      <c r="P132" s="7">
        <f>IFERROR(IF(M132="","",IF(M132&lt;0.15,"SAFETY_STOP",IF(M132&lt;=N132,"VL_THRESHOLD",""))),"")</f>
        <v/>
      </c>
      <c r="Q132" s="7">
        <f>IFERROR(IF(I132="","",IF(I132&gt;(0.7+0.05),"+5kg",IF(I132&gt;(0.7+0.02),"+2.5kg",IF(I132&gt;=(0.7-0.05),"保持",IF(I132&gt;=(0.7-0.08),"-2.5kg","-5kg"))))),"")</f>
        <v/>
      </c>
      <c r="R132" s="9" t="n"/>
    </row>
    <row r="133">
      <c r="A133" s="7" t="n">
        <v>5</v>
      </c>
      <c r="B133" s="9" t="n"/>
      <c r="C133" s="9" t="n"/>
      <c r="D133" s="9" t="n"/>
      <c r="E133" s="9" t="n"/>
      <c r="F133" s="9" t="n"/>
      <c r="G133" s="9" t="n"/>
      <c r="H133" s="9" t="n"/>
      <c r="I133" s="7">
        <f>IFERROR(MAX(C133:H133),"")</f>
        <v/>
      </c>
      <c r="J133" s="7">
        <f>IFERROR(MATCH(I133,C133:H133,0),"")</f>
        <v/>
      </c>
      <c r="K133" s="7" t="n">
        <v>15</v>
      </c>
      <c r="L133" s="7">
        <f>IFERROR(I133*(1-(K133/100)),"")</f>
        <v/>
      </c>
      <c r="M133" s="7">
        <f>IFERROR(LOOKUP(9.99E+307,C133:H133),"")</f>
        <v/>
      </c>
      <c r="N133" s="7">
        <f>IFERROR(IF(M133="","",IF(M133&lt;=N133,"停组🛑","继续✓")),"")</f>
        <v/>
      </c>
      <c r="O133" s="7">
        <f>IFERROR(IF(M133="","",IF(M133&lt;0.15,"SAFETY_STOP","")),"")</f>
        <v/>
      </c>
      <c r="P133" s="7">
        <f>IFERROR(IF(M133="","",IF(M133&lt;0.15,"SAFETY_STOP",IF(M133&lt;=N133,"VL_THRESHOLD",""))),"")</f>
        <v/>
      </c>
      <c r="Q133" s="7">
        <f>IFERROR(IF(I133="","",IF(I133&gt;(0.7+0.05),"+5kg",IF(I133&gt;(0.7+0.02),"+2.5kg",IF(I133&gt;=(0.7-0.05),"保持",IF(I133&gt;=(0.7-0.08),"-2.5kg","-5kg"))))),"")</f>
        <v/>
      </c>
      <c r="R133" s="9" t="n"/>
    </row>
    <row r="134">
      <c r="A134" s="7" t="n">
        <v>6</v>
      </c>
      <c r="B134" s="9" t="n"/>
      <c r="C134" s="9" t="n"/>
      <c r="D134" s="9" t="n"/>
      <c r="E134" s="9" t="n"/>
      <c r="F134" s="9" t="n"/>
      <c r="G134" s="9" t="n"/>
      <c r="H134" s="9" t="n"/>
      <c r="I134" s="7">
        <f>IFERROR(MAX(C134:H134),"")</f>
        <v/>
      </c>
      <c r="J134" s="7">
        <f>IFERROR(MATCH(I134,C134:H134,0),"")</f>
        <v/>
      </c>
      <c r="K134" s="7" t="n">
        <v>15</v>
      </c>
      <c r="L134" s="7">
        <f>IFERROR(I134*(1-(K134/100)),"")</f>
        <v/>
      </c>
      <c r="M134" s="7">
        <f>IFERROR(LOOKUP(9.99E+307,C134:H134),"")</f>
        <v/>
      </c>
      <c r="N134" s="7">
        <f>IFERROR(IF(M134="","",IF(M134&lt;=N134,"停组🛑","继续✓")),"")</f>
        <v/>
      </c>
      <c r="O134" s="7">
        <f>IFERROR(IF(M134="","",IF(M134&lt;0.15,"SAFETY_STOP","")),"")</f>
        <v/>
      </c>
      <c r="P134" s="7">
        <f>IFERROR(IF(M134="","",IF(M134&lt;0.15,"SAFETY_STOP",IF(M134&lt;=N134,"VL_THRESHOLD",""))),"")</f>
        <v/>
      </c>
      <c r="Q134" s="7">
        <f>IFERROR(IF(I134="","",IF(I134&gt;(0.7+0.05),"+5kg",IF(I134&gt;(0.7+0.02),"+2.5kg",IF(I134&gt;=(0.7-0.05),"保持",IF(I134&gt;=(0.7-0.08),"-2.5kg","-5kg"))))),"")</f>
        <v/>
      </c>
      <c r="R134" s="9" t="n"/>
    </row>
    <row r="135">
      <c r="A135" s="13" t="inlineStr">
        <is>
          <t>辅助</t>
        </is>
      </c>
      <c r="D135" s="14" t="inlineStr">
        <is>
          <t>保加利亚单腿蹲</t>
        </is>
      </c>
      <c r="E135" s="14" t="inlineStr">
        <is>
          <t>负荷</t>
        </is>
      </c>
      <c r="F135" s="14" t="inlineStr">
        <is>
          <t>完成</t>
        </is>
      </c>
      <c r="I135" t="inlineStr">
        <is>
          <t>VL</t>
        </is>
      </c>
    </row>
    <row r="136">
      <c r="A136" s="15" t="inlineStr">
        <is>
          <t>训练后</t>
        </is>
      </c>
      <c r="B136" s="15" t="inlineStr">
        <is>
          <t>开始</t>
        </is>
      </c>
      <c r="C136" s="15" t="inlineStr">
        <is>
          <t>结束</t>
        </is>
      </c>
      <c r="D136" s="15" t="inlineStr">
        <is>
          <t>时长min</t>
        </is>
      </c>
      <c r="E136" s="15" t="inlineStr">
        <is>
          <t>sRPE</t>
        </is>
      </c>
      <c r="F136" s="15" t="inlineStr">
        <is>
          <t>load</t>
        </is>
      </c>
      <c r="G136" s="15" t="inlineStr">
        <is>
          <t>不适?</t>
        </is>
      </c>
      <c r="H136" s="15" t="inlineStr">
        <is>
          <t>备注</t>
        </is>
      </c>
      <c r="I136" s="15" t="inlineStr">
        <is>
          <t>签名</t>
        </is>
      </c>
    </row>
    <row r="137">
      <c r="A137" s="7" t="n"/>
      <c r="B137" s="9" t="n"/>
      <c r="C137" s="9" t="n"/>
      <c r="D137" s="11">
        <f>IFERROR((C137-B137)*1440,"")</f>
        <v/>
      </c>
      <c r="E137" s="9" t="n"/>
      <c r="F137" s="11">
        <f>IFERROR(E137*D137,"")</f>
        <v/>
      </c>
      <c r="G137" s="9" t="n"/>
      <c r="H137" s="9" t="n"/>
      <c r="I137" s="9" t="n"/>
    </row>
    <row r="138">
      <c r="A138" s="16" t="inlineStr">
        <is>
          <t>跳跃</t>
        </is>
      </c>
      <c r="B138" s="16" t="inlineStr">
        <is>
          <t>类型</t>
        </is>
      </c>
      <c r="C138" s="16" t="inlineStr">
        <is>
          <t>组×次</t>
        </is>
      </c>
      <c r="D138" s="16" t="inlineStr">
        <is>
          <t>负荷kg</t>
        </is>
      </c>
      <c r="E138" s="16" t="inlineStr">
        <is>
          <t>接触</t>
        </is>
      </c>
    </row>
    <row r="139">
      <c r="B139" t="inlineStr">
        <is>
          <t>SJ</t>
        </is>
      </c>
      <c r="C139" t="inlineStr">
        <is>
          <t>3×3</t>
        </is>
      </c>
      <c r="D139" t="n">
        <v>0</v>
      </c>
      <c r="E139" t="n">
        <v>9</v>
      </c>
    </row>
    <row r="140">
      <c r="B140" t="inlineStr">
        <is>
          <t>负重跳</t>
        </is>
      </c>
      <c r="C140" t="inlineStr">
        <is>
          <t>3×5</t>
        </is>
      </c>
      <c r="D140" s="14" t="n"/>
      <c r="E140" s="14" t="n"/>
    </row>
    <row r="141">
      <c r="A141" s="17" t="inlineStr">
        <is>
          <t>▶ 暴露量汇总</t>
        </is>
      </c>
      <c r="B141" s="17" t="inlineStr">
        <is>
          <t>说明</t>
        </is>
      </c>
      <c r="C141" s="17" t="inlineStr">
        <is>
          <t>公式/来源</t>
        </is>
      </c>
      <c r="D141" s="17" t="inlineStr">
        <is>
          <t>数值</t>
        </is>
      </c>
    </row>
    <row r="142">
      <c r="A142" s="18" t="inlineStr">
        <is>
          <t>① 无负荷跳跃接触</t>
        </is>
      </c>
      <c r="B142" s="18" t="inlineStr">
        <is>
          <t>CMJ+SJ+箱跳</t>
        </is>
      </c>
      <c r="C142" s="19">
        <f>IFERROR(E139+E140,2)</f>
        <v/>
      </c>
    </row>
    <row r="143">
      <c r="A143" s="18" t="inlineStr">
        <is>
          <t>② 负重跳跃接触</t>
        </is>
      </c>
      <c r="B143" s="18" t="inlineStr">
        <is>
          <t>负重深蹲跳</t>
        </is>
      </c>
      <c r="C143" s="19">
        <f>IFERROR(E140,"")</f>
        <v/>
      </c>
    </row>
    <row r="144">
      <c r="A144" s="18" t="inlineStr">
        <is>
          <t>③ 跳跃总计</t>
        </is>
      </c>
      <c r="B144" s="18" t="inlineStr">
        <is>
          <t>①+②</t>
        </is>
      </c>
      <c r="C144" s="19">
        <f>IFERROR(B142+B143,"")</f>
        <v/>
      </c>
    </row>
    <row r="145">
      <c r="A145" s="18" t="inlineStr">
        <is>
          <t>④ 热身VL</t>
        </is>
      </c>
      <c r="B145" s="18" t="inlineStr">
        <is>
          <t>20×5+50%×3(+70%×2)</t>
        </is>
      </c>
      <c r="C145" s="19">
        <f>IFERROR(20*5+ROUND(V125*0.5,0)*3,"-")</f>
        <v/>
      </c>
    </row>
    <row r="146">
      <c r="A146" s="20" t="inlineStr">
        <is>
          <t>⑤ 主项工作组VL ★</t>
        </is>
      </c>
      <c r="B146" s="20" t="inlineStr">
        <is>
          <t>Σ(负荷×次数)</t>
        </is>
      </c>
      <c r="C146" s="21">
        <f>SUMPRODUCT($B$129:$B$134,$R$129:$R$134)</f>
        <v/>
      </c>
    </row>
    <row r="147">
      <c r="A147" s="18" t="inlineStr">
        <is>
          <t>⑥ 主项总VL</t>
        </is>
      </c>
      <c r="B147" s="18" t="inlineStr">
        <is>
          <t>④+⑤</t>
        </is>
      </c>
      <c r="C147" s="19">
        <f>IFERROR(D142+D143,"")</f>
        <v/>
      </c>
    </row>
    <row r="148">
      <c r="A148" s="18" t="inlineStr">
        <is>
          <t>⑦ 辅助VL</t>
        </is>
      </c>
      <c r="B148" s="18" t="inlineStr">
        <is>
          <t>RDL/保加利亚</t>
        </is>
      </c>
      <c r="C148" s="19">
        <f>IFERROR(I135,"")</f>
        <v/>
      </c>
    </row>
    <row r="149">
      <c r="A149" s="18" t="inlineStr">
        <is>
          <t>⑧ 总外部负荷</t>
        </is>
      </c>
      <c r="B149" s="18" t="inlineStr">
        <is>
          <t>⑥+⑦(+负重跳)</t>
        </is>
      </c>
      <c r="C149" s="19">
        <f>IFERROR(F142+G142,"")</f>
        <v/>
      </c>
    </row>
    <row r="150">
      <c r="A150" s="18" t="inlineStr">
        <is>
          <t>⑨ sRPE load</t>
        </is>
      </c>
      <c r="B150" s="18" t="inlineStr">
        <is>
          <t>sRPE×时长</t>
        </is>
      </c>
      <c r="C150" s="19">
        <f>IFERROR(F137,"")</f>
        <v/>
      </c>
    </row>
    <row r="153">
      <c r="A153" s="5" t="inlineStr">
        <is>
          <t>P011 朱怀远  a=1.258 b=-0.00613 1RM=125</t>
        </is>
      </c>
    </row>
    <row r="154">
      <c r="A154" s="6" t="inlineStr">
        <is>
          <t>编号</t>
        </is>
      </c>
      <c r="B154" s="6" t="inlineStr">
        <is>
          <t>姓名</t>
        </is>
      </c>
      <c r="C154" s="6" t="inlineStr">
        <is>
          <t>身高</t>
        </is>
      </c>
      <c r="D154" s="6" t="inlineStr">
        <is>
          <t>1RM</t>
        </is>
      </c>
      <c r="E154" s="6" t="inlineStr">
        <is>
          <t>Hooper睡</t>
        </is>
      </c>
      <c r="F154" s="6" t="inlineStr">
        <is>
          <t>Hooper压</t>
        </is>
      </c>
      <c r="G154" s="6" t="inlineStr">
        <is>
          <t>Hooper疲</t>
        </is>
      </c>
      <c r="H154" s="6" t="inlineStr">
        <is>
          <t>Hooper酸</t>
        </is>
      </c>
      <c r="I154" s="6" t="inlineStr">
        <is>
          <t>H总</t>
        </is>
      </c>
      <c r="J154" s="6" t="inlineStr">
        <is>
          <t>不适?</t>
        </is>
      </c>
      <c r="K154" s="6" t="inlineStr">
        <is>
          <t>说明</t>
        </is>
      </c>
      <c r="L154" s="6" t="inlineStr">
        <is>
          <t>CMJ1</t>
        </is>
      </c>
      <c r="M154" s="6" t="inlineStr">
        <is>
          <t>CMJ2</t>
        </is>
      </c>
      <c r="N154" s="6" t="inlineStr">
        <is>
          <t>CMJ3</t>
        </is>
      </c>
      <c r="O154" s="6" t="inlineStr">
        <is>
          <t>CMJμ</t>
        </is>
      </c>
      <c r="P154" s="6" t="inlineStr">
        <is>
          <t>&lt;95%</t>
        </is>
      </c>
      <c r="Q154" s="6" t="inlineStr">
        <is>
          <t>减组</t>
        </is>
      </c>
      <c r="R154" s="6" t="inlineStr">
        <is>
          <t>组数</t>
        </is>
      </c>
      <c r="S154" s="6" t="inlineStr">
        <is>
          <t>a(V0)</t>
        </is>
      </c>
      <c r="T154" s="6" t="inlineStr">
        <is>
          <t>b</t>
        </is>
      </c>
      <c r="U154" s="6" t="inlineStr">
        <is>
          <t>等级</t>
        </is>
      </c>
      <c r="V154" s="6" t="inlineStr">
        <is>
          <t>预测起始</t>
        </is>
      </c>
    </row>
    <row r="155">
      <c r="A155" s="7" t="inlineStr">
        <is>
          <t>P011</t>
        </is>
      </c>
      <c r="B155" s="7" t="inlineStr">
        <is>
          <t>朱怀远</t>
        </is>
      </c>
      <c r="C155" s="7" t="n">
        <v>165</v>
      </c>
      <c r="D155" s="8" t="n">
        <v>125</v>
      </c>
      <c r="E155" s="9" t="n"/>
      <c r="F155" s="9" t="n"/>
      <c r="G155" s="9" t="n"/>
      <c r="H155" s="9" t="n"/>
      <c r="I155" s="7">
        <f>IFERROR(SUM(E155:H155),"")</f>
        <v/>
      </c>
      <c r="J155" s="9" t="n"/>
      <c r="K155" s="9" t="n"/>
      <c r="L155" s="9" t="n"/>
      <c r="M155" s="9" t="n"/>
      <c r="N155" s="9" t="n"/>
      <c r="O155" s="7">
        <f>IFERROR(AVERAGE(L155:N155),"")</f>
        <v/>
      </c>
      <c r="P155" s="7">
        <f>IF(O155="","",IF(O155&lt;64.98,"是⚠","否"))</f>
        <v/>
      </c>
      <c r="Q155" s="7">
        <f>IF(O155="","",IF(O155&lt;64.98,5-1,5))</f>
        <v/>
      </c>
      <c r="R155" s="7" t="n"/>
      <c r="S155" s="8" t="n">
        <v>1.258</v>
      </c>
      <c r="T155" s="8" t="n">
        <v>-0.00613</v>
      </c>
      <c r="U155" s="7" t="inlineStr">
        <is>
          <t>D</t>
        </is>
      </c>
      <c r="V155" s="8" t="n">
        <v>90</v>
      </c>
    </row>
    <row r="156">
      <c r="A156" s="10" t="inlineStr">
        <is>
          <t>热身校准</t>
        </is>
      </c>
      <c r="B156" s="10" t="inlineStr">
        <is>
          <t>a</t>
        </is>
      </c>
      <c r="C156" s="10" t="inlineStr">
        <is>
          <t>b</t>
        </is>
      </c>
      <c r="D156" s="10" t="inlineStr">
        <is>
          <t>50%热身</t>
        </is>
      </c>
      <c r="E156" s="10" t="inlineStr">
        <is>
          <t>70%热身</t>
        </is>
      </c>
      <c r="F156" s="10" t="inlineStr">
        <is>
          <t>热身负荷</t>
        </is>
      </c>
      <c r="G156" s="10" t="inlineStr">
        <is>
          <t>实测MCV</t>
        </is>
      </c>
      <c r="H156" s="10" t="inlineStr">
        <is>
          <t>预测MCV</t>
        </is>
      </c>
      <c r="I156" s="10" t="inlineStr">
        <is>
          <t>Δv</t>
        </is>
      </c>
      <c r="J156" s="10" t="inlineStr">
        <is>
          <t>调整量</t>
        </is>
      </c>
      <c r="K156" s="10" t="inlineStr">
        <is>
          <t>校准第1组</t>
        </is>
      </c>
    </row>
    <row r="157">
      <c r="A157" s="7" t="n"/>
      <c r="B157" s="11" t="n">
        <v>1.258</v>
      </c>
      <c r="C157" s="11" t="n">
        <v>-0.00613</v>
      </c>
      <c r="D157" s="11">
        <f>IFERROR(ROUND(V155*0.5/2.5,0)*2.5,"")</f>
        <v/>
      </c>
      <c r="E157" s="11" t="inlineStr"/>
      <c r="F157" s="11">
        <f>IFERROR(ROUND(V155*0.5/2.5,0)*2.5,"")</f>
        <v/>
      </c>
      <c r="G157" s="9" t="n"/>
      <c r="H157" s="11">
        <f>IFERROR(B157+C157*F157,"")</f>
        <v/>
      </c>
      <c r="I157" s="11">
        <f>IFERROR(G157-H157,"")</f>
        <v/>
      </c>
      <c r="J157" s="11">
        <f>IFERROR(IF(I157&gt;0.08,5,IF(I157&gt;0.04,2.5,IF(I157&gt;=-0.04,0,IF(I157&gt;=-0.08,-2.5,-5)))),"")</f>
        <v/>
      </c>
      <c r="K157" s="11">
        <f>IFERROR(ROUND(V155+J157,0),"")</f>
        <v/>
      </c>
    </row>
    <row r="158">
      <c r="A158" s="12" t="inlineStr">
        <is>
          <t>组</t>
        </is>
      </c>
      <c r="B158" s="12" t="inlineStr">
        <is>
          <t>负荷</t>
        </is>
      </c>
      <c r="C158" s="12" t="inlineStr">
        <is>
          <t>rep1</t>
        </is>
      </c>
      <c r="D158" s="12" t="inlineStr">
        <is>
          <t>rep2</t>
        </is>
      </c>
      <c r="E158" s="12" t="inlineStr">
        <is>
          <t>rep3</t>
        </is>
      </c>
      <c r="F158" s="12" t="inlineStr">
        <is>
          <t>rep4</t>
        </is>
      </c>
      <c r="G158" s="12" t="inlineStr">
        <is>
          <t>rep5</t>
        </is>
      </c>
      <c r="H158" s="12" t="inlineStr">
        <is>
          <t>rep6</t>
        </is>
      </c>
      <c r="I158" s="12" t="inlineStr">
        <is>
          <t>best</t>
        </is>
      </c>
      <c r="J158" s="12" t="inlineStr">
        <is>
          <t>best#</t>
        </is>
      </c>
      <c r="K158" s="12" t="inlineStr">
        <is>
          <t>VL%</t>
        </is>
      </c>
      <c r="L158" s="12" t="inlineStr">
        <is>
          <t>stop_th</t>
        </is>
      </c>
      <c r="M158" s="12" t="inlineStr">
        <is>
          <t>latest</t>
        </is>
      </c>
      <c r="N158" s="12" t="inlineStr">
        <is>
          <t>VL_flag</t>
        </is>
      </c>
      <c r="O158" s="12" t="inlineStr">
        <is>
          <t>safety</t>
        </is>
      </c>
      <c r="P158" s="12" t="inlineStr">
        <is>
          <t>原因</t>
        </is>
      </c>
      <c r="Q158" s="12" t="inlineStr">
        <is>
          <t>建议</t>
        </is>
      </c>
      <c r="R158" s="12" t="inlineStr">
        <is>
          <t>次数</t>
        </is>
      </c>
    </row>
    <row r="159">
      <c r="A159" s="7" t="n">
        <v>1</v>
      </c>
      <c r="B159" s="9">
        <f>IFERROR(K157,"")</f>
        <v/>
      </c>
      <c r="C159" s="9" t="n"/>
      <c r="D159" s="9" t="n"/>
      <c r="E159" s="9" t="n"/>
      <c r="F159" s="9" t="n"/>
      <c r="G159" s="9" t="n"/>
      <c r="H159" s="9" t="n"/>
      <c r="I159" s="7">
        <f>IFERROR(MAX(C159:H159),"")</f>
        <v/>
      </c>
      <c r="J159" s="7">
        <f>IFERROR(MATCH(I159,C159:H159,0),"")</f>
        <v/>
      </c>
      <c r="K159" s="7" t="n">
        <v>15</v>
      </c>
      <c r="L159" s="7">
        <f>IFERROR(I159*(1-(K159/100)),"")</f>
        <v/>
      </c>
      <c r="M159" s="7">
        <f>IFERROR(LOOKUP(9.99E+307,C159:H159),"")</f>
        <v/>
      </c>
      <c r="N159" s="7">
        <f>IFERROR(IF(M159="","",IF(M159&lt;=N159,"停组🛑","继续✓")),"")</f>
        <v/>
      </c>
      <c r="O159" s="7">
        <f>IFERROR(IF(M159="","",IF(M159&lt;0.15,"SAFETY_STOP","")),"")</f>
        <v/>
      </c>
      <c r="P159" s="7">
        <f>IFERROR(IF(M159="","",IF(M159&lt;0.15,"SAFETY_STOP",IF(M159&lt;=N159,"VL_THRESHOLD",""))),"")</f>
        <v/>
      </c>
      <c r="Q159" s="7">
        <f>IFERROR(IF(I159="","",IF(I159&gt;(0.7+0.05),"+5kg",IF(I159&gt;(0.7+0.02),"+2.5kg",IF(I159&gt;=(0.7-0.05),"保持",IF(I159&gt;=(0.7-0.08),"-2.5kg","-5kg"))))),"")</f>
        <v/>
      </c>
      <c r="R159" s="9" t="n"/>
    </row>
    <row r="160">
      <c r="A160" s="7" t="n">
        <v>2</v>
      </c>
      <c r="B160" s="9" t="n"/>
      <c r="C160" s="9" t="n"/>
      <c r="D160" s="9" t="n"/>
      <c r="E160" s="9" t="n"/>
      <c r="F160" s="9" t="n"/>
      <c r="G160" s="9" t="n"/>
      <c r="H160" s="9" t="n"/>
      <c r="I160" s="7">
        <f>IFERROR(MAX(C160:H160),"")</f>
        <v/>
      </c>
      <c r="J160" s="7">
        <f>IFERROR(MATCH(I160,C160:H160,0),"")</f>
        <v/>
      </c>
      <c r="K160" s="7" t="n">
        <v>15</v>
      </c>
      <c r="L160" s="7">
        <f>IFERROR(I160*(1-(K160/100)),"")</f>
        <v/>
      </c>
      <c r="M160" s="7">
        <f>IFERROR(LOOKUP(9.99E+307,C160:H160),"")</f>
        <v/>
      </c>
      <c r="N160" s="7">
        <f>IFERROR(IF(M160="","",IF(M160&lt;=N160,"停组🛑","继续✓")),"")</f>
        <v/>
      </c>
      <c r="O160" s="7">
        <f>IFERROR(IF(M160="","",IF(M160&lt;0.15,"SAFETY_STOP","")),"")</f>
        <v/>
      </c>
      <c r="P160" s="7">
        <f>IFERROR(IF(M160="","",IF(M160&lt;0.15,"SAFETY_STOP",IF(M160&lt;=N160,"VL_THRESHOLD",""))),"")</f>
        <v/>
      </c>
      <c r="Q160" s="7">
        <f>IFERROR(IF(I160="","",IF(I160&gt;(0.7+0.05),"+5kg",IF(I160&gt;(0.7+0.02),"+2.5kg",IF(I160&gt;=(0.7-0.05),"保持",IF(I160&gt;=(0.7-0.08),"-2.5kg","-5kg"))))),"")</f>
        <v/>
      </c>
      <c r="R160" s="9" t="n"/>
    </row>
    <row r="161">
      <c r="A161" s="7" t="n">
        <v>3</v>
      </c>
      <c r="B161" s="9" t="n"/>
      <c r="C161" s="9" t="n"/>
      <c r="D161" s="9" t="n"/>
      <c r="E161" s="9" t="n"/>
      <c r="F161" s="9" t="n"/>
      <c r="G161" s="9" t="n"/>
      <c r="H161" s="9" t="n"/>
      <c r="I161" s="7">
        <f>IFERROR(MAX(C161:H161),"")</f>
        <v/>
      </c>
      <c r="J161" s="7">
        <f>IFERROR(MATCH(I161,C161:H161,0),"")</f>
        <v/>
      </c>
      <c r="K161" s="7" t="n">
        <v>15</v>
      </c>
      <c r="L161" s="7">
        <f>IFERROR(I161*(1-(K161/100)),"")</f>
        <v/>
      </c>
      <c r="M161" s="7">
        <f>IFERROR(LOOKUP(9.99E+307,C161:H161),"")</f>
        <v/>
      </c>
      <c r="N161" s="7">
        <f>IFERROR(IF(M161="","",IF(M161&lt;=N161,"停组🛑","继续✓")),"")</f>
        <v/>
      </c>
      <c r="O161" s="7">
        <f>IFERROR(IF(M161="","",IF(M161&lt;0.15,"SAFETY_STOP","")),"")</f>
        <v/>
      </c>
      <c r="P161" s="7">
        <f>IFERROR(IF(M161="","",IF(M161&lt;0.15,"SAFETY_STOP",IF(M161&lt;=N161,"VL_THRESHOLD",""))),"")</f>
        <v/>
      </c>
      <c r="Q161" s="7">
        <f>IFERROR(IF(I161="","",IF(I161&gt;(0.7+0.05),"+5kg",IF(I161&gt;(0.7+0.02),"+2.5kg",IF(I161&gt;=(0.7-0.05),"保持",IF(I161&gt;=(0.7-0.08),"-2.5kg","-5kg"))))),"")</f>
        <v/>
      </c>
      <c r="R161" s="9" t="n"/>
    </row>
    <row r="162">
      <c r="A162" s="7" t="n">
        <v>4</v>
      </c>
      <c r="B162" s="9" t="n"/>
      <c r="C162" s="9" t="n"/>
      <c r="D162" s="9" t="n"/>
      <c r="E162" s="9" t="n"/>
      <c r="F162" s="9" t="n"/>
      <c r="G162" s="9" t="n"/>
      <c r="H162" s="9" t="n"/>
      <c r="I162" s="7">
        <f>IFERROR(MAX(C162:H162),"")</f>
        <v/>
      </c>
      <c r="J162" s="7">
        <f>IFERROR(MATCH(I162,C162:H162,0),"")</f>
        <v/>
      </c>
      <c r="K162" s="7" t="n">
        <v>15</v>
      </c>
      <c r="L162" s="7">
        <f>IFERROR(I162*(1-(K162/100)),"")</f>
        <v/>
      </c>
      <c r="M162" s="7">
        <f>IFERROR(LOOKUP(9.99E+307,C162:H162),"")</f>
        <v/>
      </c>
      <c r="N162" s="7">
        <f>IFERROR(IF(M162="","",IF(M162&lt;=N162,"停组🛑","继续✓")),"")</f>
        <v/>
      </c>
      <c r="O162" s="7">
        <f>IFERROR(IF(M162="","",IF(M162&lt;0.15,"SAFETY_STOP","")),"")</f>
        <v/>
      </c>
      <c r="P162" s="7">
        <f>IFERROR(IF(M162="","",IF(M162&lt;0.15,"SAFETY_STOP",IF(M162&lt;=N162,"VL_THRESHOLD",""))),"")</f>
        <v/>
      </c>
      <c r="Q162" s="7">
        <f>IFERROR(IF(I162="","",IF(I162&gt;(0.7+0.05),"+5kg",IF(I162&gt;(0.7+0.02),"+2.5kg",IF(I162&gt;=(0.7-0.05),"保持",IF(I162&gt;=(0.7-0.08),"-2.5kg","-5kg"))))),"")</f>
        <v/>
      </c>
      <c r="R162" s="9" t="n"/>
    </row>
    <row r="163">
      <c r="A163" s="7" t="n">
        <v>5</v>
      </c>
      <c r="B163" s="9" t="n"/>
      <c r="C163" s="9" t="n"/>
      <c r="D163" s="9" t="n"/>
      <c r="E163" s="9" t="n"/>
      <c r="F163" s="9" t="n"/>
      <c r="G163" s="9" t="n"/>
      <c r="H163" s="9" t="n"/>
      <c r="I163" s="7">
        <f>IFERROR(MAX(C163:H163),"")</f>
        <v/>
      </c>
      <c r="J163" s="7">
        <f>IFERROR(MATCH(I163,C163:H163,0),"")</f>
        <v/>
      </c>
      <c r="K163" s="7" t="n">
        <v>15</v>
      </c>
      <c r="L163" s="7">
        <f>IFERROR(I163*(1-(K163/100)),"")</f>
        <v/>
      </c>
      <c r="M163" s="7">
        <f>IFERROR(LOOKUP(9.99E+307,C163:H163),"")</f>
        <v/>
      </c>
      <c r="N163" s="7">
        <f>IFERROR(IF(M163="","",IF(M163&lt;=N163,"停组🛑","继续✓")),"")</f>
        <v/>
      </c>
      <c r="O163" s="7">
        <f>IFERROR(IF(M163="","",IF(M163&lt;0.15,"SAFETY_STOP","")),"")</f>
        <v/>
      </c>
      <c r="P163" s="7">
        <f>IFERROR(IF(M163="","",IF(M163&lt;0.15,"SAFETY_STOP",IF(M163&lt;=N163,"VL_THRESHOLD",""))),"")</f>
        <v/>
      </c>
      <c r="Q163" s="7">
        <f>IFERROR(IF(I163="","",IF(I163&gt;(0.7+0.05),"+5kg",IF(I163&gt;(0.7+0.02),"+2.5kg",IF(I163&gt;=(0.7-0.05),"保持",IF(I163&gt;=(0.7-0.08),"-2.5kg","-5kg"))))),"")</f>
        <v/>
      </c>
      <c r="R163" s="9" t="n"/>
    </row>
    <row r="164">
      <c r="A164" s="7" t="n">
        <v>6</v>
      </c>
      <c r="B164" s="9" t="n"/>
      <c r="C164" s="9" t="n"/>
      <c r="D164" s="9" t="n"/>
      <c r="E164" s="9" t="n"/>
      <c r="F164" s="9" t="n"/>
      <c r="G164" s="9" t="n"/>
      <c r="H164" s="9" t="n"/>
      <c r="I164" s="7">
        <f>IFERROR(MAX(C164:H164),"")</f>
        <v/>
      </c>
      <c r="J164" s="7">
        <f>IFERROR(MATCH(I164,C164:H164,0),"")</f>
        <v/>
      </c>
      <c r="K164" s="7" t="n">
        <v>15</v>
      </c>
      <c r="L164" s="7">
        <f>IFERROR(I164*(1-(K164/100)),"")</f>
        <v/>
      </c>
      <c r="M164" s="7">
        <f>IFERROR(LOOKUP(9.99E+307,C164:H164),"")</f>
        <v/>
      </c>
      <c r="N164" s="7">
        <f>IFERROR(IF(M164="","",IF(M164&lt;=N164,"停组🛑","继续✓")),"")</f>
        <v/>
      </c>
      <c r="O164" s="7">
        <f>IFERROR(IF(M164="","",IF(M164&lt;0.15,"SAFETY_STOP","")),"")</f>
        <v/>
      </c>
      <c r="P164" s="7">
        <f>IFERROR(IF(M164="","",IF(M164&lt;0.15,"SAFETY_STOP",IF(M164&lt;=N164,"VL_THRESHOLD",""))),"")</f>
        <v/>
      </c>
      <c r="Q164" s="7">
        <f>IFERROR(IF(I164="","",IF(I164&gt;(0.7+0.05),"+5kg",IF(I164&gt;(0.7+0.02),"+2.5kg",IF(I164&gt;=(0.7-0.05),"保持",IF(I164&gt;=(0.7-0.08),"-2.5kg","-5kg"))))),"")</f>
        <v/>
      </c>
      <c r="R164" s="9" t="n"/>
    </row>
    <row r="165">
      <c r="A165" s="13" t="inlineStr">
        <is>
          <t>辅助</t>
        </is>
      </c>
      <c r="D165" s="14" t="inlineStr">
        <is>
          <t>保加利亚单腿蹲</t>
        </is>
      </c>
      <c r="E165" s="14" t="inlineStr">
        <is>
          <t>负荷</t>
        </is>
      </c>
      <c r="F165" s="14" t="inlineStr">
        <is>
          <t>完成</t>
        </is>
      </c>
      <c r="I165" t="inlineStr">
        <is>
          <t>VL</t>
        </is>
      </c>
    </row>
    <row r="166">
      <c r="A166" s="15" t="inlineStr">
        <is>
          <t>训练后</t>
        </is>
      </c>
      <c r="B166" s="15" t="inlineStr">
        <is>
          <t>开始</t>
        </is>
      </c>
      <c r="C166" s="15" t="inlineStr">
        <is>
          <t>结束</t>
        </is>
      </c>
      <c r="D166" s="15" t="inlineStr">
        <is>
          <t>时长min</t>
        </is>
      </c>
      <c r="E166" s="15" t="inlineStr">
        <is>
          <t>sRPE</t>
        </is>
      </c>
      <c r="F166" s="15" t="inlineStr">
        <is>
          <t>load</t>
        </is>
      </c>
      <c r="G166" s="15" t="inlineStr">
        <is>
          <t>不适?</t>
        </is>
      </c>
      <c r="H166" s="15" t="inlineStr">
        <is>
          <t>备注</t>
        </is>
      </c>
      <c r="I166" s="15" t="inlineStr">
        <is>
          <t>签名</t>
        </is>
      </c>
    </row>
    <row r="167">
      <c r="A167" s="7" t="n"/>
      <c r="B167" s="9" t="n"/>
      <c r="C167" s="9" t="n"/>
      <c r="D167" s="11">
        <f>IFERROR((C167-B167)*1440,"")</f>
        <v/>
      </c>
      <c r="E167" s="9" t="n"/>
      <c r="F167" s="11">
        <f>IFERROR(E167*D167,"")</f>
        <v/>
      </c>
      <c r="G167" s="9" t="n"/>
      <c r="H167" s="9" t="n"/>
      <c r="I167" s="9" t="n"/>
    </row>
    <row r="168">
      <c r="A168" s="16" t="inlineStr">
        <is>
          <t>跳跃</t>
        </is>
      </c>
      <c r="B168" s="16" t="inlineStr">
        <is>
          <t>类型</t>
        </is>
      </c>
      <c r="C168" s="16" t="inlineStr">
        <is>
          <t>组×次</t>
        </is>
      </c>
      <c r="D168" s="16" t="inlineStr">
        <is>
          <t>负荷kg</t>
        </is>
      </c>
      <c r="E168" s="16" t="inlineStr">
        <is>
          <t>接触</t>
        </is>
      </c>
    </row>
    <row r="169">
      <c r="B169" t="inlineStr">
        <is>
          <t>SJ</t>
        </is>
      </c>
      <c r="C169" t="inlineStr">
        <is>
          <t>3×3</t>
        </is>
      </c>
      <c r="D169" t="n">
        <v>0</v>
      </c>
      <c r="E169" t="n">
        <v>9</v>
      </c>
    </row>
    <row r="170">
      <c r="B170" t="inlineStr">
        <is>
          <t>负重跳</t>
        </is>
      </c>
      <c r="C170" t="inlineStr">
        <is>
          <t>3×5</t>
        </is>
      </c>
      <c r="D170" s="14" t="n"/>
      <c r="E170" s="14" t="n"/>
    </row>
    <row r="171">
      <c r="A171" s="17" t="inlineStr">
        <is>
          <t>▶ 暴露量汇总</t>
        </is>
      </c>
      <c r="B171" s="17" t="inlineStr">
        <is>
          <t>说明</t>
        </is>
      </c>
      <c r="C171" s="17" t="inlineStr">
        <is>
          <t>公式/来源</t>
        </is>
      </c>
      <c r="D171" s="17" t="inlineStr">
        <is>
          <t>数值</t>
        </is>
      </c>
    </row>
    <row r="172">
      <c r="A172" s="18" t="inlineStr">
        <is>
          <t>① 无负荷跳跃接触</t>
        </is>
      </c>
      <c r="B172" s="18" t="inlineStr">
        <is>
          <t>CMJ+SJ+箱跳</t>
        </is>
      </c>
      <c r="C172" s="19">
        <f>IFERROR(E169+E170,2)</f>
        <v/>
      </c>
    </row>
    <row r="173">
      <c r="A173" s="18" t="inlineStr">
        <is>
          <t>② 负重跳跃接触</t>
        </is>
      </c>
      <c r="B173" s="18" t="inlineStr">
        <is>
          <t>负重深蹲跳</t>
        </is>
      </c>
      <c r="C173" s="19">
        <f>IFERROR(E170,"")</f>
        <v/>
      </c>
    </row>
    <row r="174">
      <c r="A174" s="18" t="inlineStr">
        <is>
          <t>③ 跳跃总计</t>
        </is>
      </c>
      <c r="B174" s="18" t="inlineStr">
        <is>
          <t>①+②</t>
        </is>
      </c>
      <c r="C174" s="19">
        <f>IFERROR(B172+B173,"")</f>
        <v/>
      </c>
    </row>
    <row r="175">
      <c r="A175" s="18" t="inlineStr">
        <is>
          <t>④ 热身VL</t>
        </is>
      </c>
      <c r="B175" s="18" t="inlineStr">
        <is>
          <t>20×5+50%×3(+70%×2)</t>
        </is>
      </c>
      <c r="C175" s="19">
        <f>IFERROR(20*5+ROUND(V155*0.5,0)*3,"-")</f>
        <v/>
      </c>
    </row>
    <row r="176">
      <c r="A176" s="20" t="inlineStr">
        <is>
          <t>⑤ 主项工作组VL ★</t>
        </is>
      </c>
      <c r="B176" s="20" t="inlineStr">
        <is>
          <t>Σ(负荷×次数)</t>
        </is>
      </c>
      <c r="C176" s="21">
        <f>SUMPRODUCT($B$159:$B$164,$R$159:$R$164)</f>
        <v/>
      </c>
    </row>
    <row r="177">
      <c r="A177" s="18" t="inlineStr">
        <is>
          <t>⑥ 主项总VL</t>
        </is>
      </c>
      <c r="B177" s="18" t="inlineStr">
        <is>
          <t>④+⑤</t>
        </is>
      </c>
      <c r="C177" s="19">
        <f>IFERROR(D172+D173,"")</f>
        <v/>
      </c>
    </row>
    <row r="178">
      <c r="A178" s="18" t="inlineStr">
        <is>
          <t>⑦ 辅助VL</t>
        </is>
      </c>
      <c r="B178" s="18" t="inlineStr">
        <is>
          <t>RDL/保加利亚</t>
        </is>
      </c>
      <c r="C178" s="19">
        <f>IFERROR(I165,"")</f>
        <v/>
      </c>
    </row>
    <row r="179">
      <c r="A179" s="18" t="inlineStr">
        <is>
          <t>⑧ 总外部负荷</t>
        </is>
      </c>
      <c r="B179" s="18" t="inlineStr">
        <is>
          <t>⑥+⑦(+负重跳)</t>
        </is>
      </c>
      <c r="C179" s="19">
        <f>IFERROR(F172+G172,"")</f>
        <v/>
      </c>
    </row>
    <row r="180">
      <c r="A180" s="18" t="inlineStr">
        <is>
          <t>⑨ sRPE load</t>
        </is>
      </c>
      <c r="B180" s="18" t="inlineStr">
        <is>
          <t>sRPE×时长</t>
        </is>
      </c>
      <c r="C180" s="19">
        <f>IFERROR(F167,"")</f>
        <v/>
      </c>
    </row>
    <row r="183">
      <c r="A183" s="5" t="inlineStr">
        <is>
          <t>P016 杜遥  a=1.54 b=-0.0085 1RM=135</t>
        </is>
      </c>
    </row>
    <row r="184">
      <c r="A184" s="6" t="inlineStr">
        <is>
          <t>编号</t>
        </is>
      </c>
      <c r="B184" s="6" t="inlineStr">
        <is>
          <t>姓名</t>
        </is>
      </c>
      <c r="C184" s="6" t="inlineStr">
        <is>
          <t>身高</t>
        </is>
      </c>
      <c r="D184" s="6" t="inlineStr">
        <is>
          <t>1RM</t>
        </is>
      </c>
      <c r="E184" s="6" t="inlineStr">
        <is>
          <t>Hooper睡</t>
        </is>
      </c>
      <c r="F184" s="6" t="inlineStr">
        <is>
          <t>Hooper压</t>
        </is>
      </c>
      <c r="G184" s="6" t="inlineStr">
        <is>
          <t>Hooper疲</t>
        </is>
      </c>
      <c r="H184" s="6" t="inlineStr">
        <is>
          <t>Hooper酸</t>
        </is>
      </c>
      <c r="I184" s="6" t="inlineStr">
        <is>
          <t>H总</t>
        </is>
      </c>
      <c r="J184" s="6" t="inlineStr">
        <is>
          <t>不适?</t>
        </is>
      </c>
      <c r="K184" s="6" t="inlineStr">
        <is>
          <t>说明</t>
        </is>
      </c>
      <c r="L184" s="6" t="inlineStr">
        <is>
          <t>CMJ1</t>
        </is>
      </c>
      <c r="M184" s="6" t="inlineStr">
        <is>
          <t>CMJ2</t>
        </is>
      </c>
      <c r="N184" s="6" t="inlineStr">
        <is>
          <t>CMJ3</t>
        </is>
      </c>
      <c r="O184" s="6" t="inlineStr">
        <is>
          <t>CMJμ</t>
        </is>
      </c>
      <c r="P184" s="6" t="inlineStr">
        <is>
          <t>&lt;95%</t>
        </is>
      </c>
      <c r="Q184" s="6" t="inlineStr">
        <is>
          <t>减组</t>
        </is>
      </c>
      <c r="R184" s="6" t="inlineStr">
        <is>
          <t>组数</t>
        </is>
      </c>
      <c r="S184" s="6" t="inlineStr">
        <is>
          <t>a(V0)</t>
        </is>
      </c>
      <c r="T184" s="6" t="inlineStr">
        <is>
          <t>b</t>
        </is>
      </c>
      <c r="U184" s="6" t="inlineStr">
        <is>
          <t>等级</t>
        </is>
      </c>
      <c r="V184" s="6" t="inlineStr">
        <is>
          <t>预测起始</t>
        </is>
      </c>
    </row>
    <row r="185">
      <c r="A185" s="7" t="inlineStr">
        <is>
          <t>P016</t>
        </is>
      </c>
      <c r="B185" s="7" t="inlineStr">
        <is>
          <t>杜遥</t>
        </is>
      </c>
      <c r="C185" s="7" t="n">
        <v>180</v>
      </c>
      <c r="D185" s="8" t="n">
        <v>135</v>
      </c>
      <c r="E185" s="9" t="n"/>
      <c r="F185" s="9" t="n"/>
      <c r="G185" s="9" t="n"/>
      <c r="H185" s="9" t="n"/>
      <c r="I185" s="7">
        <f>IFERROR(SUM(E185:H185),"")</f>
        <v/>
      </c>
      <c r="J185" s="9" t="n"/>
      <c r="K185" s="9" t="n"/>
      <c r="L185" s="9" t="n"/>
      <c r="M185" s="9" t="n"/>
      <c r="N185" s="9" t="n"/>
      <c r="O185" s="7">
        <f>IFERROR(AVERAGE(L185:N185),"")</f>
        <v/>
      </c>
      <c r="P185" s="7">
        <f>IF(O185="","",IF(O185&lt;49.75,"是⚠","否"))</f>
        <v/>
      </c>
      <c r="Q185" s="7">
        <f>IF(O185="","",IF(O185&lt;49.75,5-1,5))</f>
        <v/>
      </c>
      <c r="R185" s="7" t="n"/>
      <c r="S185" s="8" t="n">
        <v>1.54</v>
      </c>
      <c r="T185" s="8" t="n">
        <v>-0.008500000000000001</v>
      </c>
      <c r="U185" s="7" t="inlineStr">
        <is>
          <t>B</t>
        </is>
      </c>
      <c r="V185" s="8" t="n">
        <v>100</v>
      </c>
    </row>
    <row r="186">
      <c r="A186" s="10" t="inlineStr">
        <is>
          <t>热身校准</t>
        </is>
      </c>
      <c r="B186" s="10" t="inlineStr">
        <is>
          <t>a</t>
        </is>
      </c>
      <c r="C186" s="10" t="inlineStr">
        <is>
          <t>b</t>
        </is>
      </c>
      <c r="D186" s="10" t="inlineStr">
        <is>
          <t>50%热身</t>
        </is>
      </c>
      <c r="E186" s="10" t="inlineStr">
        <is>
          <t>70%热身</t>
        </is>
      </c>
      <c r="F186" s="10" t="inlineStr">
        <is>
          <t>热身负荷</t>
        </is>
      </c>
      <c r="G186" s="10" t="inlineStr">
        <is>
          <t>实测MCV</t>
        </is>
      </c>
      <c r="H186" s="10" t="inlineStr">
        <is>
          <t>预测MCV</t>
        </is>
      </c>
      <c r="I186" s="10" t="inlineStr">
        <is>
          <t>Δv</t>
        </is>
      </c>
      <c r="J186" s="10" t="inlineStr">
        <is>
          <t>调整量</t>
        </is>
      </c>
      <c r="K186" s="10" t="inlineStr">
        <is>
          <t>校准第1组</t>
        </is>
      </c>
    </row>
    <row r="187">
      <c r="A187" s="7" t="n"/>
      <c r="B187" s="11" t="n">
        <v>1.54</v>
      </c>
      <c r="C187" s="11" t="n">
        <v>-0.008500000000000001</v>
      </c>
      <c r="D187" s="11">
        <f>IFERROR(ROUND(V185*0.5/2.5,0)*2.5,"")</f>
        <v/>
      </c>
      <c r="E187" s="11" t="inlineStr"/>
      <c r="F187" s="11">
        <f>IFERROR(ROUND(V185*0.5/2.5,0)*2.5,"")</f>
        <v/>
      </c>
      <c r="G187" s="9" t="n"/>
      <c r="H187" s="11">
        <f>IFERROR(B187+C187*F187,"")</f>
        <v/>
      </c>
      <c r="I187" s="11">
        <f>IFERROR(G187-H187,"")</f>
        <v/>
      </c>
      <c r="J187" s="11">
        <f>IFERROR(IF(I187&gt;0.08,5,IF(I187&gt;0.04,2.5,IF(I187&gt;=-0.04,0,IF(I187&gt;=-0.08,-2.5,-5)))),"")</f>
        <v/>
      </c>
      <c r="K187" s="11">
        <f>IFERROR(ROUND(V185+J187,0),"")</f>
        <v/>
      </c>
    </row>
    <row r="188">
      <c r="A188" s="12" t="inlineStr">
        <is>
          <t>组</t>
        </is>
      </c>
      <c r="B188" s="12" t="inlineStr">
        <is>
          <t>负荷</t>
        </is>
      </c>
      <c r="C188" s="12" t="inlineStr">
        <is>
          <t>rep1</t>
        </is>
      </c>
      <c r="D188" s="12" t="inlineStr">
        <is>
          <t>rep2</t>
        </is>
      </c>
      <c r="E188" s="12" t="inlineStr">
        <is>
          <t>rep3</t>
        </is>
      </c>
      <c r="F188" s="12" t="inlineStr">
        <is>
          <t>rep4</t>
        </is>
      </c>
      <c r="G188" s="12" t="inlineStr">
        <is>
          <t>rep5</t>
        </is>
      </c>
      <c r="H188" s="12" t="inlineStr">
        <is>
          <t>rep6</t>
        </is>
      </c>
      <c r="I188" s="12" t="inlineStr">
        <is>
          <t>best</t>
        </is>
      </c>
      <c r="J188" s="12" t="inlineStr">
        <is>
          <t>best#</t>
        </is>
      </c>
      <c r="K188" s="12" t="inlineStr">
        <is>
          <t>VL%</t>
        </is>
      </c>
      <c r="L188" s="12" t="inlineStr">
        <is>
          <t>stop_th</t>
        </is>
      </c>
      <c r="M188" s="12" t="inlineStr">
        <is>
          <t>latest</t>
        </is>
      </c>
      <c r="N188" s="12" t="inlineStr">
        <is>
          <t>VL_flag</t>
        </is>
      </c>
      <c r="O188" s="12" t="inlineStr">
        <is>
          <t>safety</t>
        </is>
      </c>
      <c r="P188" s="12" t="inlineStr">
        <is>
          <t>原因</t>
        </is>
      </c>
      <c r="Q188" s="12" t="inlineStr">
        <is>
          <t>建议</t>
        </is>
      </c>
      <c r="R188" s="12" t="inlineStr">
        <is>
          <t>次数</t>
        </is>
      </c>
    </row>
    <row r="189">
      <c r="A189" s="7" t="n">
        <v>1</v>
      </c>
      <c r="B189" s="9">
        <f>IFERROR(K187,"")</f>
        <v/>
      </c>
      <c r="C189" s="9" t="n"/>
      <c r="D189" s="9" t="n"/>
      <c r="E189" s="9" t="n"/>
      <c r="F189" s="9" t="n"/>
      <c r="G189" s="9" t="n"/>
      <c r="H189" s="9" t="n"/>
      <c r="I189" s="7">
        <f>IFERROR(MAX(C189:H189),"")</f>
        <v/>
      </c>
      <c r="J189" s="7">
        <f>IFERROR(MATCH(I189,C189:H189,0),"")</f>
        <v/>
      </c>
      <c r="K189" s="7" t="n">
        <v>15</v>
      </c>
      <c r="L189" s="7">
        <f>IFERROR(I189*(1-(K189/100)),"")</f>
        <v/>
      </c>
      <c r="M189" s="7">
        <f>IFERROR(LOOKUP(9.99E+307,C189:H189),"")</f>
        <v/>
      </c>
      <c r="N189" s="7">
        <f>IFERROR(IF(M189="","",IF(M189&lt;=N189,"停组🛑","继续✓")),"")</f>
        <v/>
      </c>
      <c r="O189" s="7">
        <f>IFERROR(IF(M189="","",IF(M189&lt;0.15,"SAFETY_STOP","")),"")</f>
        <v/>
      </c>
      <c r="P189" s="7">
        <f>IFERROR(IF(M189="","",IF(M189&lt;0.15,"SAFETY_STOP",IF(M189&lt;=N189,"VL_THRESHOLD",""))),"")</f>
        <v/>
      </c>
      <c r="Q189" s="7">
        <f>IFERROR(IF(I189="","",IF(I189&gt;(0.7+0.05),"+5kg",IF(I189&gt;(0.7+0.02),"+2.5kg",IF(I189&gt;=(0.7-0.05),"保持",IF(I189&gt;=(0.7-0.08),"-2.5kg","-5kg"))))),"")</f>
        <v/>
      </c>
      <c r="R189" s="9" t="n"/>
    </row>
    <row r="190">
      <c r="A190" s="7" t="n">
        <v>2</v>
      </c>
      <c r="B190" s="9" t="n"/>
      <c r="C190" s="9" t="n"/>
      <c r="D190" s="9" t="n"/>
      <c r="E190" s="9" t="n"/>
      <c r="F190" s="9" t="n"/>
      <c r="G190" s="9" t="n"/>
      <c r="H190" s="9" t="n"/>
      <c r="I190" s="7">
        <f>IFERROR(MAX(C190:H190),"")</f>
        <v/>
      </c>
      <c r="J190" s="7">
        <f>IFERROR(MATCH(I190,C190:H190,0),"")</f>
        <v/>
      </c>
      <c r="K190" s="7" t="n">
        <v>15</v>
      </c>
      <c r="L190" s="7">
        <f>IFERROR(I190*(1-(K190/100)),"")</f>
        <v/>
      </c>
      <c r="M190" s="7">
        <f>IFERROR(LOOKUP(9.99E+307,C190:H190),"")</f>
        <v/>
      </c>
      <c r="N190" s="7">
        <f>IFERROR(IF(M190="","",IF(M190&lt;=N190,"停组🛑","继续✓")),"")</f>
        <v/>
      </c>
      <c r="O190" s="7">
        <f>IFERROR(IF(M190="","",IF(M190&lt;0.15,"SAFETY_STOP","")),"")</f>
        <v/>
      </c>
      <c r="P190" s="7">
        <f>IFERROR(IF(M190="","",IF(M190&lt;0.15,"SAFETY_STOP",IF(M190&lt;=N190,"VL_THRESHOLD",""))),"")</f>
        <v/>
      </c>
      <c r="Q190" s="7">
        <f>IFERROR(IF(I190="","",IF(I190&gt;(0.7+0.05),"+5kg",IF(I190&gt;(0.7+0.02),"+2.5kg",IF(I190&gt;=(0.7-0.05),"保持",IF(I190&gt;=(0.7-0.08),"-2.5kg","-5kg"))))),"")</f>
        <v/>
      </c>
      <c r="R190" s="9" t="n"/>
    </row>
    <row r="191">
      <c r="A191" s="7" t="n">
        <v>3</v>
      </c>
      <c r="B191" s="9" t="n"/>
      <c r="C191" s="9" t="n"/>
      <c r="D191" s="9" t="n"/>
      <c r="E191" s="9" t="n"/>
      <c r="F191" s="9" t="n"/>
      <c r="G191" s="9" t="n"/>
      <c r="H191" s="9" t="n"/>
      <c r="I191" s="7">
        <f>IFERROR(MAX(C191:H191),"")</f>
        <v/>
      </c>
      <c r="J191" s="7">
        <f>IFERROR(MATCH(I191,C191:H191,0),"")</f>
        <v/>
      </c>
      <c r="K191" s="7" t="n">
        <v>15</v>
      </c>
      <c r="L191" s="7">
        <f>IFERROR(I191*(1-(K191/100)),"")</f>
        <v/>
      </c>
      <c r="M191" s="7">
        <f>IFERROR(LOOKUP(9.99E+307,C191:H191),"")</f>
        <v/>
      </c>
      <c r="N191" s="7">
        <f>IFERROR(IF(M191="","",IF(M191&lt;=N191,"停组🛑","继续✓")),"")</f>
        <v/>
      </c>
      <c r="O191" s="7">
        <f>IFERROR(IF(M191="","",IF(M191&lt;0.15,"SAFETY_STOP","")),"")</f>
        <v/>
      </c>
      <c r="P191" s="7">
        <f>IFERROR(IF(M191="","",IF(M191&lt;0.15,"SAFETY_STOP",IF(M191&lt;=N191,"VL_THRESHOLD",""))),"")</f>
        <v/>
      </c>
      <c r="Q191" s="7">
        <f>IFERROR(IF(I191="","",IF(I191&gt;(0.7+0.05),"+5kg",IF(I191&gt;(0.7+0.02),"+2.5kg",IF(I191&gt;=(0.7-0.05),"保持",IF(I191&gt;=(0.7-0.08),"-2.5kg","-5kg"))))),"")</f>
        <v/>
      </c>
      <c r="R191" s="9" t="n"/>
    </row>
    <row r="192">
      <c r="A192" s="7" t="n">
        <v>4</v>
      </c>
      <c r="B192" s="9" t="n"/>
      <c r="C192" s="9" t="n"/>
      <c r="D192" s="9" t="n"/>
      <c r="E192" s="9" t="n"/>
      <c r="F192" s="9" t="n"/>
      <c r="G192" s="9" t="n"/>
      <c r="H192" s="9" t="n"/>
      <c r="I192" s="7">
        <f>IFERROR(MAX(C192:H192),"")</f>
        <v/>
      </c>
      <c r="J192" s="7">
        <f>IFERROR(MATCH(I192,C192:H192,0),"")</f>
        <v/>
      </c>
      <c r="K192" s="7" t="n">
        <v>15</v>
      </c>
      <c r="L192" s="7">
        <f>IFERROR(I192*(1-(K192/100)),"")</f>
        <v/>
      </c>
      <c r="M192" s="7">
        <f>IFERROR(LOOKUP(9.99E+307,C192:H192),"")</f>
        <v/>
      </c>
      <c r="N192" s="7">
        <f>IFERROR(IF(M192="","",IF(M192&lt;=N192,"停组🛑","继续✓")),"")</f>
        <v/>
      </c>
      <c r="O192" s="7">
        <f>IFERROR(IF(M192="","",IF(M192&lt;0.15,"SAFETY_STOP","")),"")</f>
        <v/>
      </c>
      <c r="P192" s="7">
        <f>IFERROR(IF(M192="","",IF(M192&lt;0.15,"SAFETY_STOP",IF(M192&lt;=N192,"VL_THRESHOLD",""))),"")</f>
        <v/>
      </c>
      <c r="Q192" s="7">
        <f>IFERROR(IF(I192="","",IF(I192&gt;(0.7+0.05),"+5kg",IF(I192&gt;(0.7+0.02),"+2.5kg",IF(I192&gt;=(0.7-0.05),"保持",IF(I192&gt;=(0.7-0.08),"-2.5kg","-5kg"))))),"")</f>
        <v/>
      </c>
      <c r="R192" s="9" t="n"/>
    </row>
    <row r="193">
      <c r="A193" s="7" t="n">
        <v>5</v>
      </c>
      <c r="B193" s="9" t="n"/>
      <c r="C193" s="9" t="n"/>
      <c r="D193" s="9" t="n"/>
      <c r="E193" s="9" t="n"/>
      <c r="F193" s="9" t="n"/>
      <c r="G193" s="9" t="n"/>
      <c r="H193" s="9" t="n"/>
      <c r="I193" s="7">
        <f>IFERROR(MAX(C193:H193),"")</f>
        <v/>
      </c>
      <c r="J193" s="7">
        <f>IFERROR(MATCH(I193,C193:H193,0),"")</f>
        <v/>
      </c>
      <c r="K193" s="7" t="n">
        <v>15</v>
      </c>
      <c r="L193" s="7">
        <f>IFERROR(I193*(1-(K193/100)),"")</f>
        <v/>
      </c>
      <c r="M193" s="7">
        <f>IFERROR(LOOKUP(9.99E+307,C193:H193),"")</f>
        <v/>
      </c>
      <c r="N193" s="7">
        <f>IFERROR(IF(M193="","",IF(M193&lt;=N193,"停组🛑","继续✓")),"")</f>
        <v/>
      </c>
      <c r="O193" s="7">
        <f>IFERROR(IF(M193="","",IF(M193&lt;0.15,"SAFETY_STOP","")),"")</f>
        <v/>
      </c>
      <c r="P193" s="7">
        <f>IFERROR(IF(M193="","",IF(M193&lt;0.15,"SAFETY_STOP",IF(M193&lt;=N193,"VL_THRESHOLD",""))),"")</f>
        <v/>
      </c>
      <c r="Q193" s="7">
        <f>IFERROR(IF(I193="","",IF(I193&gt;(0.7+0.05),"+5kg",IF(I193&gt;(0.7+0.02),"+2.5kg",IF(I193&gt;=(0.7-0.05),"保持",IF(I193&gt;=(0.7-0.08),"-2.5kg","-5kg"))))),"")</f>
        <v/>
      </c>
      <c r="R193" s="9" t="n"/>
    </row>
    <row r="194">
      <c r="A194" s="7" t="n">
        <v>6</v>
      </c>
      <c r="B194" s="9" t="n"/>
      <c r="C194" s="9" t="n"/>
      <c r="D194" s="9" t="n"/>
      <c r="E194" s="9" t="n"/>
      <c r="F194" s="9" t="n"/>
      <c r="G194" s="9" t="n"/>
      <c r="H194" s="9" t="n"/>
      <c r="I194" s="7">
        <f>IFERROR(MAX(C194:H194),"")</f>
        <v/>
      </c>
      <c r="J194" s="7">
        <f>IFERROR(MATCH(I194,C194:H194,0),"")</f>
        <v/>
      </c>
      <c r="K194" s="7" t="n">
        <v>15</v>
      </c>
      <c r="L194" s="7">
        <f>IFERROR(I194*(1-(K194/100)),"")</f>
        <v/>
      </c>
      <c r="M194" s="7">
        <f>IFERROR(LOOKUP(9.99E+307,C194:H194),"")</f>
        <v/>
      </c>
      <c r="N194" s="7">
        <f>IFERROR(IF(M194="","",IF(M194&lt;=N194,"停组🛑","继续✓")),"")</f>
        <v/>
      </c>
      <c r="O194" s="7">
        <f>IFERROR(IF(M194="","",IF(M194&lt;0.15,"SAFETY_STOP","")),"")</f>
        <v/>
      </c>
      <c r="P194" s="7">
        <f>IFERROR(IF(M194="","",IF(M194&lt;0.15,"SAFETY_STOP",IF(M194&lt;=N194,"VL_THRESHOLD",""))),"")</f>
        <v/>
      </c>
      <c r="Q194" s="7">
        <f>IFERROR(IF(I194="","",IF(I194&gt;(0.7+0.05),"+5kg",IF(I194&gt;(0.7+0.02),"+2.5kg",IF(I194&gt;=(0.7-0.05),"保持",IF(I194&gt;=(0.7-0.08),"-2.5kg","-5kg"))))),"")</f>
        <v/>
      </c>
      <c r="R194" s="9" t="n"/>
    </row>
    <row r="195">
      <c r="A195" s="13" t="inlineStr">
        <is>
          <t>辅助</t>
        </is>
      </c>
      <c r="D195" s="14" t="inlineStr">
        <is>
          <t>保加利亚单腿蹲</t>
        </is>
      </c>
      <c r="E195" s="14" t="inlineStr">
        <is>
          <t>负荷</t>
        </is>
      </c>
      <c r="F195" s="14" t="inlineStr">
        <is>
          <t>完成</t>
        </is>
      </c>
      <c r="I195" t="inlineStr">
        <is>
          <t>VL</t>
        </is>
      </c>
    </row>
    <row r="196">
      <c r="A196" s="15" t="inlineStr">
        <is>
          <t>训练后</t>
        </is>
      </c>
      <c r="B196" s="15" t="inlineStr">
        <is>
          <t>开始</t>
        </is>
      </c>
      <c r="C196" s="15" t="inlineStr">
        <is>
          <t>结束</t>
        </is>
      </c>
      <c r="D196" s="15" t="inlineStr">
        <is>
          <t>时长min</t>
        </is>
      </c>
      <c r="E196" s="15" t="inlineStr">
        <is>
          <t>sRPE</t>
        </is>
      </c>
      <c r="F196" s="15" t="inlineStr">
        <is>
          <t>load</t>
        </is>
      </c>
      <c r="G196" s="15" t="inlineStr">
        <is>
          <t>不适?</t>
        </is>
      </c>
      <c r="H196" s="15" t="inlineStr">
        <is>
          <t>备注</t>
        </is>
      </c>
      <c r="I196" s="15" t="inlineStr">
        <is>
          <t>签名</t>
        </is>
      </c>
    </row>
    <row r="197">
      <c r="A197" s="7" t="n"/>
      <c r="B197" s="9" t="n"/>
      <c r="C197" s="9" t="n"/>
      <c r="D197" s="11">
        <f>IFERROR((C197-B197)*1440,"")</f>
        <v/>
      </c>
      <c r="E197" s="9" t="n"/>
      <c r="F197" s="11">
        <f>IFERROR(E197*D197,"")</f>
        <v/>
      </c>
      <c r="G197" s="9" t="n"/>
      <c r="H197" s="9" t="n"/>
      <c r="I197" s="9" t="n"/>
    </row>
    <row r="198">
      <c r="A198" s="16" t="inlineStr">
        <is>
          <t>跳跃</t>
        </is>
      </c>
      <c r="B198" s="16" t="inlineStr">
        <is>
          <t>类型</t>
        </is>
      </c>
      <c r="C198" s="16" t="inlineStr">
        <is>
          <t>组×次</t>
        </is>
      </c>
      <c r="D198" s="16" t="inlineStr">
        <is>
          <t>负荷kg</t>
        </is>
      </c>
      <c r="E198" s="16" t="inlineStr">
        <is>
          <t>接触</t>
        </is>
      </c>
    </row>
    <row r="199">
      <c r="B199" t="inlineStr">
        <is>
          <t>SJ</t>
        </is>
      </c>
      <c r="C199" t="inlineStr">
        <is>
          <t>3×3</t>
        </is>
      </c>
      <c r="D199" t="n">
        <v>0</v>
      </c>
      <c r="E199" t="n">
        <v>9</v>
      </c>
    </row>
    <row r="200">
      <c r="B200" t="inlineStr">
        <is>
          <t>负重跳</t>
        </is>
      </c>
      <c r="C200" t="inlineStr">
        <is>
          <t>3×5</t>
        </is>
      </c>
      <c r="D200" s="14" t="n"/>
      <c r="E200" s="14" t="n"/>
    </row>
    <row r="201">
      <c r="A201" s="17" t="inlineStr">
        <is>
          <t>▶ 暴露量汇总</t>
        </is>
      </c>
      <c r="B201" s="17" t="inlineStr">
        <is>
          <t>说明</t>
        </is>
      </c>
      <c r="C201" s="17" t="inlineStr">
        <is>
          <t>公式/来源</t>
        </is>
      </c>
      <c r="D201" s="17" t="inlineStr">
        <is>
          <t>数值</t>
        </is>
      </c>
    </row>
    <row r="202">
      <c r="A202" s="18" t="inlineStr">
        <is>
          <t>① 无负荷跳跃接触</t>
        </is>
      </c>
      <c r="B202" s="18" t="inlineStr">
        <is>
          <t>CMJ+SJ+箱跳</t>
        </is>
      </c>
      <c r="C202" s="19">
        <f>IFERROR(E199+E200,2)</f>
        <v/>
      </c>
    </row>
    <row r="203">
      <c r="A203" s="18" t="inlineStr">
        <is>
          <t>② 负重跳跃接触</t>
        </is>
      </c>
      <c r="B203" s="18" t="inlineStr">
        <is>
          <t>负重深蹲跳</t>
        </is>
      </c>
      <c r="C203" s="19">
        <f>IFERROR(E200,"")</f>
        <v/>
      </c>
    </row>
    <row r="204">
      <c r="A204" s="18" t="inlineStr">
        <is>
          <t>③ 跳跃总计</t>
        </is>
      </c>
      <c r="B204" s="18" t="inlineStr">
        <is>
          <t>①+②</t>
        </is>
      </c>
      <c r="C204" s="19">
        <f>IFERROR(B202+B203,"")</f>
        <v/>
      </c>
    </row>
    <row r="205">
      <c r="A205" s="18" t="inlineStr">
        <is>
          <t>④ 热身VL</t>
        </is>
      </c>
      <c r="B205" s="18" t="inlineStr">
        <is>
          <t>20×5+50%×3(+70%×2)</t>
        </is>
      </c>
      <c r="C205" s="19">
        <f>IFERROR(20*5+ROUND(V185*0.5,0)*3,"-")</f>
        <v/>
      </c>
    </row>
    <row r="206">
      <c r="A206" s="20" t="inlineStr">
        <is>
          <t>⑤ 主项工作组VL ★</t>
        </is>
      </c>
      <c r="B206" s="20" t="inlineStr">
        <is>
          <t>Σ(负荷×次数)</t>
        </is>
      </c>
      <c r="C206" s="21">
        <f>SUMPRODUCT($B$189:$B$194,$R$189:$R$194)</f>
        <v/>
      </c>
    </row>
    <row r="207">
      <c r="A207" s="18" t="inlineStr">
        <is>
          <t>⑥ 主项总VL</t>
        </is>
      </c>
      <c r="B207" s="18" t="inlineStr">
        <is>
          <t>④+⑤</t>
        </is>
      </c>
      <c r="C207" s="19">
        <f>IFERROR(D202+D203,"")</f>
        <v/>
      </c>
    </row>
    <row r="208">
      <c r="A208" s="18" t="inlineStr">
        <is>
          <t>⑦ 辅助VL</t>
        </is>
      </c>
      <c r="B208" s="18" t="inlineStr">
        <is>
          <t>RDL/保加利亚</t>
        </is>
      </c>
      <c r="C208" s="19">
        <f>IFERROR(I195,"")</f>
        <v/>
      </c>
    </row>
    <row r="209">
      <c r="A209" s="18" t="inlineStr">
        <is>
          <t>⑧ 总外部负荷</t>
        </is>
      </c>
      <c r="B209" s="18" t="inlineStr">
        <is>
          <t>⑥+⑦(+负重跳)</t>
        </is>
      </c>
      <c r="C209" s="19">
        <f>IFERROR(F202+G202,"")</f>
        <v/>
      </c>
    </row>
    <row r="210">
      <c r="A210" s="18" t="inlineStr">
        <is>
          <t>⑨ sRPE load</t>
        </is>
      </c>
      <c r="B210" s="18" t="inlineStr">
        <is>
          <t>sRPE×时长</t>
        </is>
      </c>
      <c r="C210" s="19">
        <f>IFERROR(F197,"")</f>
        <v/>
      </c>
    </row>
    <row r="213">
      <c r="A213" s="5" t="inlineStr">
        <is>
          <t>P025 范芳忠  a=1.77 b=-0.0105 1RM=135</t>
        </is>
      </c>
    </row>
    <row r="214">
      <c r="A214" s="6" t="inlineStr">
        <is>
          <t>编号</t>
        </is>
      </c>
      <c r="B214" s="6" t="inlineStr">
        <is>
          <t>姓名</t>
        </is>
      </c>
      <c r="C214" s="6" t="inlineStr">
        <is>
          <t>身高</t>
        </is>
      </c>
      <c r="D214" s="6" t="inlineStr">
        <is>
          <t>1RM</t>
        </is>
      </c>
      <c r="E214" s="6" t="inlineStr">
        <is>
          <t>Hooper睡</t>
        </is>
      </c>
      <c r="F214" s="6" t="inlineStr">
        <is>
          <t>Hooper压</t>
        </is>
      </c>
      <c r="G214" s="6" t="inlineStr">
        <is>
          <t>Hooper疲</t>
        </is>
      </c>
      <c r="H214" s="6" t="inlineStr">
        <is>
          <t>Hooper酸</t>
        </is>
      </c>
      <c r="I214" s="6" t="inlineStr">
        <is>
          <t>H总</t>
        </is>
      </c>
      <c r="J214" s="6" t="inlineStr">
        <is>
          <t>不适?</t>
        </is>
      </c>
      <c r="K214" s="6" t="inlineStr">
        <is>
          <t>说明</t>
        </is>
      </c>
      <c r="L214" s="6" t="inlineStr">
        <is>
          <t>CMJ1</t>
        </is>
      </c>
      <c r="M214" s="6" t="inlineStr">
        <is>
          <t>CMJ2</t>
        </is>
      </c>
      <c r="N214" s="6" t="inlineStr">
        <is>
          <t>CMJ3</t>
        </is>
      </c>
      <c r="O214" s="6" t="inlineStr">
        <is>
          <t>CMJμ</t>
        </is>
      </c>
      <c r="P214" s="6" t="inlineStr">
        <is>
          <t>&lt;95%</t>
        </is>
      </c>
      <c r="Q214" s="6" t="inlineStr">
        <is>
          <t>减组</t>
        </is>
      </c>
      <c r="R214" s="6" t="inlineStr">
        <is>
          <t>组数</t>
        </is>
      </c>
      <c r="S214" s="6" t="inlineStr">
        <is>
          <t>a(V0)</t>
        </is>
      </c>
      <c r="T214" s="6" t="inlineStr">
        <is>
          <t>b</t>
        </is>
      </c>
      <c r="U214" s="6" t="inlineStr">
        <is>
          <t>等级</t>
        </is>
      </c>
      <c r="V214" s="6" t="inlineStr">
        <is>
          <t>预测起始</t>
        </is>
      </c>
    </row>
    <row r="215">
      <c r="A215" s="7" t="inlineStr">
        <is>
          <t>P025</t>
        </is>
      </c>
      <c r="B215" s="7" t="inlineStr">
        <is>
          <t>范芳忠</t>
        </is>
      </c>
      <c r="C215" s="7" t="n">
        <v>178</v>
      </c>
      <c r="D215" s="8" t="n">
        <v>135</v>
      </c>
      <c r="E215" s="9" t="n"/>
      <c r="F215" s="9" t="n"/>
      <c r="G215" s="9" t="n"/>
      <c r="H215" s="9" t="n"/>
      <c r="I215" s="7">
        <f>IFERROR(SUM(E215:H215),"")</f>
        <v/>
      </c>
      <c r="J215" s="9" t="n"/>
      <c r="K215" s="9" t="n"/>
      <c r="L215" s="9" t="n"/>
      <c r="M215" s="9" t="n"/>
      <c r="N215" s="9" t="n"/>
      <c r="O215" s="7">
        <f>IFERROR(AVERAGE(L215:N215),"")</f>
        <v/>
      </c>
      <c r="P215" s="7">
        <f>IF(O215="","",IF(O215&lt;58.43,"是⚠","否"))</f>
        <v/>
      </c>
      <c r="Q215" s="7">
        <f>IF(O215="","",IF(O215&lt;58.43,5-1,5))</f>
        <v/>
      </c>
      <c r="R215" s="7" t="n"/>
      <c r="S215" s="8" t="n">
        <v>1.77</v>
      </c>
      <c r="T215" s="8" t="n">
        <v>-0.0105</v>
      </c>
      <c r="U215" s="7" t="inlineStr">
        <is>
          <t>A</t>
        </is>
      </c>
      <c r="V215" s="8" t="n">
        <v>102.5</v>
      </c>
    </row>
    <row r="216">
      <c r="A216" s="10" t="inlineStr">
        <is>
          <t>热身校准</t>
        </is>
      </c>
      <c r="B216" s="10" t="inlineStr">
        <is>
          <t>a</t>
        </is>
      </c>
      <c r="C216" s="10" t="inlineStr">
        <is>
          <t>b</t>
        </is>
      </c>
      <c r="D216" s="10" t="inlineStr">
        <is>
          <t>50%热身</t>
        </is>
      </c>
      <c r="E216" s="10" t="inlineStr">
        <is>
          <t>70%热身</t>
        </is>
      </c>
      <c r="F216" s="10" t="inlineStr">
        <is>
          <t>热身负荷</t>
        </is>
      </c>
      <c r="G216" s="10" t="inlineStr">
        <is>
          <t>实测MCV</t>
        </is>
      </c>
      <c r="H216" s="10" t="inlineStr">
        <is>
          <t>预测MCV</t>
        </is>
      </c>
      <c r="I216" s="10" t="inlineStr">
        <is>
          <t>Δv</t>
        </is>
      </c>
      <c r="J216" s="10" t="inlineStr">
        <is>
          <t>调整量</t>
        </is>
      </c>
      <c r="K216" s="10" t="inlineStr">
        <is>
          <t>校准第1组</t>
        </is>
      </c>
    </row>
    <row r="217">
      <c r="A217" s="7" t="n"/>
      <c r="B217" s="11" t="n">
        <v>1.77</v>
      </c>
      <c r="C217" s="11" t="n">
        <v>-0.0105</v>
      </c>
      <c r="D217" s="11">
        <f>IFERROR(ROUND(V215*0.5/2.5,0)*2.5,"")</f>
        <v/>
      </c>
      <c r="E217" s="11" t="inlineStr"/>
      <c r="F217" s="11">
        <f>IFERROR(ROUND(V215*0.5/2.5,0)*2.5,"")</f>
        <v/>
      </c>
      <c r="G217" s="9" t="n"/>
      <c r="H217" s="11">
        <f>IFERROR(B217+C217*F217,"")</f>
        <v/>
      </c>
      <c r="I217" s="11">
        <f>IFERROR(G217-H217,"")</f>
        <v/>
      </c>
      <c r="J217" s="11">
        <f>IFERROR(IF(I217&gt;0.08,5,IF(I217&gt;0.04,2.5,IF(I217&gt;=-0.04,0,IF(I217&gt;=-0.08,-2.5,-5)))),"")</f>
        <v/>
      </c>
      <c r="K217" s="11">
        <f>IFERROR(ROUND(V215+J217,0),"")</f>
        <v/>
      </c>
    </row>
    <row r="218">
      <c r="A218" s="12" t="inlineStr">
        <is>
          <t>组</t>
        </is>
      </c>
      <c r="B218" s="12" t="inlineStr">
        <is>
          <t>负荷</t>
        </is>
      </c>
      <c r="C218" s="12" t="inlineStr">
        <is>
          <t>rep1</t>
        </is>
      </c>
      <c r="D218" s="12" t="inlineStr">
        <is>
          <t>rep2</t>
        </is>
      </c>
      <c r="E218" s="12" t="inlineStr">
        <is>
          <t>rep3</t>
        </is>
      </c>
      <c r="F218" s="12" t="inlineStr">
        <is>
          <t>rep4</t>
        </is>
      </c>
      <c r="G218" s="12" t="inlineStr">
        <is>
          <t>rep5</t>
        </is>
      </c>
      <c r="H218" s="12" t="inlineStr">
        <is>
          <t>rep6</t>
        </is>
      </c>
      <c r="I218" s="12" t="inlineStr">
        <is>
          <t>best</t>
        </is>
      </c>
      <c r="J218" s="12" t="inlineStr">
        <is>
          <t>best#</t>
        </is>
      </c>
      <c r="K218" s="12" t="inlineStr">
        <is>
          <t>VL%</t>
        </is>
      </c>
      <c r="L218" s="12" t="inlineStr">
        <is>
          <t>stop_th</t>
        </is>
      </c>
      <c r="M218" s="12" t="inlineStr">
        <is>
          <t>latest</t>
        </is>
      </c>
      <c r="N218" s="12" t="inlineStr">
        <is>
          <t>VL_flag</t>
        </is>
      </c>
      <c r="O218" s="12" t="inlineStr">
        <is>
          <t>safety</t>
        </is>
      </c>
      <c r="P218" s="12" t="inlineStr">
        <is>
          <t>原因</t>
        </is>
      </c>
      <c r="Q218" s="12" t="inlineStr">
        <is>
          <t>建议</t>
        </is>
      </c>
      <c r="R218" s="12" t="inlineStr">
        <is>
          <t>次数</t>
        </is>
      </c>
    </row>
    <row r="219">
      <c r="A219" s="7" t="n">
        <v>1</v>
      </c>
      <c r="B219" s="9">
        <f>IFERROR(K217,"")</f>
        <v/>
      </c>
      <c r="C219" s="9" t="n"/>
      <c r="D219" s="9" t="n"/>
      <c r="E219" s="9" t="n"/>
      <c r="F219" s="9" t="n"/>
      <c r="G219" s="9" t="n"/>
      <c r="H219" s="9" t="n"/>
      <c r="I219" s="7">
        <f>IFERROR(MAX(C219:H219),"")</f>
        <v/>
      </c>
      <c r="J219" s="7">
        <f>IFERROR(MATCH(I219,C219:H219,0),"")</f>
        <v/>
      </c>
      <c r="K219" s="7" t="n">
        <v>15</v>
      </c>
      <c r="L219" s="7">
        <f>IFERROR(I219*(1-(K219/100)),"")</f>
        <v/>
      </c>
      <c r="M219" s="7">
        <f>IFERROR(LOOKUP(9.99E+307,C219:H219),"")</f>
        <v/>
      </c>
      <c r="N219" s="7">
        <f>IFERROR(IF(M219="","",IF(M219&lt;=N219,"停组🛑","继续✓")),"")</f>
        <v/>
      </c>
      <c r="O219" s="7">
        <f>IFERROR(IF(M219="","",IF(M219&lt;0.15,"SAFETY_STOP","")),"")</f>
        <v/>
      </c>
      <c r="P219" s="7">
        <f>IFERROR(IF(M219="","",IF(M219&lt;0.15,"SAFETY_STOP",IF(M219&lt;=N219,"VL_THRESHOLD",""))),"")</f>
        <v/>
      </c>
      <c r="Q219" s="7">
        <f>IFERROR(IF(I219="","",IF(I219&gt;(0.7+0.05),"+5kg",IF(I219&gt;(0.7+0.02),"+2.5kg",IF(I219&gt;=(0.7-0.05),"保持",IF(I219&gt;=(0.7-0.08),"-2.5kg","-5kg"))))),"")</f>
        <v/>
      </c>
      <c r="R219" s="9" t="n"/>
    </row>
    <row r="220">
      <c r="A220" s="7" t="n">
        <v>2</v>
      </c>
      <c r="B220" s="9" t="n"/>
      <c r="C220" s="9" t="n"/>
      <c r="D220" s="9" t="n"/>
      <c r="E220" s="9" t="n"/>
      <c r="F220" s="9" t="n"/>
      <c r="G220" s="9" t="n"/>
      <c r="H220" s="9" t="n"/>
      <c r="I220" s="7">
        <f>IFERROR(MAX(C220:H220),"")</f>
        <v/>
      </c>
      <c r="J220" s="7">
        <f>IFERROR(MATCH(I220,C220:H220,0),"")</f>
        <v/>
      </c>
      <c r="K220" s="7" t="n">
        <v>15</v>
      </c>
      <c r="L220" s="7">
        <f>IFERROR(I220*(1-(K220/100)),"")</f>
        <v/>
      </c>
      <c r="M220" s="7">
        <f>IFERROR(LOOKUP(9.99E+307,C220:H220),"")</f>
        <v/>
      </c>
      <c r="N220" s="7">
        <f>IFERROR(IF(M220="","",IF(M220&lt;=N220,"停组🛑","继续✓")),"")</f>
        <v/>
      </c>
      <c r="O220" s="7">
        <f>IFERROR(IF(M220="","",IF(M220&lt;0.15,"SAFETY_STOP","")),"")</f>
        <v/>
      </c>
      <c r="P220" s="7">
        <f>IFERROR(IF(M220="","",IF(M220&lt;0.15,"SAFETY_STOP",IF(M220&lt;=N220,"VL_THRESHOLD",""))),"")</f>
        <v/>
      </c>
      <c r="Q220" s="7">
        <f>IFERROR(IF(I220="","",IF(I220&gt;(0.7+0.05),"+5kg",IF(I220&gt;(0.7+0.02),"+2.5kg",IF(I220&gt;=(0.7-0.05),"保持",IF(I220&gt;=(0.7-0.08),"-2.5kg","-5kg"))))),"")</f>
        <v/>
      </c>
      <c r="R220" s="9" t="n"/>
    </row>
    <row r="221">
      <c r="A221" s="7" t="n">
        <v>3</v>
      </c>
      <c r="B221" s="9" t="n"/>
      <c r="C221" s="9" t="n"/>
      <c r="D221" s="9" t="n"/>
      <c r="E221" s="9" t="n"/>
      <c r="F221" s="9" t="n"/>
      <c r="G221" s="9" t="n"/>
      <c r="H221" s="9" t="n"/>
      <c r="I221" s="7">
        <f>IFERROR(MAX(C221:H221),"")</f>
        <v/>
      </c>
      <c r="J221" s="7">
        <f>IFERROR(MATCH(I221,C221:H221,0),"")</f>
        <v/>
      </c>
      <c r="K221" s="7" t="n">
        <v>15</v>
      </c>
      <c r="L221" s="7">
        <f>IFERROR(I221*(1-(K221/100)),"")</f>
        <v/>
      </c>
      <c r="M221" s="7">
        <f>IFERROR(LOOKUP(9.99E+307,C221:H221),"")</f>
        <v/>
      </c>
      <c r="N221" s="7">
        <f>IFERROR(IF(M221="","",IF(M221&lt;=N221,"停组🛑","继续✓")),"")</f>
        <v/>
      </c>
      <c r="O221" s="7">
        <f>IFERROR(IF(M221="","",IF(M221&lt;0.15,"SAFETY_STOP","")),"")</f>
        <v/>
      </c>
      <c r="P221" s="7">
        <f>IFERROR(IF(M221="","",IF(M221&lt;0.15,"SAFETY_STOP",IF(M221&lt;=N221,"VL_THRESHOLD",""))),"")</f>
        <v/>
      </c>
      <c r="Q221" s="7">
        <f>IFERROR(IF(I221="","",IF(I221&gt;(0.7+0.05),"+5kg",IF(I221&gt;(0.7+0.02),"+2.5kg",IF(I221&gt;=(0.7-0.05),"保持",IF(I221&gt;=(0.7-0.08),"-2.5kg","-5kg"))))),"")</f>
        <v/>
      </c>
      <c r="R221" s="9" t="n"/>
    </row>
    <row r="222">
      <c r="A222" s="7" t="n">
        <v>4</v>
      </c>
      <c r="B222" s="9" t="n"/>
      <c r="C222" s="9" t="n"/>
      <c r="D222" s="9" t="n"/>
      <c r="E222" s="9" t="n"/>
      <c r="F222" s="9" t="n"/>
      <c r="G222" s="9" t="n"/>
      <c r="H222" s="9" t="n"/>
      <c r="I222" s="7">
        <f>IFERROR(MAX(C222:H222),"")</f>
        <v/>
      </c>
      <c r="J222" s="7">
        <f>IFERROR(MATCH(I222,C222:H222,0),"")</f>
        <v/>
      </c>
      <c r="K222" s="7" t="n">
        <v>15</v>
      </c>
      <c r="L222" s="7">
        <f>IFERROR(I222*(1-(K222/100)),"")</f>
        <v/>
      </c>
      <c r="M222" s="7">
        <f>IFERROR(LOOKUP(9.99E+307,C222:H222),"")</f>
        <v/>
      </c>
      <c r="N222" s="7">
        <f>IFERROR(IF(M222="","",IF(M222&lt;=N222,"停组🛑","继续✓")),"")</f>
        <v/>
      </c>
      <c r="O222" s="7">
        <f>IFERROR(IF(M222="","",IF(M222&lt;0.15,"SAFETY_STOP","")),"")</f>
        <v/>
      </c>
      <c r="P222" s="7">
        <f>IFERROR(IF(M222="","",IF(M222&lt;0.15,"SAFETY_STOP",IF(M222&lt;=N222,"VL_THRESHOLD",""))),"")</f>
        <v/>
      </c>
      <c r="Q222" s="7">
        <f>IFERROR(IF(I222="","",IF(I222&gt;(0.7+0.05),"+5kg",IF(I222&gt;(0.7+0.02),"+2.5kg",IF(I222&gt;=(0.7-0.05),"保持",IF(I222&gt;=(0.7-0.08),"-2.5kg","-5kg"))))),"")</f>
        <v/>
      </c>
      <c r="R222" s="9" t="n"/>
    </row>
    <row r="223">
      <c r="A223" s="7" t="n">
        <v>5</v>
      </c>
      <c r="B223" s="9" t="n"/>
      <c r="C223" s="9" t="n"/>
      <c r="D223" s="9" t="n"/>
      <c r="E223" s="9" t="n"/>
      <c r="F223" s="9" t="n"/>
      <c r="G223" s="9" t="n"/>
      <c r="H223" s="9" t="n"/>
      <c r="I223" s="7">
        <f>IFERROR(MAX(C223:H223),"")</f>
        <v/>
      </c>
      <c r="J223" s="7">
        <f>IFERROR(MATCH(I223,C223:H223,0),"")</f>
        <v/>
      </c>
      <c r="K223" s="7" t="n">
        <v>15</v>
      </c>
      <c r="L223" s="7">
        <f>IFERROR(I223*(1-(K223/100)),"")</f>
        <v/>
      </c>
      <c r="M223" s="7">
        <f>IFERROR(LOOKUP(9.99E+307,C223:H223),"")</f>
        <v/>
      </c>
      <c r="N223" s="7">
        <f>IFERROR(IF(M223="","",IF(M223&lt;=N223,"停组🛑","继续✓")),"")</f>
        <v/>
      </c>
      <c r="O223" s="7">
        <f>IFERROR(IF(M223="","",IF(M223&lt;0.15,"SAFETY_STOP","")),"")</f>
        <v/>
      </c>
      <c r="P223" s="7">
        <f>IFERROR(IF(M223="","",IF(M223&lt;0.15,"SAFETY_STOP",IF(M223&lt;=N223,"VL_THRESHOLD",""))),"")</f>
        <v/>
      </c>
      <c r="Q223" s="7">
        <f>IFERROR(IF(I223="","",IF(I223&gt;(0.7+0.05),"+5kg",IF(I223&gt;(0.7+0.02),"+2.5kg",IF(I223&gt;=(0.7-0.05),"保持",IF(I223&gt;=(0.7-0.08),"-2.5kg","-5kg"))))),"")</f>
        <v/>
      </c>
      <c r="R223" s="9" t="n"/>
    </row>
    <row r="224">
      <c r="A224" s="7" t="n">
        <v>6</v>
      </c>
      <c r="B224" s="9" t="n"/>
      <c r="C224" s="9" t="n"/>
      <c r="D224" s="9" t="n"/>
      <c r="E224" s="9" t="n"/>
      <c r="F224" s="9" t="n"/>
      <c r="G224" s="9" t="n"/>
      <c r="H224" s="9" t="n"/>
      <c r="I224" s="7">
        <f>IFERROR(MAX(C224:H224),"")</f>
        <v/>
      </c>
      <c r="J224" s="7">
        <f>IFERROR(MATCH(I224,C224:H224,0),"")</f>
        <v/>
      </c>
      <c r="K224" s="7" t="n">
        <v>15</v>
      </c>
      <c r="L224" s="7">
        <f>IFERROR(I224*(1-(K224/100)),"")</f>
        <v/>
      </c>
      <c r="M224" s="7">
        <f>IFERROR(LOOKUP(9.99E+307,C224:H224),"")</f>
        <v/>
      </c>
      <c r="N224" s="7">
        <f>IFERROR(IF(M224="","",IF(M224&lt;=N224,"停组🛑","继续✓")),"")</f>
        <v/>
      </c>
      <c r="O224" s="7">
        <f>IFERROR(IF(M224="","",IF(M224&lt;0.15,"SAFETY_STOP","")),"")</f>
        <v/>
      </c>
      <c r="P224" s="7">
        <f>IFERROR(IF(M224="","",IF(M224&lt;0.15,"SAFETY_STOP",IF(M224&lt;=N224,"VL_THRESHOLD",""))),"")</f>
        <v/>
      </c>
      <c r="Q224" s="7">
        <f>IFERROR(IF(I224="","",IF(I224&gt;(0.7+0.05),"+5kg",IF(I224&gt;(0.7+0.02),"+2.5kg",IF(I224&gt;=(0.7-0.05),"保持",IF(I224&gt;=(0.7-0.08),"-2.5kg","-5kg"))))),"")</f>
        <v/>
      </c>
      <c r="R224" s="9" t="n"/>
    </row>
    <row r="225">
      <c r="A225" s="13" t="inlineStr">
        <is>
          <t>辅助</t>
        </is>
      </c>
      <c r="D225" s="14" t="inlineStr">
        <is>
          <t>保加利亚单腿蹲</t>
        </is>
      </c>
      <c r="E225" s="14" t="inlineStr">
        <is>
          <t>负荷</t>
        </is>
      </c>
      <c r="F225" s="14" t="inlineStr">
        <is>
          <t>完成</t>
        </is>
      </c>
      <c r="I225" t="inlineStr">
        <is>
          <t>VL</t>
        </is>
      </c>
    </row>
    <row r="226">
      <c r="A226" s="15" t="inlineStr">
        <is>
          <t>训练后</t>
        </is>
      </c>
      <c r="B226" s="15" t="inlineStr">
        <is>
          <t>开始</t>
        </is>
      </c>
      <c r="C226" s="15" t="inlineStr">
        <is>
          <t>结束</t>
        </is>
      </c>
      <c r="D226" s="15" t="inlineStr">
        <is>
          <t>时长min</t>
        </is>
      </c>
      <c r="E226" s="15" t="inlineStr">
        <is>
          <t>sRPE</t>
        </is>
      </c>
      <c r="F226" s="15" t="inlineStr">
        <is>
          <t>load</t>
        </is>
      </c>
      <c r="G226" s="15" t="inlineStr">
        <is>
          <t>不适?</t>
        </is>
      </c>
      <c r="H226" s="15" t="inlineStr">
        <is>
          <t>备注</t>
        </is>
      </c>
      <c r="I226" s="15" t="inlineStr">
        <is>
          <t>签名</t>
        </is>
      </c>
    </row>
    <row r="227">
      <c r="A227" s="7" t="n"/>
      <c r="B227" s="9" t="n"/>
      <c r="C227" s="9" t="n"/>
      <c r="D227" s="11">
        <f>IFERROR((C227-B227)*1440,"")</f>
        <v/>
      </c>
      <c r="E227" s="9" t="n"/>
      <c r="F227" s="11">
        <f>IFERROR(E227*D227,"")</f>
        <v/>
      </c>
      <c r="G227" s="9" t="n"/>
      <c r="H227" s="9" t="n"/>
      <c r="I227" s="9" t="n"/>
    </row>
    <row r="228">
      <c r="A228" s="16" t="inlineStr">
        <is>
          <t>跳跃</t>
        </is>
      </c>
      <c r="B228" s="16" t="inlineStr">
        <is>
          <t>类型</t>
        </is>
      </c>
      <c r="C228" s="16" t="inlineStr">
        <is>
          <t>组×次</t>
        </is>
      </c>
      <c r="D228" s="16" t="inlineStr">
        <is>
          <t>负荷kg</t>
        </is>
      </c>
      <c r="E228" s="16" t="inlineStr">
        <is>
          <t>接触</t>
        </is>
      </c>
    </row>
    <row r="229">
      <c r="B229" t="inlineStr">
        <is>
          <t>SJ</t>
        </is>
      </c>
      <c r="C229" t="inlineStr">
        <is>
          <t>3×3</t>
        </is>
      </c>
      <c r="D229" t="n">
        <v>0</v>
      </c>
      <c r="E229" t="n">
        <v>9</v>
      </c>
    </row>
    <row r="230">
      <c r="B230" t="inlineStr">
        <is>
          <t>负重跳</t>
        </is>
      </c>
      <c r="C230" t="inlineStr">
        <is>
          <t>3×5</t>
        </is>
      </c>
      <c r="D230" s="14" t="n"/>
      <c r="E230" s="14" t="n"/>
    </row>
    <row r="231">
      <c r="A231" s="17" t="inlineStr">
        <is>
          <t>▶ 暴露量汇总</t>
        </is>
      </c>
      <c r="B231" s="17" t="inlineStr">
        <is>
          <t>说明</t>
        </is>
      </c>
      <c r="C231" s="17" t="inlineStr">
        <is>
          <t>公式/来源</t>
        </is>
      </c>
      <c r="D231" s="17" t="inlineStr">
        <is>
          <t>数值</t>
        </is>
      </c>
    </row>
    <row r="232">
      <c r="A232" s="18" t="inlineStr">
        <is>
          <t>① 无负荷跳跃接触</t>
        </is>
      </c>
      <c r="B232" s="18" t="inlineStr">
        <is>
          <t>CMJ+SJ+箱跳</t>
        </is>
      </c>
      <c r="C232" s="19">
        <f>IFERROR(E229+E230,2)</f>
        <v/>
      </c>
    </row>
    <row r="233">
      <c r="A233" s="18" t="inlineStr">
        <is>
          <t>② 负重跳跃接触</t>
        </is>
      </c>
      <c r="B233" s="18" t="inlineStr">
        <is>
          <t>负重深蹲跳</t>
        </is>
      </c>
      <c r="C233" s="19">
        <f>IFERROR(E230,"")</f>
        <v/>
      </c>
    </row>
    <row r="234">
      <c r="A234" s="18" t="inlineStr">
        <is>
          <t>③ 跳跃总计</t>
        </is>
      </c>
      <c r="B234" s="18" t="inlineStr">
        <is>
          <t>①+②</t>
        </is>
      </c>
      <c r="C234" s="19">
        <f>IFERROR(B232+B233,"")</f>
        <v/>
      </c>
    </row>
    <row r="235">
      <c r="A235" s="18" t="inlineStr">
        <is>
          <t>④ 热身VL</t>
        </is>
      </c>
      <c r="B235" s="18" t="inlineStr">
        <is>
          <t>20×5+50%×3(+70%×2)</t>
        </is>
      </c>
      <c r="C235" s="19">
        <f>IFERROR(20*5+ROUND(V215*0.5,0)*3,"-")</f>
        <v/>
      </c>
    </row>
    <row r="236">
      <c r="A236" s="20" t="inlineStr">
        <is>
          <t>⑤ 主项工作组VL ★</t>
        </is>
      </c>
      <c r="B236" s="20" t="inlineStr">
        <is>
          <t>Σ(负荷×次数)</t>
        </is>
      </c>
      <c r="C236" s="21">
        <f>SUMPRODUCT($B$219:$B$224,$R$219:$R$224)</f>
        <v/>
      </c>
    </row>
    <row r="237">
      <c r="A237" s="18" t="inlineStr">
        <is>
          <t>⑥ 主项总VL</t>
        </is>
      </c>
      <c r="B237" s="18" t="inlineStr">
        <is>
          <t>④+⑤</t>
        </is>
      </c>
      <c r="C237" s="19">
        <f>IFERROR(D232+D233,"")</f>
        <v/>
      </c>
    </row>
    <row r="238">
      <c r="A238" s="18" t="inlineStr">
        <is>
          <t>⑦ 辅助VL</t>
        </is>
      </c>
      <c r="B238" s="18" t="inlineStr">
        <is>
          <t>RDL/保加利亚</t>
        </is>
      </c>
      <c r="C238" s="19">
        <f>IFERROR(I225,"")</f>
        <v/>
      </c>
    </row>
    <row r="239">
      <c r="A239" s="18" t="inlineStr">
        <is>
          <t>⑧ 总外部负荷</t>
        </is>
      </c>
      <c r="B239" s="18" t="inlineStr">
        <is>
          <t>⑥+⑦(+负重跳)</t>
        </is>
      </c>
      <c r="C239" s="19">
        <f>IFERROR(F232+G232,"")</f>
        <v/>
      </c>
    </row>
    <row r="240">
      <c r="A240" s="18" t="inlineStr">
        <is>
          <t>⑨ sRPE load</t>
        </is>
      </c>
      <c r="B240" s="18" t="inlineStr">
        <is>
          <t>sRPE×时长</t>
        </is>
      </c>
      <c r="C240" s="19">
        <f>IFERROR(F227,"")</f>
        <v/>
      </c>
    </row>
    <row r="243">
      <c r="A243" s="5" t="inlineStr">
        <is>
          <t>P018 孟维宇  a=1.71 b=-0.0105 1RM=122.5</t>
        </is>
      </c>
    </row>
    <row r="244">
      <c r="A244" s="6" t="inlineStr">
        <is>
          <t>编号</t>
        </is>
      </c>
      <c r="B244" s="6" t="inlineStr">
        <is>
          <t>姓名</t>
        </is>
      </c>
      <c r="C244" s="6" t="inlineStr">
        <is>
          <t>身高</t>
        </is>
      </c>
      <c r="D244" s="6" t="inlineStr">
        <is>
          <t>1RM</t>
        </is>
      </c>
      <c r="E244" s="6" t="inlineStr">
        <is>
          <t>Hooper睡</t>
        </is>
      </c>
      <c r="F244" s="6" t="inlineStr">
        <is>
          <t>Hooper压</t>
        </is>
      </c>
      <c r="G244" s="6" t="inlineStr">
        <is>
          <t>Hooper疲</t>
        </is>
      </c>
      <c r="H244" s="6" t="inlineStr">
        <is>
          <t>Hooper酸</t>
        </is>
      </c>
      <c r="I244" s="6" t="inlineStr">
        <is>
          <t>H总</t>
        </is>
      </c>
      <c r="J244" s="6" t="inlineStr">
        <is>
          <t>不适?</t>
        </is>
      </c>
      <c r="K244" s="6" t="inlineStr">
        <is>
          <t>说明</t>
        </is>
      </c>
      <c r="L244" s="6" t="inlineStr">
        <is>
          <t>CMJ1</t>
        </is>
      </c>
      <c r="M244" s="6" t="inlineStr">
        <is>
          <t>CMJ2</t>
        </is>
      </c>
      <c r="N244" s="6" t="inlineStr">
        <is>
          <t>CMJ3</t>
        </is>
      </c>
      <c r="O244" s="6" t="inlineStr">
        <is>
          <t>CMJμ</t>
        </is>
      </c>
      <c r="P244" s="6" t="inlineStr">
        <is>
          <t>&lt;95%</t>
        </is>
      </c>
      <c r="Q244" s="6" t="inlineStr">
        <is>
          <t>减组</t>
        </is>
      </c>
      <c r="R244" s="6" t="inlineStr">
        <is>
          <t>组数</t>
        </is>
      </c>
      <c r="S244" s="6" t="inlineStr">
        <is>
          <t>a(V0)</t>
        </is>
      </c>
      <c r="T244" s="6" t="inlineStr">
        <is>
          <t>b</t>
        </is>
      </c>
      <c r="U244" s="6" t="inlineStr">
        <is>
          <t>等级</t>
        </is>
      </c>
      <c r="V244" s="6" t="inlineStr">
        <is>
          <t>预测起始</t>
        </is>
      </c>
    </row>
    <row r="245">
      <c r="A245" s="7" t="inlineStr">
        <is>
          <t>P018</t>
        </is>
      </c>
      <c r="B245" s="7" t="inlineStr">
        <is>
          <t>孟维宇</t>
        </is>
      </c>
      <c r="C245" s="7" t="n">
        <v>173</v>
      </c>
      <c r="D245" s="8" t="n">
        <v>122.5</v>
      </c>
      <c r="E245" s="9" t="n"/>
      <c r="F245" s="9" t="n"/>
      <c r="G245" s="9" t="n"/>
      <c r="H245" s="9" t="n"/>
      <c r="I245" s="7">
        <f>IFERROR(SUM(E245:H245),"")</f>
        <v/>
      </c>
      <c r="J245" s="9" t="n"/>
      <c r="K245" s="9" t="n"/>
      <c r="L245" s="9" t="n"/>
      <c r="M245" s="9" t="n"/>
      <c r="N245" s="9" t="n"/>
      <c r="O245" s="7">
        <f>IFERROR(AVERAGE(L245:N245),"")</f>
        <v/>
      </c>
      <c r="P245" s="7">
        <f>IF(O245="","",IF(O245&lt;52.6,"是⚠","否"))</f>
        <v/>
      </c>
      <c r="Q245" s="7">
        <f>IF(O245="","",IF(O245&lt;52.6,5-1,5))</f>
        <v/>
      </c>
      <c r="R245" s="7" t="n"/>
      <c r="S245" s="8" t="n">
        <v>1.71</v>
      </c>
      <c r="T245" s="8" t="n">
        <v>-0.0105</v>
      </c>
      <c r="U245" s="7" t="inlineStr">
        <is>
          <t>B</t>
        </is>
      </c>
      <c r="V245" s="8" t="n">
        <v>95</v>
      </c>
    </row>
    <row r="246">
      <c r="A246" s="10" t="inlineStr">
        <is>
          <t>热身校准</t>
        </is>
      </c>
      <c r="B246" s="10" t="inlineStr">
        <is>
          <t>a</t>
        </is>
      </c>
      <c r="C246" s="10" t="inlineStr">
        <is>
          <t>b</t>
        </is>
      </c>
      <c r="D246" s="10" t="inlineStr">
        <is>
          <t>50%热身</t>
        </is>
      </c>
      <c r="E246" s="10" t="inlineStr">
        <is>
          <t>70%热身</t>
        </is>
      </c>
      <c r="F246" s="10" t="inlineStr">
        <is>
          <t>热身负荷</t>
        </is>
      </c>
      <c r="G246" s="10" t="inlineStr">
        <is>
          <t>实测MCV</t>
        </is>
      </c>
      <c r="H246" s="10" t="inlineStr">
        <is>
          <t>预测MCV</t>
        </is>
      </c>
      <c r="I246" s="10" t="inlineStr">
        <is>
          <t>Δv</t>
        </is>
      </c>
      <c r="J246" s="10" t="inlineStr">
        <is>
          <t>调整量</t>
        </is>
      </c>
      <c r="K246" s="10" t="inlineStr">
        <is>
          <t>校准第1组</t>
        </is>
      </c>
    </row>
    <row r="247">
      <c r="A247" s="7" t="n"/>
      <c r="B247" s="11" t="n">
        <v>1.71</v>
      </c>
      <c r="C247" s="11" t="n">
        <v>-0.0105</v>
      </c>
      <c r="D247" s="11">
        <f>IFERROR(ROUND(V245*0.5/2.5,0)*2.5,"")</f>
        <v/>
      </c>
      <c r="E247" s="11" t="inlineStr"/>
      <c r="F247" s="11">
        <f>IFERROR(ROUND(V245*0.5/2.5,0)*2.5,"")</f>
        <v/>
      </c>
      <c r="G247" s="9" t="n"/>
      <c r="H247" s="11">
        <f>IFERROR(B247+C247*F247,"")</f>
        <v/>
      </c>
      <c r="I247" s="11">
        <f>IFERROR(G247-H247,"")</f>
        <v/>
      </c>
      <c r="J247" s="11">
        <f>IFERROR(IF(I247&gt;0.08,5,IF(I247&gt;0.04,2.5,IF(I247&gt;=-0.04,0,IF(I247&gt;=-0.08,-2.5,-5)))),"")</f>
        <v/>
      </c>
      <c r="K247" s="11">
        <f>IFERROR(ROUND(V245+J247,0),"")</f>
        <v/>
      </c>
    </row>
    <row r="248">
      <c r="A248" s="12" t="inlineStr">
        <is>
          <t>组</t>
        </is>
      </c>
      <c r="B248" s="12" t="inlineStr">
        <is>
          <t>负荷</t>
        </is>
      </c>
      <c r="C248" s="12" t="inlineStr">
        <is>
          <t>rep1</t>
        </is>
      </c>
      <c r="D248" s="12" t="inlineStr">
        <is>
          <t>rep2</t>
        </is>
      </c>
      <c r="E248" s="12" t="inlineStr">
        <is>
          <t>rep3</t>
        </is>
      </c>
      <c r="F248" s="12" t="inlineStr">
        <is>
          <t>rep4</t>
        </is>
      </c>
      <c r="G248" s="12" t="inlineStr">
        <is>
          <t>rep5</t>
        </is>
      </c>
      <c r="H248" s="12" t="inlineStr">
        <is>
          <t>rep6</t>
        </is>
      </c>
      <c r="I248" s="12" t="inlineStr">
        <is>
          <t>best</t>
        </is>
      </c>
      <c r="J248" s="12" t="inlineStr">
        <is>
          <t>best#</t>
        </is>
      </c>
      <c r="K248" s="12" t="inlineStr">
        <is>
          <t>VL%</t>
        </is>
      </c>
      <c r="L248" s="12" t="inlineStr">
        <is>
          <t>stop_th</t>
        </is>
      </c>
      <c r="M248" s="12" t="inlineStr">
        <is>
          <t>latest</t>
        </is>
      </c>
      <c r="N248" s="12" t="inlineStr">
        <is>
          <t>VL_flag</t>
        </is>
      </c>
      <c r="O248" s="12" t="inlineStr">
        <is>
          <t>safety</t>
        </is>
      </c>
      <c r="P248" s="12" t="inlineStr">
        <is>
          <t>原因</t>
        </is>
      </c>
      <c r="Q248" s="12" t="inlineStr">
        <is>
          <t>建议</t>
        </is>
      </c>
      <c r="R248" s="12" t="inlineStr">
        <is>
          <t>次数</t>
        </is>
      </c>
    </row>
    <row r="249">
      <c r="A249" s="7" t="n">
        <v>1</v>
      </c>
      <c r="B249" s="9">
        <f>IFERROR(K247,"")</f>
        <v/>
      </c>
      <c r="C249" s="9" t="n"/>
      <c r="D249" s="9" t="n"/>
      <c r="E249" s="9" t="n"/>
      <c r="F249" s="9" t="n"/>
      <c r="G249" s="9" t="n"/>
      <c r="H249" s="9" t="n"/>
      <c r="I249" s="7">
        <f>IFERROR(MAX(C249:H249),"")</f>
        <v/>
      </c>
      <c r="J249" s="7">
        <f>IFERROR(MATCH(I249,C249:H249,0),"")</f>
        <v/>
      </c>
      <c r="K249" s="7" t="n">
        <v>15</v>
      </c>
      <c r="L249" s="7">
        <f>IFERROR(I249*(1-(K249/100)),"")</f>
        <v/>
      </c>
      <c r="M249" s="7">
        <f>IFERROR(LOOKUP(9.99E+307,C249:H249),"")</f>
        <v/>
      </c>
      <c r="N249" s="7">
        <f>IFERROR(IF(M249="","",IF(M249&lt;=N249,"停组🛑","继续✓")),"")</f>
        <v/>
      </c>
      <c r="O249" s="7">
        <f>IFERROR(IF(M249="","",IF(M249&lt;0.15,"SAFETY_STOP","")),"")</f>
        <v/>
      </c>
      <c r="P249" s="7">
        <f>IFERROR(IF(M249="","",IF(M249&lt;0.15,"SAFETY_STOP",IF(M249&lt;=N249,"VL_THRESHOLD",""))),"")</f>
        <v/>
      </c>
      <c r="Q249" s="7">
        <f>IFERROR(IF(I249="","",IF(I249&gt;(0.7+0.05),"+5kg",IF(I249&gt;(0.7+0.02),"+2.5kg",IF(I249&gt;=(0.7-0.05),"保持",IF(I249&gt;=(0.7-0.08),"-2.5kg","-5kg"))))),"")</f>
        <v/>
      </c>
      <c r="R249" s="9" t="n"/>
    </row>
    <row r="250">
      <c r="A250" s="7" t="n">
        <v>2</v>
      </c>
      <c r="B250" s="9" t="n"/>
      <c r="C250" s="9" t="n"/>
      <c r="D250" s="9" t="n"/>
      <c r="E250" s="9" t="n"/>
      <c r="F250" s="9" t="n"/>
      <c r="G250" s="9" t="n"/>
      <c r="H250" s="9" t="n"/>
      <c r="I250" s="7">
        <f>IFERROR(MAX(C250:H250),"")</f>
        <v/>
      </c>
      <c r="J250" s="7">
        <f>IFERROR(MATCH(I250,C250:H250,0),"")</f>
        <v/>
      </c>
      <c r="K250" s="7" t="n">
        <v>15</v>
      </c>
      <c r="L250" s="7">
        <f>IFERROR(I250*(1-(K250/100)),"")</f>
        <v/>
      </c>
      <c r="M250" s="7">
        <f>IFERROR(LOOKUP(9.99E+307,C250:H250),"")</f>
        <v/>
      </c>
      <c r="N250" s="7">
        <f>IFERROR(IF(M250="","",IF(M250&lt;=N250,"停组🛑","继续✓")),"")</f>
        <v/>
      </c>
      <c r="O250" s="7">
        <f>IFERROR(IF(M250="","",IF(M250&lt;0.15,"SAFETY_STOP","")),"")</f>
        <v/>
      </c>
      <c r="P250" s="7">
        <f>IFERROR(IF(M250="","",IF(M250&lt;0.15,"SAFETY_STOP",IF(M250&lt;=N250,"VL_THRESHOLD",""))),"")</f>
        <v/>
      </c>
      <c r="Q250" s="7">
        <f>IFERROR(IF(I250="","",IF(I250&gt;(0.7+0.05),"+5kg",IF(I250&gt;(0.7+0.02),"+2.5kg",IF(I250&gt;=(0.7-0.05),"保持",IF(I250&gt;=(0.7-0.08),"-2.5kg","-5kg"))))),"")</f>
        <v/>
      </c>
      <c r="R250" s="9" t="n"/>
    </row>
    <row r="251">
      <c r="A251" s="7" t="n">
        <v>3</v>
      </c>
      <c r="B251" s="9" t="n"/>
      <c r="C251" s="9" t="n"/>
      <c r="D251" s="9" t="n"/>
      <c r="E251" s="9" t="n"/>
      <c r="F251" s="9" t="n"/>
      <c r="G251" s="9" t="n"/>
      <c r="H251" s="9" t="n"/>
      <c r="I251" s="7">
        <f>IFERROR(MAX(C251:H251),"")</f>
        <v/>
      </c>
      <c r="J251" s="7">
        <f>IFERROR(MATCH(I251,C251:H251,0),"")</f>
        <v/>
      </c>
      <c r="K251" s="7" t="n">
        <v>15</v>
      </c>
      <c r="L251" s="7">
        <f>IFERROR(I251*(1-(K251/100)),"")</f>
        <v/>
      </c>
      <c r="M251" s="7">
        <f>IFERROR(LOOKUP(9.99E+307,C251:H251),"")</f>
        <v/>
      </c>
      <c r="N251" s="7">
        <f>IFERROR(IF(M251="","",IF(M251&lt;=N251,"停组🛑","继续✓")),"")</f>
        <v/>
      </c>
      <c r="O251" s="7">
        <f>IFERROR(IF(M251="","",IF(M251&lt;0.15,"SAFETY_STOP","")),"")</f>
        <v/>
      </c>
      <c r="P251" s="7">
        <f>IFERROR(IF(M251="","",IF(M251&lt;0.15,"SAFETY_STOP",IF(M251&lt;=N251,"VL_THRESHOLD",""))),"")</f>
        <v/>
      </c>
      <c r="Q251" s="7">
        <f>IFERROR(IF(I251="","",IF(I251&gt;(0.7+0.05),"+5kg",IF(I251&gt;(0.7+0.02),"+2.5kg",IF(I251&gt;=(0.7-0.05),"保持",IF(I251&gt;=(0.7-0.08),"-2.5kg","-5kg"))))),"")</f>
        <v/>
      </c>
      <c r="R251" s="9" t="n"/>
    </row>
    <row r="252">
      <c r="A252" s="7" t="n">
        <v>4</v>
      </c>
      <c r="B252" s="9" t="n"/>
      <c r="C252" s="9" t="n"/>
      <c r="D252" s="9" t="n"/>
      <c r="E252" s="9" t="n"/>
      <c r="F252" s="9" t="n"/>
      <c r="G252" s="9" t="n"/>
      <c r="H252" s="9" t="n"/>
      <c r="I252" s="7">
        <f>IFERROR(MAX(C252:H252),"")</f>
        <v/>
      </c>
      <c r="J252" s="7">
        <f>IFERROR(MATCH(I252,C252:H252,0),"")</f>
        <v/>
      </c>
      <c r="K252" s="7" t="n">
        <v>15</v>
      </c>
      <c r="L252" s="7">
        <f>IFERROR(I252*(1-(K252/100)),"")</f>
        <v/>
      </c>
      <c r="M252" s="7">
        <f>IFERROR(LOOKUP(9.99E+307,C252:H252),"")</f>
        <v/>
      </c>
      <c r="N252" s="7">
        <f>IFERROR(IF(M252="","",IF(M252&lt;=N252,"停组🛑","继续✓")),"")</f>
        <v/>
      </c>
      <c r="O252" s="7">
        <f>IFERROR(IF(M252="","",IF(M252&lt;0.15,"SAFETY_STOP","")),"")</f>
        <v/>
      </c>
      <c r="P252" s="7">
        <f>IFERROR(IF(M252="","",IF(M252&lt;0.15,"SAFETY_STOP",IF(M252&lt;=N252,"VL_THRESHOLD",""))),"")</f>
        <v/>
      </c>
      <c r="Q252" s="7">
        <f>IFERROR(IF(I252="","",IF(I252&gt;(0.7+0.05),"+5kg",IF(I252&gt;(0.7+0.02),"+2.5kg",IF(I252&gt;=(0.7-0.05),"保持",IF(I252&gt;=(0.7-0.08),"-2.5kg","-5kg"))))),"")</f>
        <v/>
      </c>
      <c r="R252" s="9" t="n"/>
    </row>
    <row r="253">
      <c r="A253" s="7" t="n">
        <v>5</v>
      </c>
      <c r="B253" s="9" t="n"/>
      <c r="C253" s="9" t="n"/>
      <c r="D253" s="9" t="n"/>
      <c r="E253" s="9" t="n"/>
      <c r="F253" s="9" t="n"/>
      <c r="G253" s="9" t="n"/>
      <c r="H253" s="9" t="n"/>
      <c r="I253" s="7">
        <f>IFERROR(MAX(C253:H253),"")</f>
        <v/>
      </c>
      <c r="J253" s="7">
        <f>IFERROR(MATCH(I253,C253:H253,0),"")</f>
        <v/>
      </c>
      <c r="K253" s="7" t="n">
        <v>15</v>
      </c>
      <c r="L253" s="7">
        <f>IFERROR(I253*(1-(K253/100)),"")</f>
        <v/>
      </c>
      <c r="M253" s="7">
        <f>IFERROR(LOOKUP(9.99E+307,C253:H253),"")</f>
        <v/>
      </c>
      <c r="N253" s="7">
        <f>IFERROR(IF(M253="","",IF(M253&lt;=N253,"停组🛑","继续✓")),"")</f>
        <v/>
      </c>
      <c r="O253" s="7">
        <f>IFERROR(IF(M253="","",IF(M253&lt;0.15,"SAFETY_STOP","")),"")</f>
        <v/>
      </c>
      <c r="P253" s="7">
        <f>IFERROR(IF(M253="","",IF(M253&lt;0.15,"SAFETY_STOP",IF(M253&lt;=N253,"VL_THRESHOLD",""))),"")</f>
        <v/>
      </c>
      <c r="Q253" s="7">
        <f>IFERROR(IF(I253="","",IF(I253&gt;(0.7+0.05),"+5kg",IF(I253&gt;(0.7+0.02),"+2.5kg",IF(I253&gt;=(0.7-0.05),"保持",IF(I253&gt;=(0.7-0.08),"-2.5kg","-5kg"))))),"")</f>
        <v/>
      </c>
      <c r="R253" s="9" t="n"/>
    </row>
    <row r="254">
      <c r="A254" s="7" t="n">
        <v>6</v>
      </c>
      <c r="B254" s="9" t="n"/>
      <c r="C254" s="9" t="n"/>
      <c r="D254" s="9" t="n"/>
      <c r="E254" s="9" t="n"/>
      <c r="F254" s="9" t="n"/>
      <c r="G254" s="9" t="n"/>
      <c r="H254" s="9" t="n"/>
      <c r="I254" s="7">
        <f>IFERROR(MAX(C254:H254),"")</f>
        <v/>
      </c>
      <c r="J254" s="7">
        <f>IFERROR(MATCH(I254,C254:H254,0),"")</f>
        <v/>
      </c>
      <c r="K254" s="7" t="n">
        <v>15</v>
      </c>
      <c r="L254" s="7">
        <f>IFERROR(I254*(1-(K254/100)),"")</f>
        <v/>
      </c>
      <c r="M254" s="7">
        <f>IFERROR(LOOKUP(9.99E+307,C254:H254),"")</f>
        <v/>
      </c>
      <c r="N254" s="7">
        <f>IFERROR(IF(M254="","",IF(M254&lt;=N254,"停组🛑","继续✓")),"")</f>
        <v/>
      </c>
      <c r="O254" s="7">
        <f>IFERROR(IF(M254="","",IF(M254&lt;0.15,"SAFETY_STOP","")),"")</f>
        <v/>
      </c>
      <c r="P254" s="7">
        <f>IFERROR(IF(M254="","",IF(M254&lt;0.15,"SAFETY_STOP",IF(M254&lt;=N254,"VL_THRESHOLD",""))),"")</f>
        <v/>
      </c>
      <c r="Q254" s="7">
        <f>IFERROR(IF(I254="","",IF(I254&gt;(0.7+0.05),"+5kg",IF(I254&gt;(0.7+0.02),"+2.5kg",IF(I254&gt;=(0.7-0.05),"保持",IF(I254&gt;=(0.7-0.08),"-2.5kg","-5kg"))))),"")</f>
        <v/>
      </c>
      <c r="R254" s="9" t="n"/>
    </row>
    <row r="255">
      <c r="A255" s="13" t="inlineStr">
        <is>
          <t>辅助</t>
        </is>
      </c>
      <c r="D255" s="14" t="inlineStr">
        <is>
          <t>保加利亚单腿蹲</t>
        </is>
      </c>
      <c r="E255" s="14" t="inlineStr">
        <is>
          <t>负荷</t>
        </is>
      </c>
      <c r="F255" s="14" t="inlineStr">
        <is>
          <t>完成</t>
        </is>
      </c>
      <c r="I255" t="inlineStr">
        <is>
          <t>VL</t>
        </is>
      </c>
    </row>
    <row r="256">
      <c r="A256" s="15" t="inlineStr">
        <is>
          <t>训练后</t>
        </is>
      </c>
      <c r="B256" s="15" t="inlineStr">
        <is>
          <t>开始</t>
        </is>
      </c>
      <c r="C256" s="15" t="inlineStr">
        <is>
          <t>结束</t>
        </is>
      </c>
      <c r="D256" s="15" t="inlineStr">
        <is>
          <t>时长min</t>
        </is>
      </c>
      <c r="E256" s="15" t="inlineStr">
        <is>
          <t>sRPE</t>
        </is>
      </c>
      <c r="F256" s="15" t="inlineStr">
        <is>
          <t>load</t>
        </is>
      </c>
      <c r="G256" s="15" t="inlineStr">
        <is>
          <t>不适?</t>
        </is>
      </c>
      <c r="H256" s="15" t="inlineStr">
        <is>
          <t>备注</t>
        </is>
      </c>
      <c r="I256" s="15" t="inlineStr">
        <is>
          <t>签名</t>
        </is>
      </c>
    </row>
    <row r="257">
      <c r="A257" s="7" t="n"/>
      <c r="B257" s="9" t="n"/>
      <c r="C257" s="9" t="n"/>
      <c r="D257" s="11">
        <f>IFERROR((C257-B257)*1440,"")</f>
        <v/>
      </c>
      <c r="E257" s="9" t="n"/>
      <c r="F257" s="11">
        <f>IFERROR(E257*D257,"")</f>
        <v/>
      </c>
      <c r="G257" s="9" t="n"/>
      <c r="H257" s="9" t="n"/>
      <c r="I257" s="9" t="n"/>
    </row>
    <row r="258">
      <c r="A258" s="16" t="inlineStr">
        <is>
          <t>跳跃</t>
        </is>
      </c>
      <c r="B258" s="16" t="inlineStr">
        <is>
          <t>类型</t>
        </is>
      </c>
      <c r="C258" s="16" t="inlineStr">
        <is>
          <t>组×次</t>
        </is>
      </c>
      <c r="D258" s="16" t="inlineStr">
        <is>
          <t>负荷kg</t>
        </is>
      </c>
      <c r="E258" s="16" t="inlineStr">
        <is>
          <t>接触</t>
        </is>
      </c>
    </row>
    <row r="259">
      <c r="B259" t="inlineStr">
        <is>
          <t>SJ</t>
        </is>
      </c>
      <c r="C259" t="inlineStr">
        <is>
          <t>3×3</t>
        </is>
      </c>
      <c r="D259" t="n">
        <v>0</v>
      </c>
      <c r="E259" t="n">
        <v>9</v>
      </c>
    </row>
    <row r="260">
      <c r="B260" t="inlineStr">
        <is>
          <t>负重跳</t>
        </is>
      </c>
      <c r="C260" t="inlineStr">
        <is>
          <t>3×5</t>
        </is>
      </c>
      <c r="D260" s="14" t="n"/>
      <c r="E260" s="14" t="n"/>
    </row>
    <row r="261">
      <c r="A261" s="17" t="inlineStr">
        <is>
          <t>▶ 暴露量汇总</t>
        </is>
      </c>
      <c r="B261" s="17" t="inlineStr">
        <is>
          <t>说明</t>
        </is>
      </c>
      <c r="C261" s="17" t="inlineStr">
        <is>
          <t>公式/来源</t>
        </is>
      </c>
      <c r="D261" s="17" t="inlineStr">
        <is>
          <t>数值</t>
        </is>
      </c>
    </row>
    <row r="262">
      <c r="A262" s="18" t="inlineStr">
        <is>
          <t>① 无负荷跳跃接触</t>
        </is>
      </c>
      <c r="B262" s="18" t="inlineStr">
        <is>
          <t>CMJ+SJ+箱跳</t>
        </is>
      </c>
      <c r="C262" s="19">
        <f>IFERROR(E259+E260,2)</f>
        <v/>
      </c>
    </row>
    <row r="263">
      <c r="A263" s="18" t="inlineStr">
        <is>
          <t>② 负重跳跃接触</t>
        </is>
      </c>
      <c r="B263" s="18" t="inlineStr">
        <is>
          <t>负重深蹲跳</t>
        </is>
      </c>
      <c r="C263" s="19">
        <f>IFERROR(E260,"")</f>
        <v/>
      </c>
    </row>
    <row r="264">
      <c r="A264" s="18" t="inlineStr">
        <is>
          <t>③ 跳跃总计</t>
        </is>
      </c>
      <c r="B264" s="18" t="inlineStr">
        <is>
          <t>①+②</t>
        </is>
      </c>
      <c r="C264" s="19">
        <f>IFERROR(B262+B263,"")</f>
        <v/>
      </c>
    </row>
    <row r="265">
      <c r="A265" s="18" t="inlineStr">
        <is>
          <t>④ 热身VL</t>
        </is>
      </c>
      <c r="B265" s="18" t="inlineStr">
        <is>
          <t>20×5+50%×3(+70%×2)</t>
        </is>
      </c>
      <c r="C265" s="19">
        <f>IFERROR(20*5+ROUND(V245*0.5,0)*3,"-")</f>
        <v/>
      </c>
    </row>
    <row r="266">
      <c r="A266" s="20" t="inlineStr">
        <is>
          <t>⑤ 主项工作组VL ★</t>
        </is>
      </c>
      <c r="B266" s="20" t="inlineStr">
        <is>
          <t>Σ(负荷×次数)</t>
        </is>
      </c>
      <c r="C266" s="21">
        <f>SUMPRODUCT($B$249:$B$254,$R$249:$R$254)</f>
        <v/>
      </c>
    </row>
    <row r="267">
      <c r="A267" s="18" t="inlineStr">
        <is>
          <t>⑥ 主项总VL</t>
        </is>
      </c>
      <c r="B267" s="18" t="inlineStr">
        <is>
          <t>④+⑤</t>
        </is>
      </c>
      <c r="C267" s="19">
        <f>IFERROR(D262+D263,"")</f>
        <v/>
      </c>
    </row>
    <row r="268">
      <c r="A268" s="18" t="inlineStr">
        <is>
          <t>⑦ 辅助VL</t>
        </is>
      </c>
      <c r="B268" s="18" t="inlineStr">
        <is>
          <t>RDL/保加利亚</t>
        </is>
      </c>
      <c r="C268" s="19">
        <f>IFERROR(I255,"")</f>
        <v/>
      </c>
    </row>
    <row r="269">
      <c r="A269" s="18" t="inlineStr">
        <is>
          <t>⑧ 总外部负荷</t>
        </is>
      </c>
      <c r="B269" s="18" t="inlineStr">
        <is>
          <t>⑥+⑦(+负重跳)</t>
        </is>
      </c>
      <c r="C269" s="19">
        <f>IFERROR(F262+G262,"")</f>
        <v/>
      </c>
    </row>
    <row r="270">
      <c r="A270" s="18" t="inlineStr">
        <is>
          <t>⑨ sRPE load</t>
        </is>
      </c>
      <c r="B270" s="18" t="inlineStr">
        <is>
          <t>sRPE×时长</t>
        </is>
      </c>
      <c r="C270" s="19">
        <f>IFERROR(F257,"")</f>
        <v/>
      </c>
    </row>
    <row r="273">
      <c r="A273" s="5" t="inlineStr">
        <is>
          <t>P026 古翔宇  a=1.64 b=-0.00975 1RM=135</t>
        </is>
      </c>
    </row>
    <row r="274">
      <c r="A274" s="6" t="inlineStr">
        <is>
          <t>编号</t>
        </is>
      </c>
      <c r="B274" s="6" t="inlineStr">
        <is>
          <t>姓名</t>
        </is>
      </c>
      <c r="C274" s="6" t="inlineStr">
        <is>
          <t>身高</t>
        </is>
      </c>
      <c r="D274" s="6" t="inlineStr">
        <is>
          <t>1RM</t>
        </is>
      </c>
      <c r="E274" s="6" t="inlineStr">
        <is>
          <t>Hooper睡</t>
        </is>
      </c>
      <c r="F274" s="6" t="inlineStr">
        <is>
          <t>Hooper压</t>
        </is>
      </c>
      <c r="G274" s="6" t="inlineStr">
        <is>
          <t>Hooper疲</t>
        </is>
      </c>
      <c r="H274" s="6" t="inlineStr">
        <is>
          <t>Hooper酸</t>
        </is>
      </c>
      <c r="I274" s="6" t="inlineStr">
        <is>
          <t>H总</t>
        </is>
      </c>
      <c r="J274" s="6" t="inlineStr">
        <is>
          <t>不适?</t>
        </is>
      </c>
      <c r="K274" s="6" t="inlineStr">
        <is>
          <t>说明</t>
        </is>
      </c>
      <c r="L274" s="6" t="inlineStr">
        <is>
          <t>CMJ1</t>
        </is>
      </c>
      <c r="M274" s="6" t="inlineStr">
        <is>
          <t>CMJ2</t>
        </is>
      </c>
      <c r="N274" s="6" t="inlineStr">
        <is>
          <t>CMJ3</t>
        </is>
      </c>
      <c r="O274" s="6" t="inlineStr">
        <is>
          <t>CMJμ</t>
        </is>
      </c>
      <c r="P274" s="6" t="inlineStr">
        <is>
          <t>&lt;95%</t>
        </is>
      </c>
      <c r="Q274" s="6" t="inlineStr">
        <is>
          <t>减组</t>
        </is>
      </c>
      <c r="R274" s="6" t="inlineStr">
        <is>
          <t>组数</t>
        </is>
      </c>
      <c r="S274" s="6" t="inlineStr">
        <is>
          <t>a(V0)</t>
        </is>
      </c>
      <c r="T274" s="6" t="inlineStr">
        <is>
          <t>b</t>
        </is>
      </c>
      <c r="U274" s="6" t="inlineStr">
        <is>
          <t>等级</t>
        </is>
      </c>
      <c r="V274" s="6" t="inlineStr">
        <is>
          <t>预测起始</t>
        </is>
      </c>
    </row>
    <row r="275">
      <c r="A275" s="7" t="inlineStr">
        <is>
          <t>P026</t>
        </is>
      </c>
      <c r="B275" s="7" t="inlineStr">
        <is>
          <t>古翔宇</t>
        </is>
      </c>
      <c r="C275" s="7" t="n">
        <v>180</v>
      </c>
      <c r="D275" s="8" t="n">
        <v>135</v>
      </c>
      <c r="E275" s="9" t="n"/>
      <c r="F275" s="9" t="n"/>
      <c r="G275" s="9" t="n"/>
      <c r="H275" s="9" t="n"/>
      <c r="I275" s="7">
        <f>IFERROR(SUM(E275:H275),"")</f>
        <v/>
      </c>
      <c r="J275" s="9" t="n"/>
      <c r="K275" s="9" t="n"/>
      <c r="L275" s="9" t="n"/>
      <c r="M275" s="9" t="n"/>
      <c r="N275" s="9" t="n"/>
      <c r="O275" s="7">
        <f>IFERROR(AVERAGE(L275:N275),"")</f>
        <v/>
      </c>
      <c r="P275" s="7">
        <f>IF(O275="","",IF(O275&lt;45.51,"是⚠","否"))</f>
        <v/>
      </c>
      <c r="Q275" s="7">
        <f>IF(O275="","",IF(O275&lt;45.51,5-1,5))</f>
        <v/>
      </c>
      <c r="R275" s="7" t="n"/>
      <c r="S275" s="8" t="n">
        <v>1.64</v>
      </c>
      <c r="T275" s="8" t="n">
        <v>-0.00975</v>
      </c>
      <c r="U275" s="7" t="inlineStr">
        <is>
          <t>A</t>
        </is>
      </c>
      <c r="V275" s="8" t="n">
        <v>97.5</v>
      </c>
    </row>
    <row r="276">
      <c r="A276" s="10" t="inlineStr">
        <is>
          <t>热身校准</t>
        </is>
      </c>
      <c r="B276" s="10" t="inlineStr">
        <is>
          <t>a</t>
        </is>
      </c>
      <c r="C276" s="10" t="inlineStr">
        <is>
          <t>b</t>
        </is>
      </c>
      <c r="D276" s="10" t="inlineStr">
        <is>
          <t>50%热身</t>
        </is>
      </c>
      <c r="E276" s="10" t="inlineStr">
        <is>
          <t>70%热身</t>
        </is>
      </c>
      <c r="F276" s="10" t="inlineStr">
        <is>
          <t>热身负荷</t>
        </is>
      </c>
      <c r="G276" s="10" t="inlineStr">
        <is>
          <t>实测MCV</t>
        </is>
      </c>
      <c r="H276" s="10" t="inlineStr">
        <is>
          <t>预测MCV</t>
        </is>
      </c>
      <c r="I276" s="10" t="inlineStr">
        <is>
          <t>Δv</t>
        </is>
      </c>
      <c r="J276" s="10" t="inlineStr">
        <is>
          <t>调整量</t>
        </is>
      </c>
      <c r="K276" s="10" t="inlineStr">
        <is>
          <t>校准第1组</t>
        </is>
      </c>
    </row>
    <row r="277">
      <c r="A277" s="7" t="n"/>
      <c r="B277" s="11" t="n">
        <v>1.64</v>
      </c>
      <c r="C277" s="11" t="n">
        <v>-0.00975</v>
      </c>
      <c r="D277" s="11">
        <f>IFERROR(ROUND(V275*0.5/2.5,0)*2.5,"")</f>
        <v/>
      </c>
      <c r="E277" s="11" t="inlineStr"/>
      <c r="F277" s="11">
        <f>IFERROR(ROUND(V275*0.5/2.5,0)*2.5,"")</f>
        <v/>
      </c>
      <c r="G277" s="9" t="n"/>
      <c r="H277" s="11">
        <f>IFERROR(B277+C277*F277,"")</f>
        <v/>
      </c>
      <c r="I277" s="11">
        <f>IFERROR(G277-H277,"")</f>
        <v/>
      </c>
      <c r="J277" s="11">
        <f>IFERROR(IF(I277&gt;0.08,5,IF(I277&gt;0.04,2.5,IF(I277&gt;=-0.04,0,IF(I277&gt;=-0.08,-2.5,-5)))),"")</f>
        <v/>
      </c>
      <c r="K277" s="11">
        <f>IFERROR(ROUND(V275+J277,0),"")</f>
        <v/>
      </c>
    </row>
    <row r="278">
      <c r="A278" s="12" t="inlineStr">
        <is>
          <t>组</t>
        </is>
      </c>
      <c r="B278" s="12" t="inlineStr">
        <is>
          <t>负荷</t>
        </is>
      </c>
      <c r="C278" s="12" t="inlineStr">
        <is>
          <t>rep1</t>
        </is>
      </c>
      <c r="D278" s="12" t="inlineStr">
        <is>
          <t>rep2</t>
        </is>
      </c>
      <c r="E278" s="12" t="inlineStr">
        <is>
          <t>rep3</t>
        </is>
      </c>
      <c r="F278" s="12" t="inlineStr">
        <is>
          <t>rep4</t>
        </is>
      </c>
      <c r="G278" s="12" t="inlineStr">
        <is>
          <t>rep5</t>
        </is>
      </c>
      <c r="H278" s="12" t="inlineStr">
        <is>
          <t>rep6</t>
        </is>
      </c>
      <c r="I278" s="12" t="inlineStr">
        <is>
          <t>best</t>
        </is>
      </c>
      <c r="J278" s="12" t="inlineStr">
        <is>
          <t>best#</t>
        </is>
      </c>
      <c r="K278" s="12" t="inlineStr">
        <is>
          <t>VL%</t>
        </is>
      </c>
      <c r="L278" s="12" t="inlineStr">
        <is>
          <t>stop_th</t>
        </is>
      </c>
      <c r="M278" s="12" t="inlineStr">
        <is>
          <t>latest</t>
        </is>
      </c>
      <c r="N278" s="12" t="inlineStr">
        <is>
          <t>VL_flag</t>
        </is>
      </c>
      <c r="O278" s="12" t="inlineStr">
        <is>
          <t>safety</t>
        </is>
      </c>
      <c r="P278" s="12" t="inlineStr">
        <is>
          <t>原因</t>
        </is>
      </c>
      <c r="Q278" s="12" t="inlineStr">
        <is>
          <t>建议</t>
        </is>
      </c>
      <c r="R278" s="12" t="inlineStr">
        <is>
          <t>次数</t>
        </is>
      </c>
    </row>
    <row r="279">
      <c r="A279" s="7" t="n">
        <v>1</v>
      </c>
      <c r="B279" s="9">
        <f>IFERROR(K277,"")</f>
        <v/>
      </c>
      <c r="C279" s="9" t="n"/>
      <c r="D279" s="9" t="n"/>
      <c r="E279" s="9" t="n"/>
      <c r="F279" s="9" t="n"/>
      <c r="G279" s="9" t="n"/>
      <c r="H279" s="9" t="n"/>
      <c r="I279" s="7">
        <f>IFERROR(MAX(C279:H279),"")</f>
        <v/>
      </c>
      <c r="J279" s="7">
        <f>IFERROR(MATCH(I279,C279:H279,0),"")</f>
        <v/>
      </c>
      <c r="K279" s="7" t="n">
        <v>15</v>
      </c>
      <c r="L279" s="7">
        <f>IFERROR(I279*(1-(K279/100)),"")</f>
        <v/>
      </c>
      <c r="M279" s="7">
        <f>IFERROR(LOOKUP(9.99E+307,C279:H279),"")</f>
        <v/>
      </c>
      <c r="N279" s="7">
        <f>IFERROR(IF(M279="","",IF(M279&lt;=N279,"停组🛑","继续✓")),"")</f>
        <v/>
      </c>
      <c r="O279" s="7">
        <f>IFERROR(IF(M279="","",IF(M279&lt;0.15,"SAFETY_STOP","")),"")</f>
        <v/>
      </c>
      <c r="P279" s="7">
        <f>IFERROR(IF(M279="","",IF(M279&lt;0.15,"SAFETY_STOP",IF(M279&lt;=N279,"VL_THRESHOLD",""))),"")</f>
        <v/>
      </c>
      <c r="Q279" s="7">
        <f>IFERROR(IF(I279="","",IF(I279&gt;(0.7+0.05),"+5kg",IF(I279&gt;(0.7+0.02),"+2.5kg",IF(I279&gt;=(0.7-0.05),"保持",IF(I279&gt;=(0.7-0.08),"-2.5kg","-5kg"))))),"")</f>
        <v/>
      </c>
      <c r="R279" s="9" t="n"/>
    </row>
    <row r="280">
      <c r="A280" s="7" t="n">
        <v>2</v>
      </c>
      <c r="B280" s="9" t="n"/>
      <c r="C280" s="9" t="n"/>
      <c r="D280" s="9" t="n"/>
      <c r="E280" s="9" t="n"/>
      <c r="F280" s="9" t="n"/>
      <c r="G280" s="9" t="n"/>
      <c r="H280" s="9" t="n"/>
      <c r="I280" s="7">
        <f>IFERROR(MAX(C280:H280),"")</f>
        <v/>
      </c>
      <c r="J280" s="7">
        <f>IFERROR(MATCH(I280,C280:H280,0),"")</f>
        <v/>
      </c>
      <c r="K280" s="7" t="n">
        <v>15</v>
      </c>
      <c r="L280" s="7">
        <f>IFERROR(I280*(1-(K280/100)),"")</f>
        <v/>
      </c>
      <c r="M280" s="7">
        <f>IFERROR(LOOKUP(9.99E+307,C280:H280),"")</f>
        <v/>
      </c>
      <c r="N280" s="7">
        <f>IFERROR(IF(M280="","",IF(M280&lt;=N280,"停组🛑","继续✓")),"")</f>
        <v/>
      </c>
      <c r="O280" s="7">
        <f>IFERROR(IF(M280="","",IF(M280&lt;0.15,"SAFETY_STOP","")),"")</f>
        <v/>
      </c>
      <c r="P280" s="7">
        <f>IFERROR(IF(M280="","",IF(M280&lt;0.15,"SAFETY_STOP",IF(M280&lt;=N280,"VL_THRESHOLD",""))),"")</f>
        <v/>
      </c>
      <c r="Q280" s="7">
        <f>IFERROR(IF(I280="","",IF(I280&gt;(0.7+0.05),"+5kg",IF(I280&gt;(0.7+0.02),"+2.5kg",IF(I280&gt;=(0.7-0.05),"保持",IF(I280&gt;=(0.7-0.08),"-2.5kg","-5kg"))))),"")</f>
        <v/>
      </c>
      <c r="R280" s="9" t="n"/>
    </row>
    <row r="281">
      <c r="A281" s="7" t="n">
        <v>3</v>
      </c>
      <c r="B281" s="9" t="n"/>
      <c r="C281" s="9" t="n"/>
      <c r="D281" s="9" t="n"/>
      <c r="E281" s="9" t="n"/>
      <c r="F281" s="9" t="n"/>
      <c r="G281" s="9" t="n"/>
      <c r="H281" s="9" t="n"/>
      <c r="I281" s="7">
        <f>IFERROR(MAX(C281:H281),"")</f>
        <v/>
      </c>
      <c r="J281" s="7">
        <f>IFERROR(MATCH(I281,C281:H281,0),"")</f>
        <v/>
      </c>
      <c r="K281" s="7" t="n">
        <v>15</v>
      </c>
      <c r="L281" s="7">
        <f>IFERROR(I281*(1-(K281/100)),"")</f>
        <v/>
      </c>
      <c r="M281" s="7">
        <f>IFERROR(LOOKUP(9.99E+307,C281:H281),"")</f>
        <v/>
      </c>
      <c r="N281" s="7">
        <f>IFERROR(IF(M281="","",IF(M281&lt;=N281,"停组🛑","继续✓")),"")</f>
        <v/>
      </c>
      <c r="O281" s="7">
        <f>IFERROR(IF(M281="","",IF(M281&lt;0.15,"SAFETY_STOP","")),"")</f>
        <v/>
      </c>
      <c r="P281" s="7">
        <f>IFERROR(IF(M281="","",IF(M281&lt;0.15,"SAFETY_STOP",IF(M281&lt;=N281,"VL_THRESHOLD",""))),"")</f>
        <v/>
      </c>
      <c r="Q281" s="7">
        <f>IFERROR(IF(I281="","",IF(I281&gt;(0.7+0.05),"+5kg",IF(I281&gt;(0.7+0.02),"+2.5kg",IF(I281&gt;=(0.7-0.05),"保持",IF(I281&gt;=(0.7-0.08),"-2.5kg","-5kg"))))),"")</f>
        <v/>
      </c>
      <c r="R281" s="9" t="n"/>
    </row>
    <row r="282">
      <c r="A282" s="7" t="n">
        <v>4</v>
      </c>
      <c r="B282" s="9" t="n"/>
      <c r="C282" s="9" t="n"/>
      <c r="D282" s="9" t="n"/>
      <c r="E282" s="9" t="n"/>
      <c r="F282" s="9" t="n"/>
      <c r="G282" s="9" t="n"/>
      <c r="H282" s="9" t="n"/>
      <c r="I282" s="7">
        <f>IFERROR(MAX(C282:H282),"")</f>
        <v/>
      </c>
      <c r="J282" s="7">
        <f>IFERROR(MATCH(I282,C282:H282,0),"")</f>
        <v/>
      </c>
      <c r="K282" s="7" t="n">
        <v>15</v>
      </c>
      <c r="L282" s="7">
        <f>IFERROR(I282*(1-(K282/100)),"")</f>
        <v/>
      </c>
      <c r="M282" s="7">
        <f>IFERROR(LOOKUP(9.99E+307,C282:H282),"")</f>
        <v/>
      </c>
      <c r="N282" s="7">
        <f>IFERROR(IF(M282="","",IF(M282&lt;=N282,"停组🛑","继续✓")),"")</f>
        <v/>
      </c>
      <c r="O282" s="7">
        <f>IFERROR(IF(M282="","",IF(M282&lt;0.15,"SAFETY_STOP","")),"")</f>
        <v/>
      </c>
      <c r="P282" s="7">
        <f>IFERROR(IF(M282="","",IF(M282&lt;0.15,"SAFETY_STOP",IF(M282&lt;=N282,"VL_THRESHOLD",""))),"")</f>
        <v/>
      </c>
      <c r="Q282" s="7">
        <f>IFERROR(IF(I282="","",IF(I282&gt;(0.7+0.05),"+5kg",IF(I282&gt;(0.7+0.02),"+2.5kg",IF(I282&gt;=(0.7-0.05),"保持",IF(I282&gt;=(0.7-0.08),"-2.5kg","-5kg"))))),"")</f>
        <v/>
      </c>
      <c r="R282" s="9" t="n"/>
    </row>
    <row r="283">
      <c r="A283" s="7" t="n">
        <v>5</v>
      </c>
      <c r="B283" s="9" t="n"/>
      <c r="C283" s="9" t="n"/>
      <c r="D283" s="9" t="n"/>
      <c r="E283" s="9" t="n"/>
      <c r="F283" s="9" t="n"/>
      <c r="G283" s="9" t="n"/>
      <c r="H283" s="9" t="n"/>
      <c r="I283" s="7">
        <f>IFERROR(MAX(C283:H283),"")</f>
        <v/>
      </c>
      <c r="J283" s="7">
        <f>IFERROR(MATCH(I283,C283:H283,0),"")</f>
        <v/>
      </c>
      <c r="K283" s="7" t="n">
        <v>15</v>
      </c>
      <c r="L283" s="7">
        <f>IFERROR(I283*(1-(K283/100)),"")</f>
        <v/>
      </c>
      <c r="M283" s="7">
        <f>IFERROR(LOOKUP(9.99E+307,C283:H283),"")</f>
        <v/>
      </c>
      <c r="N283" s="7">
        <f>IFERROR(IF(M283="","",IF(M283&lt;=N283,"停组🛑","继续✓")),"")</f>
        <v/>
      </c>
      <c r="O283" s="7">
        <f>IFERROR(IF(M283="","",IF(M283&lt;0.15,"SAFETY_STOP","")),"")</f>
        <v/>
      </c>
      <c r="P283" s="7">
        <f>IFERROR(IF(M283="","",IF(M283&lt;0.15,"SAFETY_STOP",IF(M283&lt;=N283,"VL_THRESHOLD",""))),"")</f>
        <v/>
      </c>
      <c r="Q283" s="7">
        <f>IFERROR(IF(I283="","",IF(I283&gt;(0.7+0.05),"+5kg",IF(I283&gt;(0.7+0.02),"+2.5kg",IF(I283&gt;=(0.7-0.05),"保持",IF(I283&gt;=(0.7-0.08),"-2.5kg","-5kg"))))),"")</f>
        <v/>
      </c>
      <c r="R283" s="9" t="n"/>
    </row>
    <row r="284">
      <c r="A284" s="7" t="n">
        <v>6</v>
      </c>
      <c r="B284" s="9" t="n"/>
      <c r="C284" s="9" t="n"/>
      <c r="D284" s="9" t="n"/>
      <c r="E284" s="9" t="n"/>
      <c r="F284" s="9" t="n"/>
      <c r="G284" s="9" t="n"/>
      <c r="H284" s="9" t="n"/>
      <c r="I284" s="7">
        <f>IFERROR(MAX(C284:H284),"")</f>
        <v/>
      </c>
      <c r="J284" s="7">
        <f>IFERROR(MATCH(I284,C284:H284,0),"")</f>
        <v/>
      </c>
      <c r="K284" s="7" t="n">
        <v>15</v>
      </c>
      <c r="L284" s="7">
        <f>IFERROR(I284*(1-(K284/100)),"")</f>
        <v/>
      </c>
      <c r="M284" s="7">
        <f>IFERROR(LOOKUP(9.99E+307,C284:H284),"")</f>
        <v/>
      </c>
      <c r="N284" s="7">
        <f>IFERROR(IF(M284="","",IF(M284&lt;=N284,"停组🛑","继续✓")),"")</f>
        <v/>
      </c>
      <c r="O284" s="7">
        <f>IFERROR(IF(M284="","",IF(M284&lt;0.15,"SAFETY_STOP","")),"")</f>
        <v/>
      </c>
      <c r="P284" s="7">
        <f>IFERROR(IF(M284="","",IF(M284&lt;0.15,"SAFETY_STOP",IF(M284&lt;=N284,"VL_THRESHOLD",""))),"")</f>
        <v/>
      </c>
      <c r="Q284" s="7">
        <f>IFERROR(IF(I284="","",IF(I284&gt;(0.7+0.05),"+5kg",IF(I284&gt;(0.7+0.02),"+2.5kg",IF(I284&gt;=(0.7-0.05),"保持",IF(I284&gt;=(0.7-0.08),"-2.5kg","-5kg"))))),"")</f>
        <v/>
      </c>
      <c r="R284" s="9" t="n"/>
    </row>
    <row r="285">
      <c r="A285" s="13" t="inlineStr">
        <is>
          <t>辅助</t>
        </is>
      </c>
      <c r="D285" s="14" t="inlineStr">
        <is>
          <t>保加利亚单腿蹲</t>
        </is>
      </c>
      <c r="E285" s="14" t="inlineStr">
        <is>
          <t>负荷</t>
        </is>
      </c>
      <c r="F285" s="14" t="inlineStr">
        <is>
          <t>完成</t>
        </is>
      </c>
      <c r="I285" t="inlineStr">
        <is>
          <t>VL</t>
        </is>
      </c>
    </row>
    <row r="286">
      <c r="A286" s="15" t="inlineStr">
        <is>
          <t>训练后</t>
        </is>
      </c>
      <c r="B286" s="15" t="inlineStr">
        <is>
          <t>开始</t>
        </is>
      </c>
      <c r="C286" s="15" t="inlineStr">
        <is>
          <t>结束</t>
        </is>
      </c>
      <c r="D286" s="15" t="inlineStr">
        <is>
          <t>时长min</t>
        </is>
      </c>
      <c r="E286" s="15" t="inlineStr">
        <is>
          <t>sRPE</t>
        </is>
      </c>
      <c r="F286" s="15" t="inlineStr">
        <is>
          <t>load</t>
        </is>
      </c>
      <c r="G286" s="15" t="inlineStr">
        <is>
          <t>不适?</t>
        </is>
      </c>
      <c r="H286" s="15" t="inlineStr">
        <is>
          <t>备注</t>
        </is>
      </c>
      <c r="I286" s="15" t="inlineStr">
        <is>
          <t>签名</t>
        </is>
      </c>
    </row>
    <row r="287">
      <c r="A287" s="7" t="n"/>
      <c r="B287" s="9" t="n"/>
      <c r="C287" s="9" t="n"/>
      <c r="D287" s="11">
        <f>IFERROR((C287-B287)*1440,"")</f>
        <v/>
      </c>
      <c r="E287" s="9" t="n"/>
      <c r="F287" s="11">
        <f>IFERROR(E287*D287,"")</f>
        <v/>
      </c>
      <c r="G287" s="9" t="n"/>
      <c r="H287" s="9" t="n"/>
      <c r="I287" s="9" t="n"/>
    </row>
    <row r="288">
      <c r="A288" s="16" t="inlineStr">
        <is>
          <t>跳跃</t>
        </is>
      </c>
      <c r="B288" s="16" t="inlineStr">
        <is>
          <t>类型</t>
        </is>
      </c>
      <c r="C288" s="16" t="inlineStr">
        <is>
          <t>组×次</t>
        </is>
      </c>
      <c r="D288" s="16" t="inlineStr">
        <is>
          <t>负荷kg</t>
        </is>
      </c>
      <c r="E288" s="16" t="inlineStr">
        <is>
          <t>接触</t>
        </is>
      </c>
    </row>
    <row r="289">
      <c r="B289" t="inlineStr">
        <is>
          <t>SJ</t>
        </is>
      </c>
      <c r="C289" t="inlineStr">
        <is>
          <t>3×3</t>
        </is>
      </c>
      <c r="D289" t="n">
        <v>0</v>
      </c>
      <c r="E289" t="n">
        <v>9</v>
      </c>
    </row>
    <row r="290">
      <c r="B290" t="inlineStr">
        <is>
          <t>负重跳</t>
        </is>
      </c>
      <c r="C290" t="inlineStr">
        <is>
          <t>3×5</t>
        </is>
      </c>
      <c r="D290" s="14" t="n"/>
      <c r="E290" s="14" t="n"/>
    </row>
    <row r="291">
      <c r="A291" s="17" t="inlineStr">
        <is>
          <t>▶ 暴露量汇总</t>
        </is>
      </c>
      <c r="B291" s="17" t="inlineStr">
        <is>
          <t>说明</t>
        </is>
      </c>
      <c r="C291" s="17" t="inlineStr">
        <is>
          <t>公式/来源</t>
        </is>
      </c>
      <c r="D291" s="17" t="inlineStr">
        <is>
          <t>数值</t>
        </is>
      </c>
    </row>
    <row r="292">
      <c r="A292" s="18" t="inlineStr">
        <is>
          <t>① 无负荷跳跃接触</t>
        </is>
      </c>
      <c r="B292" s="18" t="inlineStr">
        <is>
          <t>CMJ+SJ+箱跳</t>
        </is>
      </c>
      <c r="C292" s="19">
        <f>IFERROR(E289+E290,2)</f>
        <v/>
      </c>
    </row>
    <row r="293">
      <c r="A293" s="18" t="inlineStr">
        <is>
          <t>② 负重跳跃接触</t>
        </is>
      </c>
      <c r="B293" s="18" t="inlineStr">
        <is>
          <t>负重深蹲跳</t>
        </is>
      </c>
      <c r="C293" s="19">
        <f>IFERROR(E290,"")</f>
        <v/>
      </c>
    </row>
    <row r="294">
      <c r="A294" s="18" t="inlineStr">
        <is>
          <t>③ 跳跃总计</t>
        </is>
      </c>
      <c r="B294" s="18" t="inlineStr">
        <is>
          <t>①+②</t>
        </is>
      </c>
      <c r="C294" s="19">
        <f>IFERROR(B292+B293,"")</f>
        <v/>
      </c>
    </row>
    <row r="295">
      <c r="A295" s="18" t="inlineStr">
        <is>
          <t>④ 热身VL</t>
        </is>
      </c>
      <c r="B295" s="18" t="inlineStr">
        <is>
          <t>20×5+50%×3(+70%×2)</t>
        </is>
      </c>
      <c r="C295" s="19">
        <f>IFERROR(20*5+ROUND(V275*0.5,0)*3,"-")</f>
        <v/>
      </c>
    </row>
    <row r="296">
      <c r="A296" s="20" t="inlineStr">
        <is>
          <t>⑤ 主项工作组VL ★</t>
        </is>
      </c>
      <c r="B296" s="20" t="inlineStr">
        <is>
          <t>Σ(负荷×次数)</t>
        </is>
      </c>
      <c r="C296" s="21">
        <f>SUMPRODUCT($B$279:$B$284,$R$279:$R$284)</f>
        <v/>
      </c>
    </row>
    <row r="297">
      <c r="A297" s="18" t="inlineStr">
        <is>
          <t>⑥ 主项总VL</t>
        </is>
      </c>
      <c r="B297" s="18" t="inlineStr">
        <is>
          <t>④+⑤</t>
        </is>
      </c>
      <c r="C297" s="19">
        <f>IFERROR(D292+D293,"")</f>
        <v/>
      </c>
    </row>
    <row r="298">
      <c r="A298" s="18" t="inlineStr">
        <is>
          <t>⑦ 辅助VL</t>
        </is>
      </c>
      <c r="B298" s="18" t="inlineStr">
        <is>
          <t>RDL/保加利亚</t>
        </is>
      </c>
      <c r="C298" s="19">
        <f>IFERROR(I285,"")</f>
        <v/>
      </c>
    </row>
    <row r="299">
      <c r="A299" s="18" t="inlineStr">
        <is>
          <t>⑧ 总外部负荷</t>
        </is>
      </c>
      <c r="B299" s="18" t="inlineStr">
        <is>
          <t>⑥+⑦(+负重跳)</t>
        </is>
      </c>
      <c r="C299" s="19">
        <f>IFERROR(F292+G292,"")</f>
        <v/>
      </c>
    </row>
    <row r="300">
      <c r="A300" s="18" t="inlineStr">
        <is>
          <t>⑨ sRPE load</t>
        </is>
      </c>
      <c r="B300" s="18" t="inlineStr">
        <is>
          <t>sRPE×时长</t>
        </is>
      </c>
      <c r="C300" s="19">
        <f>IFERROR(F287,"")</f>
        <v/>
      </c>
    </row>
    <row r="303">
      <c r="A303" s="5" t="inlineStr">
        <is>
          <t>P010 张锦荣  a=1.26 b=-0.006 1RM=120</t>
        </is>
      </c>
    </row>
    <row r="304">
      <c r="A304" s="6" t="inlineStr">
        <is>
          <t>编号</t>
        </is>
      </c>
      <c r="B304" s="6" t="inlineStr">
        <is>
          <t>姓名</t>
        </is>
      </c>
      <c r="C304" s="6" t="inlineStr">
        <is>
          <t>身高</t>
        </is>
      </c>
      <c r="D304" s="6" t="inlineStr">
        <is>
          <t>1RM</t>
        </is>
      </c>
      <c r="E304" s="6" t="inlineStr">
        <is>
          <t>Hooper睡</t>
        </is>
      </c>
      <c r="F304" s="6" t="inlineStr">
        <is>
          <t>Hooper压</t>
        </is>
      </c>
      <c r="G304" s="6" t="inlineStr">
        <is>
          <t>Hooper疲</t>
        </is>
      </c>
      <c r="H304" s="6" t="inlineStr">
        <is>
          <t>Hooper酸</t>
        </is>
      </c>
      <c r="I304" s="6" t="inlineStr">
        <is>
          <t>H总</t>
        </is>
      </c>
      <c r="J304" s="6" t="inlineStr">
        <is>
          <t>不适?</t>
        </is>
      </c>
      <c r="K304" s="6" t="inlineStr">
        <is>
          <t>说明</t>
        </is>
      </c>
      <c r="L304" s="6" t="inlineStr">
        <is>
          <t>CMJ1</t>
        </is>
      </c>
      <c r="M304" s="6" t="inlineStr">
        <is>
          <t>CMJ2</t>
        </is>
      </c>
      <c r="N304" s="6" t="inlineStr">
        <is>
          <t>CMJ3</t>
        </is>
      </c>
      <c r="O304" s="6" t="inlineStr">
        <is>
          <t>CMJμ</t>
        </is>
      </c>
      <c r="P304" s="6" t="inlineStr">
        <is>
          <t>&lt;95%</t>
        </is>
      </c>
      <c r="Q304" s="6" t="inlineStr">
        <is>
          <t>减组</t>
        </is>
      </c>
      <c r="R304" s="6" t="inlineStr">
        <is>
          <t>组数</t>
        </is>
      </c>
      <c r="S304" s="6" t="inlineStr">
        <is>
          <t>a(V0)</t>
        </is>
      </c>
      <c r="T304" s="6" t="inlineStr">
        <is>
          <t>b</t>
        </is>
      </c>
      <c r="U304" s="6" t="inlineStr">
        <is>
          <t>等级</t>
        </is>
      </c>
      <c r="V304" s="6" t="inlineStr">
        <is>
          <t>预测起始</t>
        </is>
      </c>
    </row>
    <row r="305">
      <c r="A305" s="7" t="inlineStr">
        <is>
          <t>P010</t>
        </is>
      </c>
      <c r="B305" s="7" t="inlineStr">
        <is>
          <t>张锦荣</t>
        </is>
      </c>
      <c r="C305" s="7" t="n">
        <v>174</v>
      </c>
      <c r="D305" s="8" t="n">
        <v>120</v>
      </c>
      <c r="E305" s="9" t="n"/>
      <c r="F305" s="9" t="n"/>
      <c r="G305" s="9" t="n"/>
      <c r="H305" s="9" t="n"/>
      <c r="I305" s="7">
        <f>IFERROR(SUM(E305:H305),"")</f>
        <v/>
      </c>
      <c r="J305" s="9" t="n"/>
      <c r="K305" s="9" t="n"/>
      <c r="L305" s="9" t="n"/>
      <c r="M305" s="9" t="n"/>
      <c r="N305" s="9" t="n"/>
      <c r="O305" s="7">
        <f>IFERROR(AVERAGE(L305:N305),"")</f>
        <v/>
      </c>
      <c r="P305" s="7">
        <f>IF(O305="","",IF(O305&lt;50.42,"是⚠","否"))</f>
        <v/>
      </c>
      <c r="Q305" s="7">
        <f>IF(O305="","",IF(O305&lt;50.42,5-1,5))</f>
        <v/>
      </c>
      <c r="R305" s="7" t="n"/>
      <c r="S305" s="8" t="n">
        <v>1.26</v>
      </c>
      <c r="T305" s="8" t="n">
        <v>-0.006</v>
      </c>
      <c r="U305" s="7" t="inlineStr">
        <is>
          <t>B</t>
        </is>
      </c>
      <c r="V305" s="8" t="n">
        <v>92.5</v>
      </c>
    </row>
    <row r="306">
      <c r="A306" s="10" t="inlineStr">
        <is>
          <t>热身校准</t>
        </is>
      </c>
      <c r="B306" s="10" t="inlineStr">
        <is>
          <t>a</t>
        </is>
      </c>
      <c r="C306" s="10" t="inlineStr">
        <is>
          <t>b</t>
        </is>
      </c>
      <c r="D306" s="10" t="inlineStr">
        <is>
          <t>50%热身</t>
        </is>
      </c>
      <c r="E306" s="10" t="inlineStr">
        <is>
          <t>70%热身</t>
        </is>
      </c>
      <c r="F306" s="10" t="inlineStr">
        <is>
          <t>热身负荷</t>
        </is>
      </c>
      <c r="G306" s="10" t="inlineStr">
        <is>
          <t>实测MCV</t>
        </is>
      </c>
      <c r="H306" s="10" t="inlineStr">
        <is>
          <t>预测MCV</t>
        </is>
      </c>
      <c r="I306" s="10" t="inlineStr">
        <is>
          <t>Δv</t>
        </is>
      </c>
      <c r="J306" s="10" t="inlineStr">
        <is>
          <t>调整量</t>
        </is>
      </c>
      <c r="K306" s="10" t="inlineStr">
        <is>
          <t>校准第1组</t>
        </is>
      </c>
    </row>
    <row r="307">
      <c r="A307" s="7" t="n"/>
      <c r="B307" s="11" t="n">
        <v>1.26</v>
      </c>
      <c r="C307" s="11" t="n">
        <v>-0.006</v>
      </c>
      <c r="D307" s="11">
        <f>IFERROR(ROUND(V305*0.5/2.5,0)*2.5,"")</f>
        <v/>
      </c>
      <c r="E307" s="11" t="inlineStr"/>
      <c r="F307" s="11">
        <f>IFERROR(ROUND(V305*0.5/2.5,0)*2.5,"")</f>
        <v/>
      </c>
      <c r="G307" s="9" t="n"/>
      <c r="H307" s="11">
        <f>IFERROR(B307+C307*F307,"")</f>
        <v/>
      </c>
      <c r="I307" s="11">
        <f>IFERROR(G307-H307,"")</f>
        <v/>
      </c>
      <c r="J307" s="11">
        <f>IFERROR(IF(I307&gt;0.08,5,IF(I307&gt;0.04,2.5,IF(I307&gt;=-0.04,0,IF(I307&gt;=-0.08,-2.5,-5)))),"")</f>
        <v/>
      </c>
      <c r="K307" s="11">
        <f>IFERROR(ROUND(V305+J307,0),"")</f>
        <v/>
      </c>
    </row>
    <row r="308">
      <c r="A308" s="12" t="inlineStr">
        <is>
          <t>组</t>
        </is>
      </c>
      <c r="B308" s="12" t="inlineStr">
        <is>
          <t>负荷</t>
        </is>
      </c>
      <c r="C308" s="12" t="inlineStr">
        <is>
          <t>rep1</t>
        </is>
      </c>
      <c r="D308" s="12" t="inlineStr">
        <is>
          <t>rep2</t>
        </is>
      </c>
      <c r="E308" s="12" t="inlineStr">
        <is>
          <t>rep3</t>
        </is>
      </c>
      <c r="F308" s="12" t="inlineStr">
        <is>
          <t>rep4</t>
        </is>
      </c>
      <c r="G308" s="12" t="inlineStr">
        <is>
          <t>rep5</t>
        </is>
      </c>
      <c r="H308" s="12" t="inlineStr">
        <is>
          <t>rep6</t>
        </is>
      </c>
      <c r="I308" s="12" t="inlineStr">
        <is>
          <t>best</t>
        </is>
      </c>
      <c r="J308" s="12" t="inlineStr">
        <is>
          <t>best#</t>
        </is>
      </c>
      <c r="K308" s="12" t="inlineStr">
        <is>
          <t>VL%</t>
        </is>
      </c>
      <c r="L308" s="12" t="inlineStr">
        <is>
          <t>stop_th</t>
        </is>
      </c>
      <c r="M308" s="12" t="inlineStr">
        <is>
          <t>latest</t>
        </is>
      </c>
      <c r="N308" s="12" t="inlineStr">
        <is>
          <t>VL_flag</t>
        </is>
      </c>
      <c r="O308" s="12" t="inlineStr">
        <is>
          <t>safety</t>
        </is>
      </c>
      <c r="P308" s="12" t="inlineStr">
        <is>
          <t>原因</t>
        </is>
      </c>
      <c r="Q308" s="12" t="inlineStr">
        <is>
          <t>建议</t>
        </is>
      </c>
      <c r="R308" s="12" t="inlineStr">
        <is>
          <t>次数</t>
        </is>
      </c>
    </row>
    <row r="309">
      <c r="A309" s="7" t="n">
        <v>1</v>
      </c>
      <c r="B309" s="9">
        <f>IFERROR(K307,"")</f>
        <v/>
      </c>
      <c r="C309" s="9" t="n"/>
      <c r="D309" s="9" t="n"/>
      <c r="E309" s="9" t="n"/>
      <c r="F309" s="9" t="n"/>
      <c r="G309" s="9" t="n"/>
      <c r="H309" s="9" t="n"/>
      <c r="I309" s="7">
        <f>IFERROR(MAX(C309:H309),"")</f>
        <v/>
      </c>
      <c r="J309" s="7">
        <f>IFERROR(MATCH(I309,C309:H309,0),"")</f>
        <v/>
      </c>
      <c r="K309" s="7" t="n">
        <v>15</v>
      </c>
      <c r="L309" s="7">
        <f>IFERROR(I309*(1-(K309/100)),"")</f>
        <v/>
      </c>
      <c r="M309" s="7">
        <f>IFERROR(LOOKUP(9.99E+307,C309:H309),"")</f>
        <v/>
      </c>
      <c r="N309" s="7">
        <f>IFERROR(IF(M309="","",IF(M309&lt;=N309,"停组🛑","继续✓")),"")</f>
        <v/>
      </c>
      <c r="O309" s="7">
        <f>IFERROR(IF(M309="","",IF(M309&lt;0.15,"SAFETY_STOP","")),"")</f>
        <v/>
      </c>
      <c r="P309" s="7">
        <f>IFERROR(IF(M309="","",IF(M309&lt;0.15,"SAFETY_STOP",IF(M309&lt;=N309,"VL_THRESHOLD",""))),"")</f>
        <v/>
      </c>
      <c r="Q309" s="7">
        <f>IFERROR(IF(I309="","",IF(I309&gt;(0.7+0.05),"+5kg",IF(I309&gt;(0.7+0.02),"+2.5kg",IF(I309&gt;=(0.7-0.05),"保持",IF(I309&gt;=(0.7-0.08),"-2.5kg","-5kg"))))),"")</f>
        <v/>
      </c>
      <c r="R309" s="9" t="n"/>
    </row>
    <row r="310">
      <c r="A310" s="7" t="n">
        <v>2</v>
      </c>
      <c r="B310" s="9" t="n"/>
      <c r="C310" s="9" t="n"/>
      <c r="D310" s="9" t="n"/>
      <c r="E310" s="9" t="n"/>
      <c r="F310" s="9" t="n"/>
      <c r="G310" s="9" t="n"/>
      <c r="H310" s="9" t="n"/>
      <c r="I310" s="7">
        <f>IFERROR(MAX(C310:H310),"")</f>
        <v/>
      </c>
      <c r="J310" s="7">
        <f>IFERROR(MATCH(I310,C310:H310,0),"")</f>
        <v/>
      </c>
      <c r="K310" s="7" t="n">
        <v>15</v>
      </c>
      <c r="L310" s="7">
        <f>IFERROR(I310*(1-(K310/100)),"")</f>
        <v/>
      </c>
      <c r="M310" s="7">
        <f>IFERROR(LOOKUP(9.99E+307,C310:H310),"")</f>
        <v/>
      </c>
      <c r="N310" s="7">
        <f>IFERROR(IF(M310="","",IF(M310&lt;=N310,"停组🛑","继续✓")),"")</f>
        <v/>
      </c>
      <c r="O310" s="7">
        <f>IFERROR(IF(M310="","",IF(M310&lt;0.15,"SAFETY_STOP","")),"")</f>
        <v/>
      </c>
      <c r="P310" s="7">
        <f>IFERROR(IF(M310="","",IF(M310&lt;0.15,"SAFETY_STOP",IF(M310&lt;=N310,"VL_THRESHOLD",""))),"")</f>
        <v/>
      </c>
      <c r="Q310" s="7">
        <f>IFERROR(IF(I310="","",IF(I310&gt;(0.7+0.05),"+5kg",IF(I310&gt;(0.7+0.02),"+2.5kg",IF(I310&gt;=(0.7-0.05),"保持",IF(I310&gt;=(0.7-0.08),"-2.5kg","-5kg"))))),"")</f>
        <v/>
      </c>
      <c r="R310" s="9" t="n"/>
    </row>
    <row r="311">
      <c r="A311" s="7" t="n">
        <v>3</v>
      </c>
      <c r="B311" s="9" t="n"/>
      <c r="C311" s="9" t="n"/>
      <c r="D311" s="9" t="n"/>
      <c r="E311" s="9" t="n"/>
      <c r="F311" s="9" t="n"/>
      <c r="G311" s="9" t="n"/>
      <c r="H311" s="9" t="n"/>
      <c r="I311" s="7">
        <f>IFERROR(MAX(C311:H311),"")</f>
        <v/>
      </c>
      <c r="J311" s="7">
        <f>IFERROR(MATCH(I311,C311:H311,0),"")</f>
        <v/>
      </c>
      <c r="K311" s="7" t="n">
        <v>15</v>
      </c>
      <c r="L311" s="7">
        <f>IFERROR(I311*(1-(K311/100)),"")</f>
        <v/>
      </c>
      <c r="M311" s="7">
        <f>IFERROR(LOOKUP(9.99E+307,C311:H311),"")</f>
        <v/>
      </c>
      <c r="N311" s="7">
        <f>IFERROR(IF(M311="","",IF(M311&lt;=N311,"停组🛑","继续✓")),"")</f>
        <v/>
      </c>
      <c r="O311" s="7">
        <f>IFERROR(IF(M311="","",IF(M311&lt;0.15,"SAFETY_STOP","")),"")</f>
        <v/>
      </c>
      <c r="P311" s="7">
        <f>IFERROR(IF(M311="","",IF(M311&lt;0.15,"SAFETY_STOP",IF(M311&lt;=N311,"VL_THRESHOLD",""))),"")</f>
        <v/>
      </c>
      <c r="Q311" s="7">
        <f>IFERROR(IF(I311="","",IF(I311&gt;(0.7+0.05),"+5kg",IF(I311&gt;(0.7+0.02),"+2.5kg",IF(I311&gt;=(0.7-0.05),"保持",IF(I311&gt;=(0.7-0.08),"-2.5kg","-5kg"))))),"")</f>
        <v/>
      </c>
      <c r="R311" s="9" t="n"/>
    </row>
    <row r="312">
      <c r="A312" s="7" t="n">
        <v>4</v>
      </c>
      <c r="B312" s="9" t="n"/>
      <c r="C312" s="9" t="n"/>
      <c r="D312" s="9" t="n"/>
      <c r="E312" s="9" t="n"/>
      <c r="F312" s="9" t="n"/>
      <c r="G312" s="9" t="n"/>
      <c r="H312" s="9" t="n"/>
      <c r="I312" s="7">
        <f>IFERROR(MAX(C312:H312),"")</f>
        <v/>
      </c>
      <c r="J312" s="7">
        <f>IFERROR(MATCH(I312,C312:H312,0),"")</f>
        <v/>
      </c>
      <c r="K312" s="7" t="n">
        <v>15</v>
      </c>
      <c r="L312" s="7">
        <f>IFERROR(I312*(1-(K312/100)),"")</f>
        <v/>
      </c>
      <c r="M312" s="7">
        <f>IFERROR(LOOKUP(9.99E+307,C312:H312),"")</f>
        <v/>
      </c>
      <c r="N312" s="7">
        <f>IFERROR(IF(M312="","",IF(M312&lt;=N312,"停组🛑","继续✓")),"")</f>
        <v/>
      </c>
      <c r="O312" s="7">
        <f>IFERROR(IF(M312="","",IF(M312&lt;0.15,"SAFETY_STOP","")),"")</f>
        <v/>
      </c>
      <c r="P312" s="7">
        <f>IFERROR(IF(M312="","",IF(M312&lt;0.15,"SAFETY_STOP",IF(M312&lt;=N312,"VL_THRESHOLD",""))),"")</f>
        <v/>
      </c>
      <c r="Q312" s="7">
        <f>IFERROR(IF(I312="","",IF(I312&gt;(0.7+0.05),"+5kg",IF(I312&gt;(0.7+0.02),"+2.5kg",IF(I312&gt;=(0.7-0.05),"保持",IF(I312&gt;=(0.7-0.08),"-2.5kg","-5kg"))))),"")</f>
        <v/>
      </c>
      <c r="R312" s="9" t="n"/>
    </row>
    <row r="313">
      <c r="A313" s="7" t="n">
        <v>5</v>
      </c>
      <c r="B313" s="9" t="n"/>
      <c r="C313" s="9" t="n"/>
      <c r="D313" s="9" t="n"/>
      <c r="E313" s="9" t="n"/>
      <c r="F313" s="9" t="n"/>
      <c r="G313" s="9" t="n"/>
      <c r="H313" s="9" t="n"/>
      <c r="I313" s="7">
        <f>IFERROR(MAX(C313:H313),"")</f>
        <v/>
      </c>
      <c r="J313" s="7">
        <f>IFERROR(MATCH(I313,C313:H313,0),"")</f>
        <v/>
      </c>
      <c r="K313" s="7" t="n">
        <v>15</v>
      </c>
      <c r="L313" s="7">
        <f>IFERROR(I313*(1-(K313/100)),"")</f>
        <v/>
      </c>
      <c r="M313" s="7">
        <f>IFERROR(LOOKUP(9.99E+307,C313:H313),"")</f>
        <v/>
      </c>
      <c r="N313" s="7">
        <f>IFERROR(IF(M313="","",IF(M313&lt;=N313,"停组🛑","继续✓")),"")</f>
        <v/>
      </c>
      <c r="O313" s="7">
        <f>IFERROR(IF(M313="","",IF(M313&lt;0.15,"SAFETY_STOP","")),"")</f>
        <v/>
      </c>
      <c r="P313" s="7">
        <f>IFERROR(IF(M313="","",IF(M313&lt;0.15,"SAFETY_STOP",IF(M313&lt;=N313,"VL_THRESHOLD",""))),"")</f>
        <v/>
      </c>
      <c r="Q313" s="7">
        <f>IFERROR(IF(I313="","",IF(I313&gt;(0.7+0.05),"+5kg",IF(I313&gt;(0.7+0.02),"+2.5kg",IF(I313&gt;=(0.7-0.05),"保持",IF(I313&gt;=(0.7-0.08),"-2.5kg","-5kg"))))),"")</f>
        <v/>
      </c>
      <c r="R313" s="9" t="n"/>
    </row>
    <row r="314">
      <c r="A314" s="7" t="n">
        <v>6</v>
      </c>
      <c r="B314" s="9" t="n"/>
      <c r="C314" s="9" t="n"/>
      <c r="D314" s="9" t="n"/>
      <c r="E314" s="9" t="n"/>
      <c r="F314" s="9" t="n"/>
      <c r="G314" s="9" t="n"/>
      <c r="H314" s="9" t="n"/>
      <c r="I314" s="7">
        <f>IFERROR(MAX(C314:H314),"")</f>
        <v/>
      </c>
      <c r="J314" s="7">
        <f>IFERROR(MATCH(I314,C314:H314,0),"")</f>
        <v/>
      </c>
      <c r="K314" s="7" t="n">
        <v>15</v>
      </c>
      <c r="L314" s="7">
        <f>IFERROR(I314*(1-(K314/100)),"")</f>
        <v/>
      </c>
      <c r="M314" s="7">
        <f>IFERROR(LOOKUP(9.99E+307,C314:H314),"")</f>
        <v/>
      </c>
      <c r="N314" s="7">
        <f>IFERROR(IF(M314="","",IF(M314&lt;=N314,"停组🛑","继续✓")),"")</f>
        <v/>
      </c>
      <c r="O314" s="7">
        <f>IFERROR(IF(M314="","",IF(M314&lt;0.15,"SAFETY_STOP","")),"")</f>
        <v/>
      </c>
      <c r="P314" s="7">
        <f>IFERROR(IF(M314="","",IF(M314&lt;0.15,"SAFETY_STOP",IF(M314&lt;=N314,"VL_THRESHOLD",""))),"")</f>
        <v/>
      </c>
      <c r="Q314" s="7">
        <f>IFERROR(IF(I314="","",IF(I314&gt;(0.7+0.05),"+5kg",IF(I314&gt;(0.7+0.02),"+2.5kg",IF(I314&gt;=(0.7-0.05),"保持",IF(I314&gt;=(0.7-0.08),"-2.5kg","-5kg"))))),"")</f>
        <v/>
      </c>
      <c r="R314" s="9" t="n"/>
    </row>
    <row r="315">
      <c r="A315" s="13" t="inlineStr">
        <is>
          <t>辅助</t>
        </is>
      </c>
      <c r="D315" s="14" t="inlineStr">
        <is>
          <t>保加利亚单腿蹲</t>
        </is>
      </c>
      <c r="E315" s="14" t="inlineStr">
        <is>
          <t>负荷</t>
        </is>
      </c>
      <c r="F315" s="14" t="inlineStr">
        <is>
          <t>完成</t>
        </is>
      </c>
      <c r="I315" t="inlineStr">
        <is>
          <t>VL</t>
        </is>
      </c>
    </row>
    <row r="316">
      <c r="A316" s="15" t="inlineStr">
        <is>
          <t>训练后</t>
        </is>
      </c>
      <c r="B316" s="15" t="inlineStr">
        <is>
          <t>开始</t>
        </is>
      </c>
      <c r="C316" s="15" t="inlineStr">
        <is>
          <t>结束</t>
        </is>
      </c>
      <c r="D316" s="15" t="inlineStr">
        <is>
          <t>时长min</t>
        </is>
      </c>
      <c r="E316" s="15" t="inlineStr">
        <is>
          <t>sRPE</t>
        </is>
      </c>
      <c r="F316" s="15" t="inlineStr">
        <is>
          <t>load</t>
        </is>
      </c>
      <c r="G316" s="15" t="inlineStr">
        <is>
          <t>不适?</t>
        </is>
      </c>
      <c r="H316" s="15" t="inlineStr">
        <is>
          <t>备注</t>
        </is>
      </c>
      <c r="I316" s="15" t="inlineStr">
        <is>
          <t>签名</t>
        </is>
      </c>
    </row>
    <row r="317">
      <c r="A317" s="7" t="n"/>
      <c r="B317" s="9" t="n"/>
      <c r="C317" s="9" t="n"/>
      <c r="D317" s="11">
        <f>IFERROR((C317-B317)*1440,"")</f>
        <v/>
      </c>
      <c r="E317" s="9" t="n"/>
      <c r="F317" s="11">
        <f>IFERROR(E317*D317,"")</f>
        <v/>
      </c>
      <c r="G317" s="9" t="n"/>
      <c r="H317" s="9" t="n"/>
      <c r="I317" s="9" t="n"/>
    </row>
    <row r="318">
      <c r="A318" s="16" t="inlineStr">
        <is>
          <t>跳跃</t>
        </is>
      </c>
      <c r="B318" s="16" t="inlineStr">
        <is>
          <t>类型</t>
        </is>
      </c>
      <c r="C318" s="16" t="inlineStr">
        <is>
          <t>组×次</t>
        </is>
      </c>
      <c r="D318" s="16" t="inlineStr">
        <is>
          <t>负荷kg</t>
        </is>
      </c>
      <c r="E318" s="16" t="inlineStr">
        <is>
          <t>接触</t>
        </is>
      </c>
    </row>
    <row r="319">
      <c r="B319" t="inlineStr">
        <is>
          <t>SJ</t>
        </is>
      </c>
      <c r="C319" t="inlineStr">
        <is>
          <t>3×3</t>
        </is>
      </c>
      <c r="D319" t="n">
        <v>0</v>
      </c>
      <c r="E319" t="n">
        <v>9</v>
      </c>
    </row>
    <row r="320">
      <c r="B320" t="inlineStr">
        <is>
          <t>负重跳</t>
        </is>
      </c>
      <c r="C320" t="inlineStr">
        <is>
          <t>3×5</t>
        </is>
      </c>
      <c r="D320" s="14" t="n"/>
      <c r="E320" s="14" t="n"/>
    </row>
    <row r="321">
      <c r="A321" s="17" t="inlineStr">
        <is>
          <t>▶ 暴露量汇总</t>
        </is>
      </c>
      <c r="B321" s="17" t="inlineStr">
        <is>
          <t>说明</t>
        </is>
      </c>
      <c r="C321" s="17" t="inlineStr">
        <is>
          <t>公式/来源</t>
        </is>
      </c>
      <c r="D321" s="17" t="inlineStr">
        <is>
          <t>数值</t>
        </is>
      </c>
    </row>
    <row r="322">
      <c r="A322" s="18" t="inlineStr">
        <is>
          <t>① 无负荷跳跃接触</t>
        </is>
      </c>
      <c r="B322" s="18" t="inlineStr">
        <is>
          <t>CMJ+SJ+箱跳</t>
        </is>
      </c>
      <c r="C322" s="19">
        <f>IFERROR(E319+E320,2)</f>
        <v/>
      </c>
    </row>
    <row r="323">
      <c r="A323" s="18" t="inlineStr">
        <is>
          <t>② 负重跳跃接触</t>
        </is>
      </c>
      <c r="B323" s="18" t="inlineStr">
        <is>
          <t>负重深蹲跳</t>
        </is>
      </c>
      <c r="C323" s="19">
        <f>IFERROR(E320,"")</f>
        <v/>
      </c>
    </row>
    <row r="324">
      <c r="A324" s="18" t="inlineStr">
        <is>
          <t>③ 跳跃总计</t>
        </is>
      </c>
      <c r="B324" s="18" t="inlineStr">
        <is>
          <t>①+②</t>
        </is>
      </c>
      <c r="C324" s="19">
        <f>IFERROR(B322+B323,"")</f>
        <v/>
      </c>
    </row>
    <row r="325">
      <c r="A325" s="18" t="inlineStr">
        <is>
          <t>④ 热身VL</t>
        </is>
      </c>
      <c r="B325" s="18" t="inlineStr">
        <is>
          <t>20×5+50%×3(+70%×2)</t>
        </is>
      </c>
      <c r="C325" s="19">
        <f>IFERROR(20*5+ROUND(V305*0.5,0)*3,"-")</f>
        <v/>
      </c>
    </row>
    <row r="326">
      <c r="A326" s="20" t="inlineStr">
        <is>
          <t>⑤ 主项工作组VL ★</t>
        </is>
      </c>
      <c r="B326" s="20" t="inlineStr">
        <is>
          <t>Σ(负荷×次数)</t>
        </is>
      </c>
      <c r="C326" s="21">
        <f>SUMPRODUCT($B$309:$B$314,$R$309:$R$314)</f>
        <v/>
      </c>
    </row>
    <row r="327">
      <c r="A327" s="18" t="inlineStr">
        <is>
          <t>⑥ 主项总VL</t>
        </is>
      </c>
      <c r="B327" s="18" t="inlineStr">
        <is>
          <t>④+⑤</t>
        </is>
      </c>
      <c r="C327" s="19">
        <f>IFERROR(D322+D323,"")</f>
        <v/>
      </c>
    </row>
    <row r="328">
      <c r="A328" s="18" t="inlineStr">
        <is>
          <t>⑦ 辅助VL</t>
        </is>
      </c>
      <c r="B328" s="18" t="inlineStr">
        <is>
          <t>RDL/保加利亚</t>
        </is>
      </c>
      <c r="C328" s="19">
        <f>IFERROR(I315,"")</f>
        <v/>
      </c>
    </row>
    <row r="329">
      <c r="A329" s="18" t="inlineStr">
        <is>
          <t>⑧ 总外部负荷</t>
        </is>
      </c>
      <c r="B329" s="18" t="inlineStr">
        <is>
          <t>⑥+⑦(+负重跳)</t>
        </is>
      </c>
      <c r="C329" s="19">
        <f>IFERROR(F322+G322,"")</f>
        <v/>
      </c>
    </row>
    <row r="330">
      <c r="A330" s="18" t="inlineStr">
        <is>
          <t>⑨ sRPE load</t>
        </is>
      </c>
      <c r="B330" s="18" t="inlineStr">
        <is>
          <t>sRPE×时长</t>
        </is>
      </c>
      <c r="C330" s="19">
        <f>IFERROR(F317,"")</f>
        <v/>
      </c>
    </row>
    <row r="333">
      <c r="A333" s="5" t="inlineStr">
        <is>
          <t>P009 王宏池  a=1.567 b=-0.0085 1RM=135</t>
        </is>
      </c>
    </row>
    <row r="334">
      <c r="A334" s="6" t="inlineStr">
        <is>
          <t>编号</t>
        </is>
      </c>
      <c r="B334" s="6" t="inlineStr">
        <is>
          <t>姓名</t>
        </is>
      </c>
      <c r="C334" s="6" t="inlineStr">
        <is>
          <t>身高</t>
        </is>
      </c>
      <c r="D334" s="6" t="inlineStr">
        <is>
          <t>1RM</t>
        </is>
      </c>
      <c r="E334" s="6" t="inlineStr">
        <is>
          <t>Hooper睡</t>
        </is>
      </c>
      <c r="F334" s="6" t="inlineStr">
        <is>
          <t>Hooper压</t>
        </is>
      </c>
      <c r="G334" s="6" t="inlineStr">
        <is>
          <t>Hooper疲</t>
        </is>
      </c>
      <c r="H334" s="6" t="inlineStr">
        <is>
          <t>Hooper酸</t>
        </is>
      </c>
      <c r="I334" s="6" t="inlineStr">
        <is>
          <t>H总</t>
        </is>
      </c>
      <c r="J334" s="6" t="inlineStr">
        <is>
          <t>不适?</t>
        </is>
      </c>
      <c r="K334" s="6" t="inlineStr">
        <is>
          <t>说明</t>
        </is>
      </c>
      <c r="L334" s="6" t="inlineStr">
        <is>
          <t>CMJ1</t>
        </is>
      </c>
      <c r="M334" s="6" t="inlineStr">
        <is>
          <t>CMJ2</t>
        </is>
      </c>
      <c r="N334" s="6" t="inlineStr">
        <is>
          <t>CMJ3</t>
        </is>
      </c>
      <c r="O334" s="6" t="inlineStr">
        <is>
          <t>CMJμ</t>
        </is>
      </c>
      <c r="P334" s="6" t="inlineStr">
        <is>
          <t>&lt;95%</t>
        </is>
      </c>
      <c r="Q334" s="6" t="inlineStr">
        <is>
          <t>减组</t>
        </is>
      </c>
      <c r="R334" s="6" t="inlineStr">
        <is>
          <t>组数</t>
        </is>
      </c>
      <c r="S334" s="6" t="inlineStr">
        <is>
          <t>a(V0)</t>
        </is>
      </c>
      <c r="T334" s="6" t="inlineStr">
        <is>
          <t>b</t>
        </is>
      </c>
      <c r="U334" s="6" t="inlineStr">
        <is>
          <t>等级</t>
        </is>
      </c>
      <c r="V334" s="6" t="inlineStr">
        <is>
          <t>预测起始</t>
        </is>
      </c>
    </row>
    <row r="335">
      <c r="A335" s="7" t="inlineStr">
        <is>
          <t>P009</t>
        </is>
      </c>
      <c r="B335" s="7" t="inlineStr">
        <is>
          <t>王宏池</t>
        </is>
      </c>
      <c r="C335" s="7" t="n">
        <v>185</v>
      </c>
      <c r="D335" s="8" t="n">
        <v>135</v>
      </c>
      <c r="E335" s="9" t="n"/>
      <c r="F335" s="9" t="n"/>
      <c r="G335" s="9" t="n"/>
      <c r="H335" s="9" t="n"/>
      <c r="I335" s="7">
        <f>IFERROR(SUM(E335:H335),"")</f>
        <v/>
      </c>
      <c r="J335" s="9" t="n"/>
      <c r="K335" s="9" t="n"/>
      <c r="L335" s="9" t="n"/>
      <c r="M335" s="9" t="n"/>
      <c r="N335" s="9" t="n"/>
      <c r="O335" s="7">
        <f>IFERROR(AVERAGE(L335:N335),"")</f>
        <v/>
      </c>
      <c r="P335" s="7">
        <f>IF(O335="","",IF(O335&lt;54.27,"是⚠","否"))</f>
        <v/>
      </c>
      <c r="Q335" s="7">
        <f>IF(O335="","",IF(O335&lt;54.27,5-1,5))</f>
        <v/>
      </c>
      <c r="R335" s="7" t="n"/>
      <c r="S335" s="8" t="n">
        <v>1.567</v>
      </c>
      <c r="T335" s="8" t="n">
        <v>-0.008500000000000001</v>
      </c>
      <c r="U335" s="7" t="inlineStr">
        <is>
          <t>B</t>
        </is>
      </c>
      <c r="V335" s="8" t="n">
        <v>102.5</v>
      </c>
    </row>
    <row r="336">
      <c r="A336" s="10" t="inlineStr">
        <is>
          <t>热身校准</t>
        </is>
      </c>
      <c r="B336" s="10" t="inlineStr">
        <is>
          <t>a</t>
        </is>
      </c>
      <c r="C336" s="10" t="inlineStr">
        <is>
          <t>b</t>
        </is>
      </c>
      <c r="D336" s="10" t="inlineStr">
        <is>
          <t>50%热身</t>
        </is>
      </c>
      <c r="E336" s="10" t="inlineStr">
        <is>
          <t>70%热身</t>
        </is>
      </c>
      <c r="F336" s="10" t="inlineStr">
        <is>
          <t>热身负荷</t>
        </is>
      </c>
      <c r="G336" s="10" t="inlineStr">
        <is>
          <t>实测MCV</t>
        </is>
      </c>
      <c r="H336" s="10" t="inlineStr">
        <is>
          <t>预测MCV</t>
        </is>
      </c>
      <c r="I336" s="10" t="inlineStr">
        <is>
          <t>Δv</t>
        </is>
      </c>
      <c r="J336" s="10" t="inlineStr">
        <is>
          <t>调整量</t>
        </is>
      </c>
      <c r="K336" s="10" t="inlineStr">
        <is>
          <t>校准第1组</t>
        </is>
      </c>
    </row>
    <row r="337">
      <c r="A337" s="7" t="n"/>
      <c r="B337" s="11" t="n">
        <v>1.567</v>
      </c>
      <c r="C337" s="11" t="n">
        <v>-0.008500000000000001</v>
      </c>
      <c r="D337" s="11">
        <f>IFERROR(ROUND(V335*0.5/2.5,0)*2.5,"")</f>
        <v/>
      </c>
      <c r="E337" s="11" t="inlineStr"/>
      <c r="F337" s="11">
        <f>IFERROR(ROUND(V335*0.5/2.5,0)*2.5,"")</f>
        <v/>
      </c>
      <c r="G337" s="9" t="n"/>
      <c r="H337" s="11">
        <f>IFERROR(B337+C337*F337,"")</f>
        <v/>
      </c>
      <c r="I337" s="11">
        <f>IFERROR(G337-H337,"")</f>
        <v/>
      </c>
      <c r="J337" s="11">
        <f>IFERROR(IF(I337&gt;0.08,5,IF(I337&gt;0.04,2.5,IF(I337&gt;=-0.04,0,IF(I337&gt;=-0.08,-2.5,-5)))),"")</f>
        <v/>
      </c>
      <c r="K337" s="11">
        <f>IFERROR(ROUND(V335+J337,0),"")</f>
        <v/>
      </c>
    </row>
    <row r="338">
      <c r="A338" s="12" t="inlineStr">
        <is>
          <t>组</t>
        </is>
      </c>
      <c r="B338" s="12" t="inlineStr">
        <is>
          <t>负荷</t>
        </is>
      </c>
      <c r="C338" s="12" t="inlineStr">
        <is>
          <t>rep1</t>
        </is>
      </c>
      <c r="D338" s="12" t="inlineStr">
        <is>
          <t>rep2</t>
        </is>
      </c>
      <c r="E338" s="12" t="inlineStr">
        <is>
          <t>rep3</t>
        </is>
      </c>
      <c r="F338" s="12" t="inlineStr">
        <is>
          <t>rep4</t>
        </is>
      </c>
      <c r="G338" s="12" t="inlineStr">
        <is>
          <t>rep5</t>
        </is>
      </c>
      <c r="H338" s="12" t="inlineStr">
        <is>
          <t>rep6</t>
        </is>
      </c>
      <c r="I338" s="12" t="inlineStr">
        <is>
          <t>best</t>
        </is>
      </c>
      <c r="J338" s="12" t="inlineStr">
        <is>
          <t>best#</t>
        </is>
      </c>
      <c r="K338" s="12" t="inlineStr">
        <is>
          <t>VL%</t>
        </is>
      </c>
      <c r="L338" s="12" t="inlineStr">
        <is>
          <t>stop_th</t>
        </is>
      </c>
      <c r="M338" s="12" t="inlineStr">
        <is>
          <t>latest</t>
        </is>
      </c>
      <c r="N338" s="12" t="inlineStr">
        <is>
          <t>VL_flag</t>
        </is>
      </c>
      <c r="O338" s="12" t="inlineStr">
        <is>
          <t>safety</t>
        </is>
      </c>
      <c r="P338" s="12" t="inlineStr">
        <is>
          <t>原因</t>
        </is>
      </c>
      <c r="Q338" s="12" t="inlineStr">
        <is>
          <t>建议</t>
        </is>
      </c>
      <c r="R338" s="12" t="inlineStr">
        <is>
          <t>次数</t>
        </is>
      </c>
    </row>
    <row r="339">
      <c r="A339" s="7" t="n">
        <v>1</v>
      </c>
      <c r="B339" s="9">
        <f>IFERROR(K337,"")</f>
        <v/>
      </c>
      <c r="C339" s="9" t="n"/>
      <c r="D339" s="9" t="n"/>
      <c r="E339" s="9" t="n"/>
      <c r="F339" s="9" t="n"/>
      <c r="G339" s="9" t="n"/>
      <c r="H339" s="9" t="n"/>
      <c r="I339" s="7">
        <f>IFERROR(MAX(C339:H339),"")</f>
        <v/>
      </c>
      <c r="J339" s="7">
        <f>IFERROR(MATCH(I339,C339:H339,0),"")</f>
        <v/>
      </c>
      <c r="K339" s="7" t="n">
        <v>15</v>
      </c>
      <c r="L339" s="7">
        <f>IFERROR(I339*(1-(K339/100)),"")</f>
        <v/>
      </c>
      <c r="M339" s="7">
        <f>IFERROR(LOOKUP(9.99E+307,C339:H339),"")</f>
        <v/>
      </c>
      <c r="N339" s="7">
        <f>IFERROR(IF(M339="","",IF(M339&lt;=N339,"停组🛑","继续✓")),"")</f>
        <v/>
      </c>
      <c r="O339" s="7">
        <f>IFERROR(IF(M339="","",IF(M339&lt;0.15,"SAFETY_STOP","")),"")</f>
        <v/>
      </c>
      <c r="P339" s="7">
        <f>IFERROR(IF(M339="","",IF(M339&lt;0.15,"SAFETY_STOP",IF(M339&lt;=N339,"VL_THRESHOLD",""))),"")</f>
        <v/>
      </c>
      <c r="Q339" s="7">
        <f>IFERROR(IF(I339="","",IF(I339&gt;(0.7+0.05),"+5kg",IF(I339&gt;(0.7+0.02),"+2.5kg",IF(I339&gt;=(0.7-0.05),"保持",IF(I339&gt;=(0.7-0.08),"-2.5kg","-5kg"))))),"")</f>
        <v/>
      </c>
      <c r="R339" s="9" t="n"/>
    </row>
    <row r="340">
      <c r="A340" s="7" t="n">
        <v>2</v>
      </c>
      <c r="B340" s="9" t="n"/>
      <c r="C340" s="9" t="n"/>
      <c r="D340" s="9" t="n"/>
      <c r="E340" s="9" t="n"/>
      <c r="F340" s="9" t="n"/>
      <c r="G340" s="9" t="n"/>
      <c r="H340" s="9" t="n"/>
      <c r="I340" s="7">
        <f>IFERROR(MAX(C340:H340),"")</f>
        <v/>
      </c>
      <c r="J340" s="7">
        <f>IFERROR(MATCH(I340,C340:H340,0),"")</f>
        <v/>
      </c>
      <c r="K340" s="7" t="n">
        <v>15</v>
      </c>
      <c r="L340" s="7">
        <f>IFERROR(I340*(1-(K340/100)),"")</f>
        <v/>
      </c>
      <c r="M340" s="7">
        <f>IFERROR(LOOKUP(9.99E+307,C340:H340),"")</f>
        <v/>
      </c>
      <c r="N340" s="7">
        <f>IFERROR(IF(M340="","",IF(M340&lt;=N340,"停组🛑","继续✓")),"")</f>
        <v/>
      </c>
      <c r="O340" s="7">
        <f>IFERROR(IF(M340="","",IF(M340&lt;0.15,"SAFETY_STOP","")),"")</f>
        <v/>
      </c>
      <c r="P340" s="7">
        <f>IFERROR(IF(M340="","",IF(M340&lt;0.15,"SAFETY_STOP",IF(M340&lt;=N340,"VL_THRESHOLD",""))),"")</f>
        <v/>
      </c>
      <c r="Q340" s="7">
        <f>IFERROR(IF(I340="","",IF(I340&gt;(0.7+0.05),"+5kg",IF(I340&gt;(0.7+0.02),"+2.5kg",IF(I340&gt;=(0.7-0.05),"保持",IF(I340&gt;=(0.7-0.08),"-2.5kg","-5kg"))))),"")</f>
        <v/>
      </c>
      <c r="R340" s="9" t="n"/>
    </row>
    <row r="341">
      <c r="A341" s="7" t="n">
        <v>3</v>
      </c>
      <c r="B341" s="9" t="n"/>
      <c r="C341" s="9" t="n"/>
      <c r="D341" s="9" t="n"/>
      <c r="E341" s="9" t="n"/>
      <c r="F341" s="9" t="n"/>
      <c r="G341" s="9" t="n"/>
      <c r="H341" s="9" t="n"/>
      <c r="I341" s="7">
        <f>IFERROR(MAX(C341:H341),"")</f>
        <v/>
      </c>
      <c r="J341" s="7">
        <f>IFERROR(MATCH(I341,C341:H341,0),"")</f>
        <v/>
      </c>
      <c r="K341" s="7" t="n">
        <v>15</v>
      </c>
      <c r="L341" s="7">
        <f>IFERROR(I341*(1-(K341/100)),"")</f>
        <v/>
      </c>
      <c r="M341" s="7">
        <f>IFERROR(LOOKUP(9.99E+307,C341:H341),"")</f>
        <v/>
      </c>
      <c r="N341" s="7">
        <f>IFERROR(IF(M341="","",IF(M341&lt;=N341,"停组🛑","继续✓")),"")</f>
        <v/>
      </c>
      <c r="O341" s="7">
        <f>IFERROR(IF(M341="","",IF(M341&lt;0.15,"SAFETY_STOP","")),"")</f>
        <v/>
      </c>
      <c r="P341" s="7">
        <f>IFERROR(IF(M341="","",IF(M341&lt;0.15,"SAFETY_STOP",IF(M341&lt;=N341,"VL_THRESHOLD",""))),"")</f>
        <v/>
      </c>
      <c r="Q341" s="7">
        <f>IFERROR(IF(I341="","",IF(I341&gt;(0.7+0.05),"+5kg",IF(I341&gt;(0.7+0.02),"+2.5kg",IF(I341&gt;=(0.7-0.05),"保持",IF(I341&gt;=(0.7-0.08),"-2.5kg","-5kg"))))),"")</f>
        <v/>
      </c>
      <c r="R341" s="9" t="n"/>
    </row>
    <row r="342">
      <c r="A342" s="7" t="n">
        <v>4</v>
      </c>
      <c r="B342" s="9" t="n"/>
      <c r="C342" s="9" t="n"/>
      <c r="D342" s="9" t="n"/>
      <c r="E342" s="9" t="n"/>
      <c r="F342" s="9" t="n"/>
      <c r="G342" s="9" t="n"/>
      <c r="H342" s="9" t="n"/>
      <c r="I342" s="7">
        <f>IFERROR(MAX(C342:H342),"")</f>
        <v/>
      </c>
      <c r="J342" s="7">
        <f>IFERROR(MATCH(I342,C342:H342,0),"")</f>
        <v/>
      </c>
      <c r="K342" s="7" t="n">
        <v>15</v>
      </c>
      <c r="L342" s="7">
        <f>IFERROR(I342*(1-(K342/100)),"")</f>
        <v/>
      </c>
      <c r="M342" s="7">
        <f>IFERROR(LOOKUP(9.99E+307,C342:H342),"")</f>
        <v/>
      </c>
      <c r="N342" s="7">
        <f>IFERROR(IF(M342="","",IF(M342&lt;=N342,"停组🛑","继续✓")),"")</f>
        <v/>
      </c>
      <c r="O342" s="7">
        <f>IFERROR(IF(M342="","",IF(M342&lt;0.15,"SAFETY_STOP","")),"")</f>
        <v/>
      </c>
      <c r="P342" s="7">
        <f>IFERROR(IF(M342="","",IF(M342&lt;0.15,"SAFETY_STOP",IF(M342&lt;=N342,"VL_THRESHOLD",""))),"")</f>
        <v/>
      </c>
      <c r="Q342" s="7">
        <f>IFERROR(IF(I342="","",IF(I342&gt;(0.7+0.05),"+5kg",IF(I342&gt;(0.7+0.02),"+2.5kg",IF(I342&gt;=(0.7-0.05),"保持",IF(I342&gt;=(0.7-0.08),"-2.5kg","-5kg"))))),"")</f>
        <v/>
      </c>
      <c r="R342" s="9" t="n"/>
    </row>
    <row r="343">
      <c r="A343" s="7" t="n">
        <v>5</v>
      </c>
      <c r="B343" s="9" t="n"/>
      <c r="C343" s="9" t="n"/>
      <c r="D343" s="9" t="n"/>
      <c r="E343" s="9" t="n"/>
      <c r="F343" s="9" t="n"/>
      <c r="G343" s="9" t="n"/>
      <c r="H343" s="9" t="n"/>
      <c r="I343" s="7">
        <f>IFERROR(MAX(C343:H343),"")</f>
        <v/>
      </c>
      <c r="J343" s="7">
        <f>IFERROR(MATCH(I343,C343:H343,0),"")</f>
        <v/>
      </c>
      <c r="K343" s="7" t="n">
        <v>15</v>
      </c>
      <c r="L343" s="7">
        <f>IFERROR(I343*(1-(K343/100)),"")</f>
        <v/>
      </c>
      <c r="M343" s="7">
        <f>IFERROR(LOOKUP(9.99E+307,C343:H343),"")</f>
        <v/>
      </c>
      <c r="N343" s="7">
        <f>IFERROR(IF(M343="","",IF(M343&lt;=N343,"停组🛑","继续✓")),"")</f>
        <v/>
      </c>
      <c r="O343" s="7">
        <f>IFERROR(IF(M343="","",IF(M343&lt;0.15,"SAFETY_STOP","")),"")</f>
        <v/>
      </c>
      <c r="P343" s="7">
        <f>IFERROR(IF(M343="","",IF(M343&lt;0.15,"SAFETY_STOP",IF(M343&lt;=N343,"VL_THRESHOLD",""))),"")</f>
        <v/>
      </c>
      <c r="Q343" s="7">
        <f>IFERROR(IF(I343="","",IF(I343&gt;(0.7+0.05),"+5kg",IF(I343&gt;(0.7+0.02),"+2.5kg",IF(I343&gt;=(0.7-0.05),"保持",IF(I343&gt;=(0.7-0.08),"-2.5kg","-5kg"))))),"")</f>
        <v/>
      </c>
      <c r="R343" s="9" t="n"/>
    </row>
    <row r="344">
      <c r="A344" s="7" t="n">
        <v>6</v>
      </c>
      <c r="B344" s="9" t="n"/>
      <c r="C344" s="9" t="n"/>
      <c r="D344" s="9" t="n"/>
      <c r="E344" s="9" t="n"/>
      <c r="F344" s="9" t="n"/>
      <c r="G344" s="9" t="n"/>
      <c r="H344" s="9" t="n"/>
      <c r="I344" s="7">
        <f>IFERROR(MAX(C344:H344),"")</f>
        <v/>
      </c>
      <c r="J344" s="7">
        <f>IFERROR(MATCH(I344,C344:H344,0),"")</f>
        <v/>
      </c>
      <c r="K344" s="7" t="n">
        <v>15</v>
      </c>
      <c r="L344" s="7">
        <f>IFERROR(I344*(1-(K344/100)),"")</f>
        <v/>
      </c>
      <c r="M344" s="7">
        <f>IFERROR(LOOKUP(9.99E+307,C344:H344),"")</f>
        <v/>
      </c>
      <c r="N344" s="7">
        <f>IFERROR(IF(M344="","",IF(M344&lt;=N344,"停组🛑","继续✓")),"")</f>
        <v/>
      </c>
      <c r="O344" s="7">
        <f>IFERROR(IF(M344="","",IF(M344&lt;0.15,"SAFETY_STOP","")),"")</f>
        <v/>
      </c>
      <c r="P344" s="7">
        <f>IFERROR(IF(M344="","",IF(M344&lt;0.15,"SAFETY_STOP",IF(M344&lt;=N344,"VL_THRESHOLD",""))),"")</f>
        <v/>
      </c>
      <c r="Q344" s="7">
        <f>IFERROR(IF(I344="","",IF(I344&gt;(0.7+0.05),"+5kg",IF(I344&gt;(0.7+0.02),"+2.5kg",IF(I344&gt;=(0.7-0.05),"保持",IF(I344&gt;=(0.7-0.08),"-2.5kg","-5kg"))))),"")</f>
        <v/>
      </c>
      <c r="R344" s="9" t="n"/>
    </row>
    <row r="345">
      <c r="A345" s="13" t="inlineStr">
        <is>
          <t>辅助</t>
        </is>
      </c>
      <c r="D345" s="14" t="inlineStr">
        <is>
          <t>保加利亚单腿蹲</t>
        </is>
      </c>
      <c r="E345" s="14" t="inlineStr">
        <is>
          <t>负荷</t>
        </is>
      </c>
      <c r="F345" s="14" t="inlineStr">
        <is>
          <t>完成</t>
        </is>
      </c>
      <c r="I345" t="inlineStr">
        <is>
          <t>VL</t>
        </is>
      </c>
    </row>
    <row r="346">
      <c r="A346" s="15" t="inlineStr">
        <is>
          <t>训练后</t>
        </is>
      </c>
      <c r="B346" s="15" t="inlineStr">
        <is>
          <t>开始</t>
        </is>
      </c>
      <c r="C346" s="15" t="inlineStr">
        <is>
          <t>结束</t>
        </is>
      </c>
      <c r="D346" s="15" t="inlineStr">
        <is>
          <t>时长min</t>
        </is>
      </c>
      <c r="E346" s="15" t="inlineStr">
        <is>
          <t>sRPE</t>
        </is>
      </c>
      <c r="F346" s="15" t="inlineStr">
        <is>
          <t>load</t>
        </is>
      </c>
      <c r="G346" s="15" t="inlineStr">
        <is>
          <t>不适?</t>
        </is>
      </c>
      <c r="H346" s="15" t="inlineStr">
        <is>
          <t>备注</t>
        </is>
      </c>
      <c r="I346" s="15" t="inlineStr">
        <is>
          <t>签名</t>
        </is>
      </c>
    </row>
    <row r="347">
      <c r="A347" s="7" t="n"/>
      <c r="B347" s="9" t="n"/>
      <c r="C347" s="9" t="n"/>
      <c r="D347" s="11">
        <f>IFERROR((C347-B347)*1440,"")</f>
        <v/>
      </c>
      <c r="E347" s="9" t="n"/>
      <c r="F347" s="11">
        <f>IFERROR(E347*D347,"")</f>
        <v/>
      </c>
      <c r="G347" s="9" t="n"/>
      <c r="H347" s="9" t="n"/>
      <c r="I347" s="9" t="n"/>
    </row>
    <row r="348">
      <c r="A348" s="16" t="inlineStr">
        <is>
          <t>跳跃</t>
        </is>
      </c>
      <c r="B348" s="16" t="inlineStr">
        <is>
          <t>类型</t>
        </is>
      </c>
      <c r="C348" s="16" t="inlineStr">
        <is>
          <t>组×次</t>
        </is>
      </c>
      <c r="D348" s="16" t="inlineStr">
        <is>
          <t>负荷kg</t>
        </is>
      </c>
      <c r="E348" s="16" t="inlineStr">
        <is>
          <t>接触</t>
        </is>
      </c>
    </row>
    <row r="349">
      <c r="B349" t="inlineStr">
        <is>
          <t>SJ</t>
        </is>
      </c>
      <c r="C349" t="inlineStr">
        <is>
          <t>3×3</t>
        </is>
      </c>
      <c r="D349" t="n">
        <v>0</v>
      </c>
      <c r="E349" t="n">
        <v>9</v>
      </c>
    </row>
    <row r="350">
      <c r="B350" t="inlineStr">
        <is>
          <t>负重跳</t>
        </is>
      </c>
      <c r="C350" t="inlineStr">
        <is>
          <t>3×5</t>
        </is>
      </c>
      <c r="D350" s="14" t="n"/>
      <c r="E350" s="14" t="n"/>
    </row>
    <row r="351">
      <c r="A351" s="17" t="inlineStr">
        <is>
          <t>▶ 暴露量汇总</t>
        </is>
      </c>
      <c r="B351" s="17" t="inlineStr">
        <is>
          <t>说明</t>
        </is>
      </c>
      <c r="C351" s="17" t="inlineStr">
        <is>
          <t>公式/来源</t>
        </is>
      </c>
      <c r="D351" s="17" t="inlineStr">
        <is>
          <t>数值</t>
        </is>
      </c>
    </row>
    <row r="352">
      <c r="A352" s="18" t="inlineStr">
        <is>
          <t>① 无负荷跳跃接触</t>
        </is>
      </c>
      <c r="B352" s="18" t="inlineStr">
        <is>
          <t>CMJ+SJ+箱跳</t>
        </is>
      </c>
      <c r="C352" s="19">
        <f>IFERROR(E349+E350,2)</f>
        <v/>
      </c>
    </row>
    <row r="353">
      <c r="A353" s="18" t="inlineStr">
        <is>
          <t>② 负重跳跃接触</t>
        </is>
      </c>
      <c r="B353" s="18" t="inlineStr">
        <is>
          <t>负重深蹲跳</t>
        </is>
      </c>
      <c r="C353" s="19">
        <f>IFERROR(E350,"")</f>
        <v/>
      </c>
    </row>
    <row r="354">
      <c r="A354" s="18" t="inlineStr">
        <is>
          <t>③ 跳跃总计</t>
        </is>
      </c>
      <c r="B354" s="18" t="inlineStr">
        <is>
          <t>①+②</t>
        </is>
      </c>
      <c r="C354" s="19">
        <f>IFERROR(B352+B353,"")</f>
        <v/>
      </c>
    </row>
    <row r="355">
      <c r="A355" s="18" t="inlineStr">
        <is>
          <t>④ 热身VL</t>
        </is>
      </c>
      <c r="B355" s="18" t="inlineStr">
        <is>
          <t>20×5+50%×3(+70%×2)</t>
        </is>
      </c>
      <c r="C355" s="19">
        <f>IFERROR(20*5+ROUND(V335*0.5,0)*3,"-")</f>
        <v/>
      </c>
    </row>
    <row r="356">
      <c r="A356" s="20" t="inlineStr">
        <is>
          <t>⑤ 主项工作组VL ★</t>
        </is>
      </c>
      <c r="B356" s="20" t="inlineStr">
        <is>
          <t>Σ(负荷×次数)</t>
        </is>
      </c>
      <c r="C356" s="21">
        <f>SUMPRODUCT($B$339:$B$344,$R$339:$R$344)</f>
        <v/>
      </c>
    </row>
    <row r="357">
      <c r="A357" s="18" t="inlineStr">
        <is>
          <t>⑥ 主项总VL</t>
        </is>
      </c>
      <c r="B357" s="18" t="inlineStr">
        <is>
          <t>④+⑤</t>
        </is>
      </c>
      <c r="C357" s="19">
        <f>IFERROR(D352+D353,"")</f>
        <v/>
      </c>
    </row>
    <row r="358">
      <c r="A358" s="18" t="inlineStr">
        <is>
          <t>⑦ 辅助VL</t>
        </is>
      </c>
      <c r="B358" s="18" t="inlineStr">
        <is>
          <t>RDL/保加利亚</t>
        </is>
      </c>
      <c r="C358" s="19">
        <f>IFERROR(I345,"")</f>
        <v/>
      </c>
    </row>
    <row r="359">
      <c r="A359" s="18" t="inlineStr">
        <is>
          <t>⑧ 总外部负荷</t>
        </is>
      </c>
      <c r="B359" s="18" t="inlineStr">
        <is>
          <t>⑥+⑦(+负重跳)</t>
        </is>
      </c>
      <c r="C359" s="19">
        <f>IFERROR(F352+G352,"")</f>
        <v/>
      </c>
    </row>
    <row r="360">
      <c r="A360" s="18" t="inlineStr">
        <is>
          <t>⑨ sRPE load</t>
        </is>
      </c>
      <c r="B360" s="18" t="inlineStr">
        <is>
          <t>sRPE×时长</t>
        </is>
      </c>
      <c r="C360" s="19">
        <f>IFERROR(F347,"")</f>
        <v/>
      </c>
    </row>
  </sheetData>
  <mergeCells count="25">
    <mergeCell ref="A213:V213"/>
    <mergeCell ref="A255:C255"/>
    <mergeCell ref="A33:V33"/>
    <mergeCell ref="A75:C75"/>
    <mergeCell ref="A303:V303"/>
    <mergeCell ref="A105:C105"/>
    <mergeCell ref="A285:C285"/>
    <mergeCell ref="A333:V333"/>
    <mergeCell ref="A195:C195"/>
    <mergeCell ref="A63:V63"/>
    <mergeCell ref="A93:V93"/>
    <mergeCell ref="A135:C135"/>
    <mergeCell ref="A165:C165"/>
    <mergeCell ref="A1:V1"/>
    <mergeCell ref="A123:V123"/>
    <mergeCell ref="A153:V153"/>
    <mergeCell ref="A15:C15"/>
    <mergeCell ref="A243:V243"/>
    <mergeCell ref="A183:V183"/>
    <mergeCell ref="A225:C225"/>
    <mergeCell ref="A45:C45"/>
    <mergeCell ref="A273:V273"/>
    <mergeCell ref="A315:C315"/>
    <mergeCell ref="A3:V3"/>
    <mergeCell ref="A345:C3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12" customWidth="1" min="12" max="12"/>
    <col width="10" customWidth="1" min="13" max="13"/>
    <col width="10" customWidth="1" min="14" max="14"/>
    <col width="12" customWidth="1" min="15" max="15"/>
    <col width="18" customWidth="1" min="16" max="16"/>
    <col width="12" customWidth="1" min="17" max="17"/>
    <col width="10" customWidth="1" min="18" max="18"/>
    <col width="12" customWidth="1" min="19" max="19"/>
    <col width="16" customWidth="1" min="20" max="20"/>
    <col width="14" customWidth="1" min="21" max="21"/>
    <col width="14" customWidth="1" min="22" max="22"/>
  </cols>
  <sheetData>
    <row r="1">
      <c r="A1" s="1" t="inlineStr">
        <is>
          <t>研究二AI组 W4_A (A日) MC=0.50-0.60 VL%=15</t>
        </is>
      </c>
    </row>
    <row r="2">
      <c r="A2" s="2" t="inlineStr">
        <is>
          <t>MC区间</t>
        </is>
      </c>
      <c r="B2" s="3" t="inlineStr">
        <is>
          <t>MC中点</t>
        </is>
      </c>
      <c r="C2" s="3" t="inlineStr">
        <is>
          <t>VL%</t>
        </is>
      </c>
      <c r="D2" s="3" t="inlineStr">
        <is>
          <t>安全停止</t>
        </is>
      </c>
      <c r="E2" s="3" t="inlineStr">
        <is>
          <t>组数</t>
        </is>
      </c>
      <c r="F2" s="3" t="inlineStr">
        <is>
          <t>热身</t>
        </is>
      </c>
      <c r="G2" s="4" t="inlineStr">
        <is>
          <t>A</t>
        </is>
      </c>
    </row>
    <row r="3">
      <c r="A3" s="5" t="inlineStr">
        <is>
          <t>P007 陈鑫  a=1.65 b=-0.0125 1RM=110</t>
        </is>
      </c>
    </row>
    <row r="4">
      <c r="A4" s="6" t="inlineStr">
        <is>
          <t>编号</t>
        </is>
      </c>
      <c r="B4" s="6" t="inlineStr">
        <is>
          <t>姓名</t>
        </is>
      </c>
      <c r="C4" s="6" t="inlineStr">
        <is>
          <t>身高</t>
        </is>
      </c>
      <c r="D4" s="6" t="inlineStr">
        <is>
          <t>1RM</t>
        </is>
      </c>
      <c r="E4" s="6" t="inlineStr">
        <is>
          <t>Hooper睡</t>
        </is>
      </c>
      <c r="F4" s="6" t="inlineStr">
        <is>
          <t>Hooper压</t>
        </is>
      </c>
      <c r="G4" s="6" t="inlineStr">
        <is>
          <t>Hooper疲</t>
        </is>
      </c>
      <c r="H4" s="6" t="inlineStr">
        <is>
          <t>Hooper酸</t>
        </is>
      </c>
      <c r="I4" s="6" t="inlineStr">
        <is>
          <t>H总</t>
        </is>
      </c>
      <c r="J4" s="6" t="inlineStr">
        <is>
          <t>不适?</t>
        </is>
      </c>
      <c r="K4" s="6" t="inlineStr">
        <is>
          <t>说明</t>
        </is>
      </c>
      <c r="L4" s="6" t="inlineStr">
        <is>
          <t>CMJ1</t>
        </is>
      </c>
      <c r="M4" s="6" t="inlineStr">
        <is>
          <t>CMJ2</t>
        </is>
      </c>
      <c r="N4" s="6" t="inlineStr">
        <is>
          <t>CMJ3</t>
        </is>
      </c>
      <c r="O4" s="6" t="inlineStr">
        <is>
          <t>CMJμ</t>
        </is>
      </c>
      <c r="P4" s="6" t="inlineStr">
        <is>
          <t>&lt;95%</t>
        </is>
      </c>
      <c r="Q4" s="6" t="inlineStr">
        <is>
          <t>减组</t>
        </is>
      </c>
      <c r="R4" s="6" t="inlineStr">
        <is>
          <t>组数</t>
        </is>
      </c>
      <c r="S4" s="6" t="inlineStr">
        <is>
          <t>a(V0)</t>
        </is>
      </c>
      <c r="T4" s="6" t="inlineStr">
        <is>
          <t>b</t>
        </is>
      </c>
      <c r="U4" s="6" t="inlineStr">
        <is>
          <t>等级</t>
        </is>
      </c>
      <c r="V4" s="6" t="inlineStr">
        <is>
          <t>预测起始</t>
        </is>
      </c>
    </row>
    <row r="5">
      <c r="A5" s="7" t="inlineStr">
        <is>
          <t>P007</t>
        </is>
      </c>
      <c r="B5" s="7" t="inlineStr">
        <is>
          <t>陈鑫</t>
        </is>
      </c>
      <c r="C5" s="7" t="n">
        <v>173</v>
      </c>
      <c r="D5" s="8" t="n">
        <v>110</v>
      </c>
      <c r="E5" s="9" t="n"/>
      <c r="F5" s="9" t="n"/>
      <c r="G5" s="9" t="n"/>
      <c r="H5" s="9" t="n"/>
      <c r="I5" s="7">
        <f>IFERROR(SUM(E5:H5),"")</f>
        <v/>
      </c>
      <c r="J5" s="9" t="n"/>
      <c r="K5" s="9" t="n"/>
      <c r="L5" s="9" t="n"/>
      <c r="M5" s="9" t="n"/>
      <c r="N5" s="9" t="n"/>
      <c r="O5" s="7">
        <f>IFERROR(AVERAGE(L5:N5),"")</f>
        <v/>
      </c>
      <c r="P5" s="7">
        <f>IF(O5="","",IF(O5&lt;63.01,"是⚠","否"))</f>
        <v/>
      </c>
      <c r="Q5" s="7">
        <f>IF(O5="","",IF(O5&lt;63.01,3-1,3))</f>
        <v/>
      </c>
      <c r="R5" s="7" t="n"/>
      <c r="S5" s="8" t="n">
        <v>1.65</v>
      </c>
      <c r="T5" s="8" t="n">
        <v>-0.0125</v>
      </c>
      <c r="U5" s="7" t="inlineStr">
        <is>
          <t>A</t>
        </is>
      </c>
      <c r="V5" s="8" t="n">
        <v>87.5</v>
      </c>
    </row>
    <row r="6">
      <c r="A6" s="10" t="inlineStr">
        <is>
          <t>热身校准</t>
        </is>
      </c>
      <c r="B6" s="10" t="inlineStr">
        <is>
          <t>a</t>
        </is>
      </c>
      <c r="C6" s="10" t="inlineStr">
        <is>
          <t>b</t>
        </is>
      </c>
      <c r="D6" s="10" t="inlineStr">
        <is>
          <t>50%热身</t>
        </is>
      </c>
      <c r="E6" s="10" t="inlineStr">
        <is>
          <t>70%热身</t>
        </is>
      </c>
      <c r="F6" s="10" t="inlineStr">
        <is>
          <t>热身负荷</t>
        </is>
      </c>
      <c r="G6" s="10" t="inlineStr">
        <is>
          <t>实测MCV</t>
        </is>
      </c>
      <c r="H6" s="10" t="inlineStr">
        <is>
          <t>预测MCV</t>
        </is>
      </c>
      <c r="I6" s="10" t="inlineStr">
        <is>
          <t>Δv</t>
        </is>
      </c>
      <c r="J6" s="10" t="inlineStr">
        <is>
          <t>调整量</t>
        </is>
      </c>
      <c r="K6" s="10" t="inlineStr">
        <is>
          <t>校准第1组</t>
        </is>
      </c>
    </row>
    <row r="7">
      <c r="A7" s="7" t="n"/>
      <c r="B7" s="11" t="n">
        <v>1.65</v>
      </c>
      <c r="C7" s="11" t="n">
        <v>-0.0125</v>
      </c>
      <c r="D7" s="11">
        <f>IFERROR(ROUND(V5*0.5/2.5,0)*2.5,"")</f>
        <v/>
      </c>
      <c r="E7" s="11">
        <f>IFERROR(ROUND(V5*0.7/2.5,0)*2.5,"")</f>
        <v/>
      </c>
      <c r="F7" s="11">
        <f>IFERROR(ROUND(V5*0.6/2.5,0)*2.5,"")</f>
        <v/>
      </c>
      <c r="G7" s="9" t="n"/>
      <c r="H7" s="11">
        <f>IFERROR(B7+C7*F7,"")</f>
        <v/>
      </c>
      <c r="I7" s="11">
        <f>IFERROR(G7-H7,"")</f>
        <v/>
      </c>
      <c r="J7" s="11">
        <f>IFERROR(IF(I7&gt;0.08,5,IF(I7&gt;0.04,2.5,IF(I7&gt;=-0.04,0,IF(I7&gt;=-0.08,-2.5,-5)))),"")</f>
        <v/>
      </c>
      <c r="K7" s="11">
        <f>IFERROR(ROUND(V5+J7,0),"")</f>
        <v/>
      </c>
    </row>
    <row r="8">
      <c r="A8" s="12" t="inlineStr">
        <is>
          <t>组</t>
        </is>
      </c>
      <c r="B8" s="12" t="inlineStr">
        <is>
          <t>负荷</t>
        </is>
      </c>
      <c r="C8" s="12" t="inlineStr">
        <is>
          <t>rep1</t>
        </is>
      </c>
      <c r="D8" s="12" t="inlineStr">
        <is>
          <t>rep2</t>
        </is>
      </c>
      <c r="E8" s="12" t="inlineStr">
        <is>
          <t>rep3</t>
        </is>
      </c>
      <c r="F8" s="12" t="inlineStr">
        <is>
          <t>rep4</t>
        </is>
      </c>
      <c r="G8" s="12" t="inlineStr">
        <is>
          <t>rep5</t>
        </is>
      </c>
      <c r="H8" s="12" t="inlineStr">
        <is>
          <t>rep6</t>
        </is>
      </c>
      <c r="I8" s="12" t="inlineStr">
        <is>
          <t>best</t>
        </is>
      </c>
      <c r="J8" s="12" t="inlineStr">
        <is>
          <t>best#</t>
        </is>
      </c>
      <c r="K8" s="12" t="inlineStr">
        <is>
          <t>VL%</t>
        </is>
      </c>
      <c r="L8" s="12" t="inlineStr">
        <is>
          <t>stop_th</t>
        </is>
      </c>
      <c r="M8" s="12" t="inlineStr">
        <is>
          <t>latest</t>
        </is>
      </c>
      <c r="N8" s="12" t="inlineStr">
        <is>
          <t>VL_flag</t>
        </is>
      </c>
      <c r="O8" s="12" t="inlineStr">
        <is>
          <t>safety</t>
        </is>
      </c>
      <c r="P8" s="12" t="inlineStr">
        <is>
          <t>原因</t>
        </is>
      </c>
      <c r="Q8" s="12" t="inlineStr">
        <is>
          <t>建议</t>
        </is>
      </c>
      <c r="R8" s="12" t="inlineStr">
        <is>
          <t>次数</t>
        </is>
      </c>
    </row>
    <row r="9">
      <c r="A9" s="7" t="n">
        <v>1</v>
      </c>
      <c r="B9" s="9">
        <f>IFERROR(K7,"")</f>
        <v/>
      </c>
      <c r="C9" s="9" t="n"/>
      <c r="D9" s="9" t="n"/>
      <c r="E9" s="9" t="n"/>
      <c r="F9" s="9" t="n"/>
      <c r="G9" s="9" t="n"/>
      <c r="H9" s="9" t="n"/>
      <c r="I9" s="7">
        <f>IFERROR(MAX(C9:H9),"")</f>
        <v/>
      </c>
      <c r="J9" s="7">
        <f>IFERROR(MATCH(I9,C9:H9,0),"")</f>
        <v/>
      </c>
      <c r="K9" s="7" t="n">
        <v>15</v>
      </c>
      <c r="L9" s="7">
        <f>IFERROR(I9*(1-(K9/100)),"")</f>
        <v/>
      </c>
      <c r="M9" s="7">
        <f>IFERROR(LOOKUP(9.99E+307,C9:H9),"")</f>
        <v/>
      </c>
      <c r="N9" s="7">
        <f>IFERROR(IF(M9="","",IF(M9&lt;=N9,"停组🛑","继续✓")),"")</f>
        <v/>
      </c>
      <c r="O9" s="7">
        <f>IFERROR(IF(M9="","",IF(M9&lt;0.15,"SAFETY_STOP","")),"")</f>
        <v/>
      </c>
      <c r="P9" s="7">
        <f>IFERROR(IF(M9="","",IF(M9&lt;0.15,"SAFETY_STOP",IF(M9&lt;=N9,"VL_THRESHOLD",""))),"")</f>
        <v/>
      </c>
      <c r="Q9" s="7">
        <f>IFERROR(IF(I9="","",IF(I9&gt;(0.55+0.05),"+5kg",IF(I9&gt;(0.55+0.02),"+2.5kg",IF(I9&gt;=(0.55-0.05),"保持",IF(I9&gt;=(0.55-0.08),"-2.5kg","-5kg"))))),"")</f>
        <v/>
      </c>
      <c r="R9" s="9" t="n"/>
    </row>
    <row r="10">
      <c r="A10" s="7" t="n">
        <v>2</v>
      </c>
      <c r="B10" s="9" t="n"/>
      <c r="C10" s="9" t="n"/>
      <c r="D10" s="9" t="n"/>
      <c r="E10" s="9" t="n"/>
      <c r="F10" s="9" t="n"/>
      <c r="G10" s="9" t="n"/>
      <c r="H10" s="9" t="n"/>
      <c r="I10" s="7">
        <f>IFERROR(MAX(C10:H10),"")</f>
        <v/>
      </c>
      <c r="J10" s="7">
        <f>IFERROR(MATCH(I10,C10:H10,0),"")</f>
        <v/>
      </c>
      <c r="K10" s="7" t="n">
        <v>15</v>
      </c>
      <c r="L10" s="7">
        <f>IFERROR(I10*(1-(K10/100)),"")</f>
        <v/>
      </c>
      <c r="M10" s="7">
        <f>IFERROR(LOOKUP(9.99E+307,C10:H10),"")</f>
        <v/>
      </c>
      <c r="N10" s="7">
        <f>IFERROR(IF(M10="","",IF(M10&lt;=N10,"停组🛑","继续✓")),"")</f>
        <v/>
      </c>
      <c r="O10" s="7">
        <f>IFERROR(IF(M10="","",IF(M10&lt;0.15,"SAFETY_STOP","")),"")</f>
        <v/>
      </c>
      <c r="P10" s="7">
        <f>IFERROR(IF(M10="","",IF(M10&lt;0.15,"SAFETY_STOP",IF(M10&lt;=N10,"VL_THRESHOLD",""))),"")</f>
        <v/>
      </c>
      <c r="Q10" s="7">
        <f>IFERROR(IF(I10="","",IF(I10&gt;(0.55+0.05),"+5kg",IF(I10&gt;(0.55+0.02),"+2.5kg",IF(I10&gt;=(0.55-0.05),"保持",IF(I10&gt;=(0.55-0.08),"-2.5kg","-5kg"))))),"")</f>
        <v/>
      </c>
      <c r="R10" s="9" t="n"/>
    </row>
    <row r="11">
      <c r="A11" s="7" t="n">
        <v>3</v>
      </c>
      <c r="B11" s="9" t="n"/>
      <c r="C11" s="9" t="n"/>
      <c r="D11" s="9" t="n"/>
      <c r="E11" s="9" t="n"/>
      <c r="F11" s="9" t="n"/>
      <c r="G11" s="9" t="n"/>
      <c r="H11" s="9" t="n"/>
      <c r="I11" s="7">
        <f>IFERROR(MAX(C11:H11),"")</f>
        <v/>
      </c>
      <c r="J11" s="7">
        <f>IFERROR(MATCH(I11,C11:H11,0),"")</f>
        <v/>
      </c>
      <c r="K11" s="7" t="n">
        <v>15</v>
      </c>
      <c r="L11" s="7">
        <f>IFERROR(I11*(1-(K11/100)),"")</f>
        <v/>
      </c>
      <c r="M11" s="7">
        <f>IFERROR(LOOKUP(9.99E+307,C11:H11),"")</f>
        <v/>
      </c>
      <c r="N11" s="7">
        <f>IFERROR(IF(M11="","",IF(M11&lt;=N11,"停组🛑","继续✓")),"")</f>
        <v/>
      </c>
      <c r="O11" s="7">
        <f>IFERROR(IF(M11="","",IF(M11&lt;0.15,"SAFETY_STOP","")),"")</f>
        <v/>
      </c>
      <c r="P11" s="7">
        <f>IFERROR(IF(M11="","",IF(M11&lt;0.15,"SAFETY_STOP",IF(M11&lt;=N11,"VL_THRESHOLD",""))),"")</f>
        <v/>
      </c>
      <c r="Q11" s="7">
        <f>IFERROR(IF(I11="","",IF(I11&gt;(0.55+0.05),"+5kg",IF(I11&gt;(0.55+0.02),"+2.5kg",IF(I11&gt;=(0.55-0.05),"保持",IF(I11&gt;=(0.55-0.08),"-2.5kg","-5kg"))))),"")</f>
        <v/>
      </c>
      <c r="R11" s="9" t="n"/>
    </row>
    <row r="12">
      <c r="A12" s="7" t="n">
        <v>4</v>
      </c>
      <c r="B12" s="9" t="n"/>
      <c r="C12" s="9" t="n"/>
      <c r="D12" s="9" t="n"/>
      <c r="E12" s="9" t="n"/>
      <c r="F12" s="9" t="n"/>
      <c r="G12" s="9" t="n"/>
      <c r="H12" s="9" t="n"/>
      <c r="I12" s="7">
        <f>IFERROR(MAX(C12:H12),"")</f>
        <v/>
      </c>
      <c r="J12" s="7">
        <f>IFERROR(MATCH(I12,C12:H12,0),"")</f>
        <v/>
      </c>
      <c r="K12" s="7" t="n">
        <v>15</v>
      </c>
      <c r="L12" s="7">
        <f>IFERROR(I12*(1-(K12/100)),"")</f>
        <v/>
      </c>
      <c r="M12" s="7">
        <f>IFERROR(LOOKUP(9.99E+307,C12:H12),"")</f>
        <v/>
      </c>
      <c r="N12" s="7">
        <f>IFERROR(IF(M12="","",IF(M12&lt;=N12,"停组🛑","继续✓")),"")</f>
        <v/>
      </c>
      <c r="O12" s="7">
        <f>IFERROR(IF(M12="","",IF(M12&lt;0.15,"SAFETY_STOP","")),"")</f>
        <v/>
      </c>
      <c r="P12" s="7">
        <f>IFERROR(IF(M12="","",IF(M12&lt;0.15,"SAFETY_STOP",IF(M12&lt;=N12,"VL_THRESHOLD",""))),"")</f>
        <v/>
      </c>
      <c r="Q12" s="7">
        <f>IFERROR(IF(I12="","",IF(I12&gt;(0.55+0.05),"+5kg",IF(I12&gt;(0.55+0.02),"+2.5kg",IF(I12&gt;=(0.55-0.05),"保持",IF(I12&gt;=(0.55-0.08),"-2.5kg","-5kg"))))),"")</f>
        <v/>
      </c>
      <c r="R12" s="9" t="n"/>
    </row>
    <row r="13">
      <c r="A13" s="7" t="n">
        <v>5</v>
      </c>
      <c r="B13" s="9" t="n"/>
      <c r="C13" s="9" t="n"/>
      <c r="D13" s="9" t="n"/>
      <c r="E13" s="9" t="n"/>
      <c r="F13" s="9" t="n"/>
      <c r="G13" s="9" t="n"/>
      <c r="H13" s="9" t="n"/>
      <c r="I13" s="7">
        <f>IFERROR(MAX(C13:H13),"")</f>
        <v/>
      </c>
      <c r="J13" s="7">
        <f>IFERROR(MATCH(I13,C13:H13,0),"")</f>
        <v/>
      </c>
      <c r="K13" s="7" t="n">
        <v>15</v>
      </c>
      <c r="L13" s="7">
        <f>IFERROR(I13*(1-(K13/100)),"")</f>
        <v/>
      </c>
      <c r="M13" s="7">
        <f>IFERROR(LOOKUP(9.99E+307,C13:H13),"")</f>
        <v/>
      </c>
      <c r="N13" s="7">
        <f>IFERROR(IF(M13="","",IF(M13&lt;=N13,"停组🛑","继续✓")),"")</f>
        <v/>
      </c>
      <c r="O13" s="7">
        <f>IFERROR(IF(M13="","",IF(M13&lt;0.15,"SAFETY_STOP","")),"")</f>
        <v/>
      </c>
      <c r="P13" s="7">
        <f>IFERROR(IF(M13="","",IF(M13&lt;0.15,"SAFETY_STOP",IF(M13&lt;=N13,"VL_THRESHOLD",""))),"")</f>
        <v/>
      </c>
      <c r="Q13" s="7">
        <f>IFERROR(IF(I13="","",IF(I13&gt;(0.55+0.05),"+5kg",IF(I13&gt;(0.55+0.02),"+2.5kg",IF(I13&gt;=(0.55-0.05),"保持",IF(I13&gt;=(0.55-0.08),"-2.5kg","-5kg"))))),"")</f>
        <v/>
      </c>
      <c r="R13" s="9" t="n"/>
    </row>
    <row r="14">
      <c r="A14" s="7" t="n">
        <v>6</v>
      </c>
      <c r="B14" s="9" t="n"/>
      <c r="C14" s="9" t="n"/>
      <c r="D14" s="9" t="n"/>
      <c r="E14" s="9" t="n"/>
      <c r="F14" s="9" t="n"/>
      <c r="G14" s="9" t="n"/>
      <c r="H14" s="9" t="n"/>
      <c r="I14" s="7">
        <f>IFERROR(MAX(C14:H14),"")</f>
        <v/>
      </c>
      <c r="J14" s="7">
        <f>IFERROR(MATCH(I14,C14:H14,0),"")</f>
        <v/>
      </c>
      <c r="K14" s="7" t="n">
        <v>15</v>
      </c>
      <c r="L14" s="7">
        <f>IFERROR(I14*(1-(K14/100)),"")</f>
        <v/>
      </c>
      <c r="M14" s="7">
        <f>IFERROR(LOOKUP(9.99E+307,C14:H14),"")</f>
        <v/>
      </c>
      <c r="N14" s="7">
        <f>IFERROR(IF(M14="","",IF(M14&lt;=N14,"停组🛑","继续✓")),"")</f>
        <v/>
      </c>
      <c r="O14" s="7">
        <f>IFERROR(IF(M14="","",IF(M14&lt;0.15,"SAFETY_STOP","")),"")</f>
        <v/>
      </c>
      <c r="P14" s="7">
        <f>IFERROR(IF(M14="","",IF(M14&lt;0.15,"SAFETY_STOP",IF(M14&lt;=N14,"VL_THRESHOLD",""))),"")</f>
        <v/>
      </c>
      <c r="Q14" s="7">
        <f>IFERROR(IF(I14="","",IF(I14&gt;(0.55+0.05),"+5kg",IF(I14&gt;(0.55+0.02),"+2.5kg",IF(I14&gt;=(0.55-0.05),"保持",IF(I14&gt;=(0.55-0.08),"-2.5kg","-5kg"))))),"")</f>
        <v/>
      </c>
      <c r="R14" s="9" t="n"/>
    </row>
    <row r="15">
      <c r="A15" s="13" t="inlineStr">
        <is>
          <t>辅助</t>
        </is>
      </c>
      <c r="D15" s="14" t="inlineStr">
        <is>
          <t>RDL</t>
        </is>
      </c>
      <c r="E15" s="14" t="inlineStr">
        <is>
          <t>负荷</t>
        </is>
      </c>
      <c r="F15" s="14" t="inlineStr">
        <is>
          <t>完成</t>
        </is>
      </c>
      <c r="I15" t="inlineStr">
        <is>
          <t>VL</t>
        </is>
      </c>
    </row>
    <row r="16">
      <c r="A16" s="15" t="inlineStr">
        <is>
          <t>训练后</t>
        </is>
      </c>
      <c r="B16" s="15" t="inlineStr">
        <is>
          <t>开始</t>
        </is>
      </c>
      <c r="C16" s="15" t="inlineStr">
        <is>
          <t>结束</t>
        </is>
      </c>
      <c r="D16" s="15" t="inlineStr">
        <is>
          <t>时长min</t>
        </is>
      </c>
      <c r="E16" s="15" t="inlineStr">
        <is>
          <t>sRPE</t>
        </is>
      </c>
      <c r="F16" s="15" t="inlineStr">
        <is>
          <t>load</t>
        </is>
      </c>
      <c r="G16" s="15" t="inlineStr">
        <is>
          <t>不适?</t>
        </is>
      </c>
      <c r="H16" s="15" t="inlineStr">
        <is>
          <t>备注</t>
        </is>
      </c>
      <c r="I16" s="15" t="inlineStr">
        <is>
          <t>签名</t>
        </is>
      </c>
    </row>
    <row r="17">
      <c r="A17" s="7" t="n"/>
      <c r="B17" s="9" t="n"/>
      <c r="C17" s="9" t="n"/>
      <c r="D17" s="11">
        <f>IFERROR((C17-B17)*1440,"")</f>
        <v/>
      </c>
      <c r="E17" s="9" t="n"/>
      <c r="F17" s="11">
        <f>IFERROR(E17*D17,"")</f>
        <v/>
      </c>
      <c r="G17" s="9" t="n"/>
      <c r="H17" s="9" t="n"/>
      <c r="I17" s="9" t="n"/>
    </row>
    <row r="18">
      <c r="A18" s="16" t="inlineStr">
        <is>
          <t>跳跃</t>
        </is>
      </c>
      <c r="B18" s="16" t="inlineStr">
        <is>
          <t>类型</t>
        </is>
      </c>
      <c r="C18" s="16" t="inlineStr">
        <is>
          <t>组×次</t>
        </is>
      </c>
      <c r="D18" s="16" t="inlineStr">
        <is>
          <t>负荷kg</t>
        </is>
      </c>
      <c r="E18" s="16" t="inlineStr">
        <is>
          <t>接触</t>
        </is>
      </c>
    </row>
    <row r="19">
      <c r="B19" t="inlineStr">
        <is>
          <t>CMJ</t>
        </is>
      </c>
      <c r="C19" t="inlineStr">
        <is>
          <t>3×3</t>
        </is>
      </c>
      <c r="D19" t="n">
        <v>0</v>
      </c>
      <c r="E19" t="n">
        <v>9</v>
      </c>
    </row>
    <row r="20">
      <c r="B20" t="inlineStr">
        <is>
          <t>箱跳</t>
        </is>
      </c>
      <c r="C20" t="inlineStr">
        <is>
          <t>1×3</t>
        </is>
      </c>
      <c r="D20" t="n">
        <v>0</v>
      </c>
      <c r="E20" t="n">
        <v>3</v>
      </c>
    </row>
    <row r="21">
      <c r="A21" s="17" t="inlineStr">
        <is>
          <t>▶ 暴露量汇总</t>
        </is>
      </c>
      <c r="B21" s="17" t="inlineStr">
        <is>
          <t>说明</t>
        </is>
      </c>
      <c r="C21" s="17" t="inlineStr">
        <is>
          <t>公式/来源</t>
        </is>
      </c>
      <c r="D21" s="17" t="inlineStr">
        <is>
          <t>数值</t>
        </is>
      </c>
    </row>
    <row r="22">
      <c r="A22" s="18" t="inlineStr">
        <is>
          <t>① 无负荷跳跃接触</t>
        </is>
      </c>
      <c r="B22" s="18" t="inlineStr">
        <is>
          <t>CMJ+SJ+箱跳</t>
        </is>
      </c>
      <c r="C22" s="19">
        <f>IFERROR(E19+E20,2)</f>
        <v/>
      </c>
    </row>
    <row r="23">
      <c r="A23" s="18" t="inlineStr">
        <is>
          <t>② 负重跳跃接触</t>
        </is>
      </c>
      <c r="B23" s="18" t="inlineStr">
        <is>
          <t>负重深蹲跳</t>
        </is>
      </c>
      <c r="C23" s="19">
        <f>IFERROR(E19,"")</f>
        <v/>
      </c>
    </row>
    <row r="24">
      <c r="A24" s="18" t="inlineStr">
        <is>
          <t>③ 跳跃总计</t>
        </is>
      </c>
      <c r="B24" s="18" t="inlineStr">
        <is>
          <t>①+②</t>
        </is>
      </c>
      <c r="C24" s="19">
        <f>IFERROR(B22+B23,"")</f>
        <v/>
      </c>
    </row>
    <row r="25">
      <c r="A25" s="18" t="inlineStr">
        <is>
          <t>④ 热身VL</t>
        </is>
      </c>
      <c r="B25" s="18" t="inlineStr">
        <is>
          <t>20×5+50%×3(+70%×2)</t>
        </is>
      </c>
      <c r="C25" s="19">
        <f>IFERROR(20*5+ROUND(V5*0.5,0)*3+ROUND(V{dr}*0.7,0)*2,"-")</f>
        <v/>
      </c>
    </row>
    <row r="26">
      <c r="A26" s="20" t="inlineStr">
        <is>
          <t>⑤ 主项工作组VL ★</t>
        </is>
      </c>
      <c r="B26" s="20" t="inlineStr">
        <is>
          <t>Σ(负荷×次数)</t>
        </is>
      </c>
      <c r="C26" s="21">
        <f>SUMPRODUCT($B$9:$B$14,$R$9:$R$14)</f>
        <v/>
      </c>
    </row>
    <row r="27">
      <c r="A27" s="18" t="inlineStr">
        <is>
          <t>⑥ 主项总VL</t>
        </is>
      </c>
      <c r="B27" s="18" t="inlineStr">
        <is>
          <t>④+⑤</t>
        </is>
      </c>
      <c r="C27" s="19">
        <f>IFERROR(D22+D23,"")</f>
        <v/>
      </c>
    </row>
    <row r="28">
      <c r="A28" s="18" t="inlineStr">
        <is>
          <t>⑦ 辅助VL</t>
        </is>
      </c>
      <c r="B28" s="18" t="inlineStr">
        <is>
          <t>RDL/保加利亚</t>
        </is>
      </c>
      <c r="C28" s="19">
        <f>IFERROR(I15,"")</f>
        <v/>
      </c>
    </row>
    <row r="29">
      <c r="A29" s="18" t="inlineStr">
        <is>
          <t>⑧ 总外部负荷</t>
        </is>
      </c>
      <c r="B29" s="18" t="inlineStr">
        <is>
          <t>⑥+⑦(+负重跳)</t>
        </is>
      </c>
      <c r="C29" s="19">
        <f>IFERROR(F22+G22,"")</f>
        <v/>
      </c>
    </row>
    <row r="30">
      <c r="A30" s="18" t="inlineStr">
        <is>
          <t>⑨ sRPE load</t>
        </is>
      </c>
      <c r="B30" s="18" t="inlineStr">
        <is>
          <t>sRPE×时长</t>
        </is>
      </c>
      <c r="C30" s="19">
        <f>IFERROR(F17,"")</f>
        <v/>
      </c>
    </row>
    <row r="33">
      <c r="A33" s="5" t="inlineStr">
        <is>
          <t>P005 曾庆华  a=1.775 b=-0.00875 1RM=155</t>
        </is>
      </c>
    </row>
    <row r="34">
      <c r="A34" s="6" t="inlineStr">
        <is>
          <t>编号</t>
        </is>
      </c>
      <c r="B34" s="6" t="inlineStr">
        <is>
          <t>姓名</t>
        </is>
      </c>
      <c r="C34" s="6" t="inlineStr">
        <is>
          <t>身高</t>
        </is>
      </c>
      <c r="D34" s="6" t="inlineStr">
        <is>
          <t>1RM</t>
        </is>
      </c>
      <c r="E34" s="6" t="inlineStr">
        <is>
          <t>Hooper睡</t>
        </is>
      </c>
      <c r="F34" s="6" t="inlineStr">
        <is>
          <t>Hooper压</t>
        </is>
      </c>
      <c r="G34" s="6" t="inlineStr">
        <is>
          <t>Hooper疲</t>
        </is>
      </c>
      <c r="H34" s="6" t="inlineStr">
        <is>
          <t>Hooper酸</t>
        </is>
      </c>
      <c r="I34" s="6" t="inlineStr">
        <is>
          <t>H总</t>
        </is>
      </c>
      <c r="J34" s="6" t="inlineStr">
        <is>
          <t>不适?</t>
        </is>
      </c>
      <c r="K34" s="6" t="inlineStr">
        <is>
          <t>说明</t>
        </is>
      </c>
      <c r="L34" s="6" t="inlineStr">
        <is>
          <t>CMJ1</t>
        </is>
      </c>
      <c r="M34" s="6" t="inlineStr">
        <is>
          <t>CMJ2</t>
        </is>
      </c>
      <c r="N34" s="6" t="inlineStr">
        <is>
          <t>CMJ3</t>
        </is>
      </c>
      <c r="O34" s="6" t="inlineStr">
        <is>
          <t>CMJμ</t>
        </is>
      </c>
      <c r="P34" s="6" t="inlineStr">
        <is>
          <t>&lt;95%</t>
        </is>
      </c>
      <c r="Q34" s="6" t="inlineStr">
        <is>
          <t>减组</t>
        </is>
      </c>
      <c r="R34" s="6" t="inlineStr">
        <is>
          <t>组数</t>
        </is>
      </c>
      <c r="S34" s="6" t="inlineStr">
        <is>
          <t>a(V0)</t>
        </is>
      </c>
      <c r="T34" s="6" t="inlineStr">
        <is>
          <t>b</t>
        </is>
      </c>
      <c r="U34" s="6" t="inlineStr">
        <is>
          <t>等级</t>
        </is>
      </c>
      <c r="V34" s="6" t="inlineStr">
        <is>
          <t>预测起始</t>
        </is>
      </c>
    </row>
    <row r="35">
      <c r="A35" s="7" t="inlineStr">
        <is>
          <t>P005</t>
        </is>
      </c>
      <c r="B35" s="7" t="inlineStr">
        <is>
          <t>曾庆华</t>
        </is>
      </c>
      <c r="C35" s="7" t="n">
        <v>177</v>
      </c>
      <c r="D35" s="8" t="n">
        <v>155</v>
      </c>
      <c r="E35" s="9" t="n"/>
      <c r="F35" s="9" t="n"/>
      <c r="G35" s="9" t="n"/>
      <c r="H35" s="9" t="n"/>
      <c r="I35" s="7">
        <f>IFERROR(SUM(E35:H35),"")</f>
        <v/>
      </c>
      <c r="J35" s="9" t="n"/>
      <c r="K35" s="9" t="n"/>
      <c r="L35" s="9" t="n"/>
      <c r="M35" s="9" t="n"/>
      <c r="N35" s="9" t="n"/>
      <c r="O35" s="7">
        <f>IFERROR(AVERAGE(L35:N35),"")</f>
        <v/>
      </c>
      <c r="P35" s="7">
        <f>IF(O35="","",IF(O35&lt;57.57,"是⚠","否"))</f>
        <v/>
      </c>
      <c r="Q35" s="7">
        <f>IF(O35="","",IF(O35&lt;57.57,3-1,3))</f>
        <v/>
      </c>
      <c r="R35" s="7" t="n"/>
      <c r="S35" s="8" t="n">
        <v>1.775</v>
      </c>
      <c r="T35" s="8" t="n">
        <v>-0.008750000000000001</v>
      </c>
      <c r="U35" s="7" t="inlineStr">
        <is>
          <t>B</t>
        </is>
      </c>
      <c r="V35" s="8" t="n">
        <v>140</v>
      </c>
    </row>
    <row r="36">
      <c r="A36" s="10" t="inlineStr">
        <is>
          <t>热身校准</t>
        </is>
      </c>
      <c r="B36" s="10" t="inlineStr">
        <is>
          <t>a</t>
        </is>
      </c>
      <c r="C36" s="10" t="inlineStr">
        <is>
          <t>b</t>
        </is>
      </c>
      <c r="D36" s="10" t="inlineStr">
        <is>
          <t>50%热身</t>
        </is>
      </c>
      <c r="E36" s="10" t="inlineStr">
        <is>
          <t>70%热身</t>
        </is>
      </c>
      <c r="F36" s="10" t="inlineStr">
        <is>
          <t>热身负荷</t>
        </is>
      </c>
      <c r="G36" s="10" t="inlineStr">
        <is>
          <t>实测MCV</t>
        </is>
      </c>
      <c r="H36" s="10" t="inlineStr">
        <is>
          <t>预测MCV</t>
        </is>
      </c>
      <c r="I36" s="10" t="inlineStr">
        <is>
          <t>Δv</t>
        </is>
      </c>
      <c r="J36" s="10" t="inlineStr">
        <is>
          <t>调整量</t>
        </is>
      </c>
      <c r="K36" s="10" t="inlineStr">
        <is>
          <t>校准第1组</t>
        </is>
      </c>
    </row>
    <row r="37">
      <c r="A37" s="7" t="n"/>
      <c r="B37" s="11" t="n">
        <v>1.775</v>
      </c>
      <c r="C37" s="11" t="n">
        <v>-0.008750000000000001</v>
      </c>
      <c r="D37" s="11">
        <f>IFERROR(ROUND(V35*0.5/2.5,0)*2.5,"")</f>
        <v/>
      </c>
      <c r="E37" s="11">
        <f>IFERROR(ROUND(V35*0.7/2.5,0)*2.5,"")</f>
        <v/>
      </c>
      <c r="F37" s="11">
        <f>IFERROR(ROUND(V35*0.6/2.5,0)*2.5,"")</f>
        <v/>
      </c>
      <c r="G37" s="9" t="n"/>
      <c r="H37" s="11">
        <f>IFERROR(B37+C37*F37,"")</f>
        <v/>
      </c>
      <c r="I37" s="11">
        <f>IFERROR(G37-H37,"")</f>
        <v/>
      </c>
      <c r="J37" s="11">
        <f>IFERROR(IF(I37&gt;0.08,5,IF(I37&gt;0.04,2.5,IF(I37&gt;=-0.04,0,IF(I37&gt;=-0.08,-2.5,-5)))),"")</f>
        <v/>
      </c>
      <c r="K37" s="11">
        <f>IFERROR(ROUND(V35+J37,0),"")</f>
        <v/>
      </c>
    </row>
    <row r="38">
      <c r="A38" s="12" t="inlineStr">
        <is>
          <t>组</t>
        </is>
      </c>
      <c r="B38" s="12" t="inlineStr">
        <is>
          <t>负荷</t>
        </is>
      </c>
      <c r="C38" s="12" t="inlineStr">
        <is>
          <t>rep1</t>
        </is>
      </c>
      <c r="D38" s="12" t="inlineStr">
        <is>
          <t>rep2</t>
        </is>
      </c>
      <c r="E38" s="12" t="inlineStr">
        <is>
          <t>rep3</t>
        </is>
      </c>
      <c r="F38" s="12" t="inlineStr">
        <is>
          <t>rep4</t>
        </is>
      </c>
      <c r="G38" s="12" t="inlineStr">
        <is>
          <t>rep5</t>
        </is>
      </c>
      <c r="H38" s="12" t="inlineStr">
        <is>
          <t>rep6</t>
        </is>
      </c>
      <c r="I38" s="12" t="inlineStr">
        <is>
          <t>best</t>
        </is>
      </c>
      <c r="J38" s="12" t="inlineStr">
        <is>
          <t>best#</t>
        </is>
      </c>
      <c r="K38" s="12" t="inlineStr">
        <is>
          <t>VL%</t>
        </is>
      </c>
      <c r="L38" s="12" t="inlineStr">
        <is>
          <t>stop_th</t>
        </is>
      </c>
      <c r="M38" s="12" t="inlineStr">
        <is>
          <t>latest</t>
        </is>
      </c>
      <c r="N38" s="12" t="inlineStr">
        <is>
          <t>VL_flag</t>
        </is>
      </c>
      <c r="O38" s="12" t="inlineStr">
        <is>
          <t>safety</t>
        </is>
      </c>
      <c r="P38" s="12" t="inlineStr">
        <is>
          <t>原因</t>
        </is>
      </c>
      <c r="Q38" s="12" t="inlineStr">
        <is>
          <t>建议</t>
        </is>
      </c>
      <c r="R38" s="12" t="inlineStr">
        <is>
          <t>次数</t>
        </is>
      </c>
    </row>
    <row r="39">
      <c r="A39" s="7" t="n">
        <v>1</v>
      </c>
      <c r="B39" s="9">
        <f>IFERROR(K37,"")</f>
        <v/>
      </c>
      <c r="C39" s="9" t="n"/>
      <c r="D39" s="9" t="n"/>
      <c r="E39" s="9" t="n"/>
      <c r="F39" s="9" t="n"/>
      <c r="G39" s="9" t="n"/>
      <c r="H39" s="9" t="n"/>
      <c r="I39" s="7">
        <f>IFERROR(MAX(C39:H39),"")</f>
        <v/>
      </c>
      <c r="J39" s="7">
        <f>IFERROR(MATCH(I39,C39:H39,0),"")</f>
        <v/>
      </c>
      <c r="K39" s="7" t="n">
        <v>15</v>
      </c>
      <c r="L39" s="7">
        <f>IFERROR(I39*(1-(K39/100)),"")</f>
        <v/>
      </c>
      <c r="M39" s="7">
        <f>IFERROR(LOOKUP(9.99E+307,C39:H39),"")</f>
        <v/>
      </c>
      <c r="N39" s="7">
        <f>IFERROR(IF(M39="","",IF(M39&lt;=N39,"停组🛑","继续✓")),"")</f>
        <v/>
      </c>
      <c r="O39" s="7">
        <f>IFERROR(IF(M39="","",IF(M39&lt;0.15,"SAFETY_STOP","")),"")</f>
        <v/>
      </c>
      <c r="P39" s="7">
        <f>IFERROR(IF(M39="","",IF(M39&lt;0.15,"SAFETY_STOP",IF(M39&lt;=N39,"VL_THRESHOLD",""))),"")</f>
        <v/>
      </c>
      <c r="Q39" s="7">
        <f>IFERROR(IF(I39="","",IF(I39&gt;(0.55+0.05),"+5kg",IF(I39&gt;(0.55+0.02),"+2.5kg",IF(I39&gt;=(0.55-0.05),"保持",IF(I39&gt;=(0.55-0.08),"-2.5kg","-5kg"))))),"")</f>
        <v/>
      </c>
      <c r="R39" s="9" t="n"/>
    </row>
    <row r="40">
      <c r="A40" s="7" t="n">
        <v>2</v>
      </c>
      <c r="B40" s="9" t="n"/>
      <c r="C40" s="9" t="n"/>
      <c r="D40" s="9" t="n"/>
      <c r="E40" s="9" t="n"/>
      <c r="F40" s="9" t="n"/>
      <c r="G40" s="9" t="n"/>
      <c r="H40" s="9" t="n"/>
      <c r="I40" s="7">
        <f>IFERROR(MAX(C40:H40),"")</f>
        <v/>
      </c>
      <c r="J40" s="7">
        <f>IFERROR(MATCH(I40,C40:H40,0),"")</f>
        <v/>
      </c>
      <c r="K40" s="7" t="n">
        <v>15</v>
      </c>
      <c r="L40" s="7">
        <f>IFERROR(I40*(1-(K40/100)),"")</f>
        <v/>
      </c>
      <c r="M40" s="7">
        <f>IFERROR(LOOKUP(9.99E+307,C40:H40),"")</f>
        <v/>
      </c>
      <c r="N40" s="7">
        <f>IFERROR(IF(M40="","",IF(M40&lt;=N40,"停组🛑","继续✓")),"")</f>
        <v/>
      </c>
      <c r="O40" s="7">
        <f>IFERROR(IF(M40="","",IF(M40&lt;0.15,"SAFETY_STOP","")),"")</f>
        <v/>
      </c>
      <c r="P40" s="7">
        <f>IFERROR(IF(M40="","",IF(M40&lt;0.15,"SAFETY_STOP",IF(M40&lt;=N40,"VL_THRESHOLD",""))),"")</f>
        <v/>
      </c>
      <c r="Q40" s="7">
        <f>IFERROR(IF(I40="","",IF(I40&gt;(0.55+0.05),"+5kg",IF(I40&gt;(0.55+0.02),"+2.5kg",IF(I40&gt;=(0.55-0.05),"保持",IF(I40&gt;=(0.55-0.08),"-2.5kg","-5kg"))))),"")</f>
        <v/>
      </c>
      <c r="R40" s="9" t="n"/>
    </row>
    <row r="41">
      <c r="A41" s="7" t="n">
        <v>3</v>
      </c>
      <c r="B41" s="9" t="n"/>
      <c r="C41" s="9" t="n"/>
      <c r="D41" s="9" t="n"/>
      <c r="E41" s="9" t="n"/>
      <c r="F41" s="9" t="n"/>
      <c r="G41" s="9" t="n"/>
      <c r="H41" s="9" t="n"/>
      <c r="I41" s="7">
        <f>IFERROR(MAX(C41:H41),"")</f>
        <v/>
      </c>
      <c r="J41" s="7">
        <f>IFERROR(MATCH(I41,C41:H41,0),"")</f>
        <v/>
      </c>
      <c r="K41" s="7" t="n">
        <v>15</v>
      </c>
      <c r="L41" s="7">
        <f>IFERROR(I41*(1-(K41/100)),"")</f>
        <v/>
      </c>
      <c r="M41" s="7">
        <f>IFERROR(LOOKUP(9.99E+307,C41:H41),"")</f>
        <v/>
      </c>
      <c r="N41" s="7">
        <f>IFERROR(IF(M41="","",IF(M41&lt;=N41,"停组🛑","继续✓")),"")</f>
        <v/>
      </c>
      <c r="O41" s="7">
        <f>IFERROR(IF(M41="","",IF(M41&lt;0.15,"SAFETY_STOP","")),"")</f>
        <v/>
      </c>
      <c r="P41" s="7">
        <f>IFERROR(IF(M41="","",IF(M41&lt;0.15,"SAFETY_STOP",IF(M41&lt;=N41,"VL_THRESHOLD",""))),"")</f>
        <v/>
      </c>
      <c r="Q41" s="7">
        <f>IFERROR(IF(I41="","",IF(I41&gt;(0.55+0.05),"+5kg",IF(I41&gt;(0.55+0.02),"+2.5kg",IF(I41&gt;=(0.55-0.05),"保持",IF(I41&gt;=(0.55-0.08),"-2.5kg","-5kg"))))),"")</f>
        <v/>
      </c>
      <c r="R41" s="9" t="n"/>
    </row>
    <row r="42">
      <c r="A42" s="7" t="n">
        <v>4</v>
      </c>
      <c r="B42" s="9" t="n"/>
      <c r="C42" s="9" t="n"/>
      <c r="D42" s="9" t="n"/>
      <c r="E42" s="9" t="n"/>
      <c r="F42" s="9" t="n"/>
      <c r="G42" s="9" t="n"/>
      <c r="H42" s="9" t="n"/>
      <c r="I42" s="7">
        <f>IFERROR(MAX(C42:H42),"")</f>
        <v/>
      </c>
      <c r="J42" s="7">
        <f>IFERROR(MATCH(I42,C42:H42,0),"")</f>
        <v/>
      </c>
      <c r="K42" s="7" t="n">
        <v>15</v>
      </c>
      <c r="L42" s="7">
        <f>IFERROR(I42*(1-(K42/100)),"")</f>
        <v/>
      </c>
      <c r="M42" s="7">
        <f>IFERROR(LOOKUP(9.99E+307,C42:H42),"")</f>
        <v/>
      </c>
      <c r="N42" s="7">
        <f>IFERROR(IF(M42="","",IF(M42&lt;=N42,"停组🛑","继续✓")),"")</f>
        <v/>
      </c>
      <c r="O42" s="7">
        <f>IFERROR(IF(M42="","",IF(M42&lt;0.15,"SAFETY_STOP","")),"")</f>
        <v/>
      </c>
      <c r="P42" s="7">
        <f>IFERROR(IF(M42="","",IF(M42&lt;0.15,"SAFETY_STOP",IF(M42&lt;=N42,"VL_THRESHOLD",""))),"")</f>
        <v/>
      </c>
      <c r="Q42" s="7">
        <f>IFERROR(IF(I42="","",IF(I42&gt;(0.55+0.05),"+5kg",IF(I42&gt;(0.55+0.02),"+2.5kg",IF(I42&gt;=(0.55-0.05),"保持",IF(I42&gt;=(0.55-0.08),"-2.5kg","-5kg"))))),"")</f>
        <v/>
      </c>
      <c r="R42" s="9" t="n"/>
    </row>
    <row r="43">
      <c r="A43" s="7" t="n">
        <v>5</v>
      </c>
      <c r="B43" s="9" t="n"/>
      <c r="C43" s="9" t="n"/>
      <c r="D43" s="9" t="n"/>
      <c r="E43" s="9" t="n"/>
      <c r="F43" s="9" t="n"/>
      <c r="G43" s="9" t="n"/>
      <c r="H43" s="9" t="n"/>
      <c r="I43" s="7">
        <f>IFERROR(MAX(C43:H43),"")</f>
        <v/>
      </c>
      <c r="J43" s="7">
        <f>IFERROR(MATCH(I43,C43:H43,0),"")</f>
        <v/>
      </c>
      <c r="K43" s="7" t="n">
        <v>15</v>
      </c>
      <c r="L43" s="7">
        <f>IFERROR(I43*(1-(K43/100)),"")</f>
        <v/>
      </c>
      <c r="M43" s="7">
        <f>IFERROR(LOOKUP(9.99E+307,C43:H43),"")</f>
        <v/>
      </c>
      <c r="N43" s="7">
        <f>IFERROR(IF(M43="","",IF(M43&lt;=N43,"停组🛑","继续✓")),"")</f>
        <v/>
      </c>
      <c r="O43" s="7">
        <f>IFERROR(IF(M43="","",IF(M43&lt;0.15,"SAFETY_STOP","")),"")</f>
        <v/>
      </c>
      <c r="P43" s="7">
        <f>IFERROR(IF(M43="","",IF(M43&lt;0.15,"SAFETY_STOP",IF(M43&lt;=N43,"VL_THRESHOLD",""))),"")</f>
        <v/>
      </c>
      <c r="Q43" s="7">
        <f>IFERROR(IF(I43="","",IF(I43&gt;(0.55+0.05),"+5kg",IF(I43&gt;(0.55+0.02),"+2.5kg",IF(I43&gt;=(0.55-0.05),"保持",IF(I43&gt;=(0.55-0.08),"-2.5kg","-5kg"))))),"")</f>
        <v/>
      </c>
      <c r="R43" s="9" t="n"/>
    </row>
    <row r="44">
      <c r="A44" s="7" t="n">
        <v>6</v>
      </c>
      <c r="B44" s="9" t="n"/>
      <c r="C44" s="9" t="n"/>
      <c r="D44" s="9" t="n"/>
      <c r="E44" s="9" t="n"/>
      <c r="F44" s="9" t="n"/>
      <c r="G44" s="9" t="n"/>
      <c r="H44" s="9" t="n"/>
      <c r="I44" s="7">
        <f>IFERROR(MAX(C44:H44),"")</f>
        <v/>
      </c>
      <c r="J44" s="7">
        <f>IFERROR(MATCH(I44,C44:H44,0),"")</f>
        <v/>
      </c>
      <c r="K44" s="7" t="n">
        <v>15</v>
      </c>
      <c r="L44" s="7">
        <f>IFERROR(I44*(1-(K44/100)),"")</f>
        <v/>
      </c>
      <c r="M44" s="7">
        <f>IFERROR(LOOKUP(9.99E+307,C44:H44),"")</f>
        <v/>
      </c>
      <c r="N44" s="7">
        <f>IFERROR(IF(M44="","",IF(M44&lt;=N44,"停组🛑","继续✓")),"")</f>
        <v/>
      </c>
      <c r="O44" s="7">
        <f>IFERROR(IF(M44="","",IF(M44&lt;0.15,"SAFETY_STOP","")),"")</f>
        <v/>
      </c>
      <c r="P44" s="7">
        <f>IFERROR(IF(M44="","",IF(M44&lt;0.15,"SAFETY_STOP",IF(M44&lt;=N44,"VL_THRESHOLD",""))),"")</f>
        <v/>
      </c>
      <c r="Q44" s="7">
        <f>IFERROR(IF(I44="","",IF(I44&gt;(0.55+0.05),"+5kg",IF(I44&gt;(0.55+0.02),"+2.5kg",IF(I44&gt;=(0.55-0.05),"保持",IF(I44&gt;=(0.55-0.08),"-2.5kg","-5kg"))))),"")</f>
        <v/>
      </c>
      <c r="R44" s="9" t="n"/>
    </row>
    <row r="45">
      <c r="A45" s="13" t="inlineStr">
        <is>
          <t>辅助</t>
        </is>
      </c>
      <c r="D45" s="14" t="inlineStr">
        <is>
          <t>RDL</t>
        </is>
      </c>
      <c r="E45" s="14" t="inlineStr">
        <is>
          <t>负荷</t>
        </is>
      </c>
      <c r="F45" s="14" t="inlineStr">
        <is>
          <t>完成</t>
        </is>
      </c>
      <c r="I45" t="inlineStr">
        <is>
          <t>VL</t>
        </is>
      </c>
    </row>
    <row r="46">
      <c r="A46" s="15" t="inlineStr">
        <is>
          <t>训练后</t>
        </is>
      </c>
      <c r="B46" s="15" t="inlineStr">
        <is>
          <t>开始</t>
        </is>
      </c>
      <c r="C46" s="15" t="inlineStr">
        <is>
          <t>结束</t>
        </is>
      </c>
      <c r="D46" s="15" t="inlineStr">
        <is>
          <t>时长min</t>
        </is>
      </c>
      <c r="E46" s="15" t="inlineStr">
        <is>
          <t>sRPE</t>
        </is>
      </c>
      <c r="F46" s="15" t="inlineStr">
        <is>
          <t>load</t>
        </is>
      </c>
      <c r="G46" s="15" t="inlineStr">
        <is>
          <t>不适?</t>
        </is>
      </c>
      <c r="H46" s="15" t="inlineStr">
        <is>
          <t>备注</t>
        </is>
      </c>
      <c r="I46" s="15" t="inlineStr">
        <is>
          <t>签名</t>
        </is>
      </c>
    </row>
    <row r="47">
      <c r="A47" s="7" t="n"/>
      <c r="B47" s="9" t="n"/>
      <c r="C47" s="9" t="n"/>
      <c r="D47" s="11">
        <f>IFERROR((C47-B47)*1440,"")</f>
        <v/>
      </c>
      <c r="E47" s="9" t="n"/>
      <c r="F47" s="11">
        <f>IFERROR(E47*D47,"")</f>
        <v/>
      </c>
      <c r="G47" s="9" t="n"/>
      <c r="H47" s="9" t="n"/>
      <c r="I47" s="9" t="n"/>
    </row>
    <row r="48">
      <c r="A48" s="16" t="inlineStr">
        <is>
          <t>跳跃</t>
        </is>
      </c>
      <c r="B48" s="16" t="inlineStr">
        <is>
          <t>类型</t>
        </is>
      </c>
      <c r="C48" s="16" t="inlineStr">
        <is>
          <t>组×次</t>
        </is>
      </c>
      <c r="D48" s="16" t="inlineStr">
        <is>
          <t>负荷kg</t>
        </is>
      </c>
      <c r="E48" s="16" t="inlineStr">
        <is>
          <t>接触</t>
        </is>
      </c>
    </row>
    <row r="49">
      <c r="B49" t="inlineStr">
        <is>
          <t>CMJ</t>
        </is>
      </c>
      <c r="C49" t="inlineStr">
        <is>
          <t>3×3</t>
        </is>
      </c>
      <c r="D49" t="n">
        <v>0</v>
      </c>
      <c r="E49" t="n">
        <v>9</v>
      </c>
    </row>
    <row r="50">
      <c r="B50" t="inlineStr">
        <is>
          <t>箱跳</t>
        </is>
      </c>
      <c r="C50" t="inlineStr">
        <is>
          <t>1×3</t>
        </is>
      </c>
      <c r="D50" t="n">
        <v>0</v>
      </c>
      <c r="E50" t="n">
        <v>3</v>
      </c>
    </row>
    <row r="51">
      <c r="A51" s="17" t="inlineStr">
        <is>
          <t>▶ 暴露量汇总</t>
        </is>
      </c>
      <c r="B51" s="17" t="inlineStr">
        <is>
          <t>说明</t>
        </is>
      </c>
      <c r="C51" s="17" t="inlineStr">
        <is>
          <t>公式/来源</t>
        </is>
      </c>
      <c r="D51" s="17" t="inlineStr">
        <is>
          <t>数值</t>
        </is>
      </c>
    </row>
    <row r="52">
      <c r="A52" s="18" t="inlineStr">
        <is>
          <t>① 无负荷跳跃接触</t>
        </is>
      </c>
      <c r="B52" s="18" t="inlineStr">
        <is>
          <t>CMJ+SJ+箱跳</t>
        </is>
      </c>
      <c r="C52" s="19">
        <f>IFERROR(E49+E50,2)</f>
        <v/>
      </c>
    </row>
    <row r="53">
      <c r="A53" s="18" t="inlineStr">
        <is>
          <t>② 负重跳跃接触</t>
        </is>
      </c>
      <c r="B53" s="18" t="inlineStr">
        <is>
          <t>负重深蹲跳</t>
        </is>
      </c>
      <c r="C53" s="19">
        <f>IFERROR(E49,"")</f>
        <v/>
      </c>
    </row>
    <row r="54">
      <c r="A54" s="18" t="inlineStr">
        <is>
          <t>③ 跳跃总计</t>
        </is>
      </c>
      <c r="B54" s="18" t="inlineStr">
        <is>
          <t>①+②</t>
        </is>
      </c>
      <c r="C54" s="19">
        <f>IFERROR(B52+B53,"")</f>
        <v/>
      </c>
    </row>
    <row r="55">
      <c r="A55" s="18" t="inlineStr">
        <is>
          <t>④ 热身VL</t>
        </is>
      </c>
      <c r="B55" s="18" t="inlineStr">
        <is>
          <t>20×5+50%×3(+70%×2)</t>
        </is>
      </c>
      <c r="C55" s="19">
        <f>IFERROR(20*5+ROUND(V35*0.5,0)*3+ROUND(V{dr}*0.7,0)*2,"-")</f>
        <v/>
      </c>
    </row>
    <row r="56">
      <c r="A56" s="20" t="inlineStr">
        <is>
          <t>⑤ 主项工作组VL ★</t>
        </is>
      </c>
      <c r="B56" s="20" t="inlineStr">
        <is>
          <t>Σ(负荷×次数)</t>
        </is>
      </c>
      <c r="C56" s="21">
        <f>SUMPRODUCT($B$39:$B$44,$R$39:$R$44)</f>
        <v/>
      </c>
    </row>
    <row r="57">
      <c r="A57" s="18" t="inlineStr">
        <is>
          <t>⑥ 主项总VL</t>
        </is>
      </c>
      <c r="B57" s="18" t="inlineStr">
        <is>
          <t>④+⑤</t>
        </is>
      </c>
      <c r="C57" s="19">
        <f>IFERROR(D52+D53,"")</f>
        <v/>
      </c>
    </row>
    <row r="58">
      <c r="A58" s="18" t="inlineStr">
        <is>
          <t>⑦ 辅助VL</t>
        </is>
      </c>
      <c r="B58" s="18" t="inlineStr">
        <is>
          <t>RDL/保加利亚</t>
        </is>
      </c>
      <c r="C58" s="19">
        <f>IFERROR(I45,"")</f>
        <v/>
      </c>
    </row>
    <row r="59">
      <c r="A59" s="18" t="inlineStr">
        <is>
          <t>⑧ 总外部负荷</t>
        </is>
      </c>
      <c r="B59" s="18" t="inlineStr">
        <is>
          <t>⑥+⑦(+负重跳)</t>
        </is>
      </c>
      <c r="C59" s="19">
        <f>IFERROR(F52+G52,"")</f>
        <v/>
      </c>
    </row>
    <row r="60">
      <c r="A60" s="18" t="inlineStr">
        <is>
          <t>⑨ sRPE load</t>
        </is>
      </c>
      <c r="B60" s="18" t="inlineStr">
        <is>
          <t>sRPE×时长</t>
        </is>
      </c>
      <c r="C60" s="19">
        <f>IFERROR(F47,"")</f>
        <v/>
      </c>
    </row>
    <row r="63">
      <c r="A63" s="5" t="inlineStr">
        <is>
          <t>P002 何天元  a=1.487 b=-0.0054 1RM=150</t>
        </is>
      </c>
    </row>
    <row r="64">
      <c r="A64" s="6" t="inlineStr">
        <is>
          <t>编号</t>
        </is>
      </c>
      <c r="B64" s="6" t="inlineStr">
        <is>
          <t>姓名</t>
        </is>
      </c>
      <c r="C64" s="6" t="inlineStr">
        <is>
          <t>身高</t>
        </is>
      </c>
      <c r="D64" s="6" t="inlineStr">
        <is>
          <t>1RM</t>
        </is>
      </c>
      <c r="E64" s="6" t="inlineStr">
        <is>
          <t>Hooper睡</t>
        </is>
      </c>
      <c r="F64" s="6" t="inlineStr">
        <is>
          <t>Hooper压</t>
        </is>
      </c>
      <c r="G64" s="6" t="inlineStr">
        <is>
          <t>Hooper疲</t>
        </is>
      </c>
      <c r="H64" s="6" t="inlineStr">
        <is>
          <t>Hooper酸</t>
        </is>
      </c>
      <c r="I64" s="6" t="inlineStr">
        <is>
          <t>H总</t>
        </is>
      </c>
      <c r="J64" s="6" t="inlineStr">
        <is>
          <t>不适?</t>
        </is>
      </c>
      <c r="K64" s="6" t="inlineStr">
        <is>
          <t>说明</t>
        </is>
      </c>
      <c r="L64" s="6" t="inlineStr">
        <is>
          <t>CMJ1</t>
        </is>
      </c>
      <c r="M64" s="6" t="inlineStr">
        <is>
          <t>CMJ2</t>
        </is>
      </c>
      <c r="N64" s="6" t="inlineStr">
        <is>
          <t>CMJ3</t>
        </is>
      </c>
      <c r="O64" s="6" t="inlineStr">
        <is>
          <t>CMJμ</t>
        </is>
      </c>
      <c r="P64" s="6" t="inlineStr">
        <is>
          <t>&lt;95%</t>
        </is>
      </c>
      <c r="Q64" s="6" t="inlineStr">
        <is>
          <t>减组</t>
        </is>
      </c>
      <c r="R64" s="6" t="inlineStr">
        <is>
          <t>组数</t>
        </is>
      </c>
      <c r="S64" s="6" t="inlineStr">
        <is>
          <t>a(V0)</t>
        </is>
      </c>
      <c r="T64" s="6" t="inlineStr">
        <is>
          <t>b</t>
        </is>
      </c>
      <c r="U64" s="6" t="inlineStr">
        <is>
          <t>等级</t>
        </is>
      </c>
      <c r="V64" s="6" t="inlineStr">
        <is>
          <t>预测起始</t>
        </is>
      </c>
    </row>
    <row r="65">
      <c r="A65" s="7" t="inlineStr">
        <is>
          <t>P002</t>
        </is>
      </c>
      <c r="B65" s="7" t="inlineStr">
        <is>
          <t>何天元</t>
        </is>
      </c>
      <c r="C65" s="7" t="n">
        <v>178</v>
      </c>
      <c r="D65" s="8" t="n">
        <v>150</v>
      </c>
      <c r="E65" s="9" t="n"/>
      <c r="F65" s="9" t="n"/>
      <c r="G65" s="9" t="n"/>
      <c r="H65" s="9" t="n"/>
      <c r="I65" s="7">
        <f>IFERROR(SUM(E65:H65),"")</f>
        <v/>
      </c>
      <c r="J65" s="9" t="n"/>
      <c r="K65" s="9" t="n"/>
      <c r="L65" s="9" t="n"/>
      <c r="M65" s="9" t="n"/>
      <c r="N65" s="9" t="n"/>
      <c r="O65" s="7">
        <f>IFERROR(AVERAGE(L65:N65),"")</f>
        <v/>
      </c>
      <c r="P65" s="7">
        <f>IF(O65="","",IF(O65&lt;60.54,"是⚠","否"))</f>
        <v/>
      </c>
      <c r="Q65" s="7">
        <f>IF(O65="","",IF(O65&lt;60.54,3-1,3))</f>
        <v/>
      </c>
      <c r="R65" s="7" t="n"/>
      <c r="S65" s="8" t="n">
        <v>1.487</v>
      </c>
      <c r="T65" s="8" t="n">
        <v>-0.0054</v>
      </c>
      <c r="U65" s="7" t="inlineStr">
        <is>
          <t>B</t>
        </is>
      </c>
      <c r="V65" s="8" t="n">
        <v>172.5</v>
      </c>
    </row>
    <row r="66">
      <c r="A66" s="10" t="inlineStr">
        <is>
          <t>热身校准</t>
        </is>
      </c>
      <c r="B66" s="10" t="inlineStr">
        <is>
          <t>a</t>
        </is>
      </c>
      <c r="C66" s="10" t="inlineStr">
        <is>
          <t>b</t>
        </is>
      </c>
      <c r="D66" s="10" t="inlineStr">
        <is>
          <t>50%热身</t>
        </is>
      </c>
      <c r="E66" s="10" t="inlineStr">
        <is>
          <t>70%热身</t>
        </is>
      </c>
      <c r="F66" s="10" t="inlineStr">
        <is>
          <t>热身负荷</t>
        </is>
      </c>
      <c r="G66" s="10" t="inlineStr">
        <is>
          <t>实测MCV</t>
        </is>
      </c>
      <c r="H66" s="10" t="inlineStr">
        <is>
          <t>预测MCV</t>
        </is>
      </c>
      <c r="I66" s="10" t="inlineStr">
        <is>
          <t>Δv</t>
        </is>
      </c>
      <c r="J66" s="10" t="inlineStr">
        <is>
          <t>调整量</t>
        </is>
      </c>
      <c r="K66" s="10" t="inlineStr">
        <is>
          <t>校准第1组</t>
        </is>
      </c>
    </row>
    <row r="67">
      <c r="A67" s="7" t="n"/>
      <c r="B67" s="11" t="n">
        <v>1.487</v>
      </c>
      <c r="C67" s="11" t="n">
        <v>-0.0054</v>
      </c>
      <c r="D67" s="11">
        <f>IFERROR(ROUND(V65*0.5/2.5,0)*2.5,"")</f>
        <v/>
      </c>
      <c r="E67" s="11">
        <f>IFERROR(ROUND(V65*0.7/2.5,0)*2.5,"")</f>
        <v/>
      </c>
      <c r="F67" s="11">
        <f>IFERROR(ROUND(V65*0.6/2.5,0)*2.5,"")</f>
        <v/>
      </c>
      <c r="G67" s="9" t="n"/>
      <c r="H67" s="11">
        <f>IFERROR(B67+C67*F67,"")</f>
        <v/>
      </c>
      <c r="I67" s="11">
        <f>IFERROR(G67-H67,"")</f>
        <v/>
      </c>
      <c r="J67" s="11">
        <f>IFERROR(IF(I67&gt;0.08,5,IF(I67&gt;0.04,2.5,IF(I67&gt;=-0.04,0,IF(I67&gt;=-0.08,-2.5,-5)))),"")</f>
        <v/>
      </c>
      <c r="K67" s="11">
        <f>IFERROR(ROUND(V65+J67,0),"")</f>
        <v/>
      </c>
    </row>
    <row r="68">
      <c r="A68" s="12" t="inlineStr">
        <is>
          <t>组</t>
        </is>
      </c>
      <c r="B68" s="12" t="inlineStr">
        <is>
          <t>负荷</t>
        </is>
      </c>
      <c r="C68" s="12" t="inlineStr">
        <is>
          <t>rep1</t>
        </is>
      </c>
      <c r="D68" s="12" t="inlineStr">
        <is>
          <t>rep2</t>
        </is>
      </c>
      <c r="E68" s="12" t="inlineStr">
        <is>
          <t>rep3</t>
        </is>
      </c>
      <c r="F68" s="12" t="inlineStr">
        <is>
          <t>rep4</t>
        </is>
      </c>
      <c r="G68" s="12" t="inlineStr">
        <is>
          <t>rep5</t>
        </is>
      </c>
      <c r="H68" s="12" t="inlineStr">
        <is>
          <t>rep6</t>
        </is>
      </c>
      <c r="I68" s="12" t="inlineStr">
        <is>
          <t>best</t>
        </is>
      </c>
      <c r="J68" s="12" t="inlineStr">
        <is>
          <t>best#</t>
        </is>
      </c>
      <c r="K68" s="12" t="inlineStr">
        <is>
          <t>VL%</t>
        </is>
      </c>
      <c r="L68" s="12" t="inlineStr">
        <is>
          <t>stop_th</t>
        </is>
      </c>
      <c r="M68" s="12" t="inlineStr">
        <is>
          <t>latest</t>
        </is>
      </c>
      <c r="N68" s="12" t="inlineStr">
        <is>
          <t>VL_flag</t>
        </is>
      </c>
      <c r="O68" s="12" t="inlineStr">
        <is>
          <t>safety</t>
        </is>
      </c>
      <c r="P68" s="12" t="inlineStr">
        <is>
          <t>原因</t>
        </is>
      </c>
      <c r="Q68" s="12" t="inlineStr">
        <is>
          <t>建议</t>
        </is>
      </c>
      <c r="R68" s="12" t="inlineStr">
        <is>
          <t>次数</t>
        </is>
      </c>
    </row>
    <row r="69">
      <c r="A69" s="7" t="n">
        <v>1</v>
      </c>
      <c r="B69" s="9">
        <f>IFERROR(K67,"")</f>
        <v/>
      </c>
      <c r="C69" s="9" t="n"/>
      <c r="D69" s="9" t="n"/>
      <c r="E69" s="9" t="n"/>
      <c r="F69" s="9" t="n"/>
      <c r="G69" s="9" t="n"/>
      <c r="H69" s="9" t="n"/>
      <c r="I69" s="7">
        <f>IFERROR(MAX(C69:H69),"")</f>
        <v/>
      </c>
      <c r="J69" s="7">
        <f>IFERROR(MATCH(I69,C69:H69,0),"")</f>
        <v/>
      </c>
      <c r="K69" s="7" t="n">
        <v>15</v>
      </c>
      <c r="L69" s="7">
        <f>IFERROR(I69*(1-(K69/100)),"")</f>
        <v/>
      </c>
      <c r="M69" s="7">
        <f>IFERROR(LOOKUP(9.99E+307,C69:H69),"")</f>
        <v/>
      </c>
      <c r="N69" s="7">
        <f>IFERROR(IF(M69="","",IF(M69&lt;=N69,"停组🛑","继续✓")),"")</f>
        <v/>
      </c>
      <c r="O69" s="7">
        <f>IFERROR(IF(M69="","",IF(M69&lt;0.15,"SAFETY_STOP","")),"")</f>
        <v/>
      </c>
      <c r="P69" s="7">
        <f>IFERROR(IF(M69="","",IF(M69&lt;0.15,"SAFETY_STOP",IF(M69&lt;=N69,"VL_THRESHOLD",""))),"")</f>
        <v/>
      </c>
      <c r="Q69" s="7">
        <f>IFERROR(IF(I69="","",IF(I69&gt;(0.55+0.05),"+5kg",IF(I69&gt;(0.55+0.02),"+2.5kg",IF(I69&gt;=(0.55-0.05),"保持",IF(I69&gt;=(0.55-0.08),"-2.5kg","-5kg"))))),"")</f>
        <v/>
      </c>
      <c r="R69" s="9" t="n"/>
    </row>
    <row r="70">
      <c r="A70" s="7" t="n">
        <v>2</v>
      </c>
      <c r="B70" s="9" t="n"/>
      <c r="C70" s="9" t="n"/>
      <c r="D70" s="9" t="n"/>
      <c r="E70" s="9" t="n"/>
      <c r="F70" s="9" t="n"/>
      <c r="G70" s="9" t="n"/>
      <c r="H70" s="9" t="n"/>
      <c r="I70" s="7">
        <f>IFERROR(MAX(C70:H70),"")</f>
        <v/>
      </c>
      <c r="J70" s="7">
        <f>IFERROR(MATCH(I70,C70:H70,0),"")</f>
        <v/>
      </c>
      <c r="K70" s="7" t="n">
        <v>15</v>
      </c>
      <c r="L70" s="7">
        <f>IFERROR(I70*(1-(K70/100)),"")</f>
        <v/>
      </c>
      <c r="M70" s="7">
        <f>IFERROR(LOOKUP(9.99E+307,C70:H70),"")</f>
        <v/>
      </c>
      <c r="N70" s="7">
        <f>IFERROR(IF(M70="","",IF(M70&lt;=N70,"停组🛑","继续✓")),"")</f>
        <v/>
      </c>
      <c r="O70" s="7">
        <f>IFERROR(IF(M70="","",IF(M70&lt;0.15,"SAFETY_STOP","")),"")</f>
        <v/>
      </c>
      <c r="P70" s="7">
        <f>IFERROR(IF(M70="","",IF(M70&lt;0.15,"SAFETY_STOP",IF(M70&lt;=N70,"VL_THRESHOLD",""))),"")</f>
        <v/>
      </c>
      <c r="Q70" s="7">
        <f>IFERROR(IF(I70="","",IF(I70&gt;(0.55+0.05),"+5kg",IF(I70&gt;(0.55+0.02),"+2.5kg",IF(I70&gt;=(0.55-0.05),"保持",IF(I70&gt;=(0.55-0.08),"-2.5kg","-5kg"))))),"")</f>
        <v/>
      </c>
      <c r="R70" s="9" t="n"/>
    </row>
    <row r="71">
      <c r="A71" s="7" t="n">
        <v>3</v>
      </c>
      <c r="B71" s="9" t="n"/>
      <c r="C71" s="9" t="n"/>
      <c r="D71" s="9" t="n"/>
      <c r="E71" s="9" t="n"/>
      <c r="F71" s="9" t="n"/>
      <c r="G71" s="9" t="n"/>
      <c r="H71" s="9" t="n"/>
      <c r="I71" s="7">
        <f>IFERROR(MAX(C71:H71),"")</f>
        <v/>
      </c>
      <c r="J71" s="7">
        <f>IFERROR(MATCH(I71,C71:H71,0),"")</f>
        <v/>
      </c>
      <c r="K71" s="7" t="n">
        <v>15</v>
      </c>
      <c r="L71" s="7">
        <f>IFERROR(I71*(1-(K71/100)),"")</f>
        <v/>
      </c>
      <c r="M71" s="7">
        <f>IFERROR(LOOKUP(9.99E+307,C71:H71),"")</f>
        <v/>
      </c>
      <c r="N71" s="7">
        <f>IFERROR(IF(M71="","",IF(M71&lt;=N71,"停组🛑","继续✓")),"")</f>
        <v/>
      </c>
      <c r="O71" s="7">
        <f>IFERROR(IF(M71="","",IF(M71&lt;0.15,"SAFETY_STOP","")),"")</f>
        <v/>
      </c>
      <c r="P71" s="7">
        <f>IFERROR(IF(M71="","",IF(M71&lt;0.15,"SAFETY_STOP",IF(M71&lt;=N71,"VL_THRESHOLD",""))),"")</f>
        <v/>
      </c>
      <c r="Q71" s="7">
        <f>IFERROR(IF(I71="","",IF(I71&gt;(0.55+0.05),"+5kg",IF(I71&gt;(0.55+0.02),"+2.5kg",IF(I71&gt;=(0.55-0.05),"保持",IF(I71&gt;=(0.55-0.08),"-2.5kg","-5kg"))))),"")</f>
        <v/>
      </c>
      <c r="R71" s="9" t="n"/>
    </row>
    <row r="72">
      <c r="A72" s="7" t="n">
        <v>4</v>
      </c>
      <c r="B72" s="9" t="n"/>
      <c r="C72" s="9" t="n"/>
      <c r="D72" s="9" t="n"/>
      <c r="E72" s="9" t="n"/>
      <c r="F72" s="9" t="n"/>
      <c r="G72" s="9" t="n"/>
      <c r="H72" s="9" t="n"/>
      <c r="I72" s="7">
        <f>IFERROR(MAX(C72:H72),"")</f>
        <v/>
      </c>
      <c r="J72" s="7">
        <f>IFERROR(MATCH(I72,C72:H72,0),"")</f>
        <v/>
      </c>
      <c r="K72" s="7" t="n">
        <v>15</v>
      </c>
      <c r="L72" s="7">
        <f>IFERROR(I72*(1-(K72/100)),"")</f>
        <v/>
      </c>
      <c r="M72" s="7">
        <f>IFERROR(LOOKUP(9.99E+307,C72:H72),"")</f>
        <v/>
      </c>
      <c r="N72" s="7">
        <f>IFERROR(IF(M72="","",IF(M72&lt;=N72,"停组🛑","继续✓")),"")</f>
        <v/>
      </c>
      <c r="O72" s="7">
        <f>IFERROR(IF(M72="","",IF(M72&lt;0.15,"SAFETY_STOP","")),"")</f>
        <v/>
      </c>
      <c r="P72" s="7">
        <f>IFERROR(IF(M72="","",IF(M72&lt;0.15,"SAFETY_STOP",IF(M72&lt;=N72,"VL_THRESHOLD",""))),"")</f>
        <v/>
      </c>
      <c r="Q72" s="7">
        <f>IFERROR(IF(I72="","",IF(I72&gt;(0.55+0.05),"+5kg",IF(I72&gt;(0.55+0.02),"+2.5kg",IF(I72&gt;=(0.55-0.05),"保持",IF(I72&gt;=(0.55-0.08),"-2.5kg","-5kg"))))),"")</f>
        <v/>
      </c>
      <c r="R72" s="9" t="n"/>
    </row>
    <row r="73">
      <c r="A73" s="7" t="n">
        <v>5</v>
      </c>
      <c r="B73" s="9" t="n"/>
      <c r="C73" s="9" t="n"/>
      <c r="D73" s="9" t="n"/>
      <c r="E73" s="9" t="n"/>
      <c r="F73" s="9" t="n"/>
      <c r="G73" s="9" t="n"/>
      <c r="H73" s="9" t="n"/>
      <c r="I73" s="7">
        <f>IFERROR(MAX(C73:H73),"")</f>
        <v/>
      </c>
      <c r="J73" s="7">
        <f>IFERROR(MATCH(I73,C73:H73,0),"")</f>
        <v/>
      </c>
      <c r="K73" s="7" t="n">
        <v>15</v>
      </c>
      <c r="L73" s="7">
        <f>IFERROR(I73*(1-(K73/100)),"")</f>
        <v/>
      </c>
      <c r="M73" s="7">
        <f>IFERROR(LOOKUP(9.99E+307,C73:H73),"")</f>
        <v/>
      </c>
      <c r="N73" s="7">
        <f>IFERROR(IF(M73="","",IF(M73&lt;=N73,"停组🛑","继续✓")),"")</f>
        <v/>
      </c>
      <c r="O73" s="7">
        <f>IFERROR(IF(M73="","",IF(M73&lt;0.15,"SAFETY_STOP","")),"")</f>
        <v/>
      </c>
      <c r="P73" s="7">
        <f>IFERROR(IF(M73="","",IF(M73&lt;0.15,"SAFETY_STOP",IF(M73&lt;=N73,"VL_THRESHOLD",""))),"")</f>
        <v/>
      </c>
      <c r="Q73" s="7">
        <f>IFERROR(IF(I73="","",IF(I73&gt;(0.55+0.05),"+5kg",IF(I73&gt;(0.55+0.02),"+2.5kg",IF(I73&gt;=(0.55-0.05),"保持",IF(I73&gt;=(0.55-0.08),"-2.5kg","-5kg"))))),"")</f>
        <v/>
      </c>
      <c r="R73" s="9" t="n"/>
    </row>
    <row r="74">
      <c r="A74" s="7" t="n">
        <v>6</v>
      </c>
      <c r="B74" s="9" t="n"/>
      <c r="C74" s="9" t="n"/>
      <c r="D74" s="9" t="n"/>
      <c r="E74" s="9" t="n"/>
      <c r="F74" s="9" t="n"/>
      <c r="G74" s="9" t="n"/>
      <c r="H74" s="9" t="n"/>
      <c r="I74" s="7">
        <f>IFERROR(MAX(C74:H74),"")</f>
        <v/>
      </c>
      <c r="J74" s="7">
        <f>IFERROR(MATCH(I74,C74:H74,0),"")</f>
        <v/>
      </c>
      <c r="K74" s="7" t="n">
        <v>15</v>
      </c>
      <c r="L74" s="7">
        <f>IFERROR(I74*(1-(K74/100)),"")</f>
        <v/>
      </c>
      <c r="M74" s="7">
        <f>IFERROR(LOOKUP(9.99E+307,C74:H74),"")</f>
        <v/>
      </c>
      <c r="N74" s="7">
        <f>IFERROR(IF(M74="","",IF(M74&lt;=N74,"停组🛑","继续✓")),"")</f>
        <v/>
      </c>
      <c r="O74" s="7">
        <f>IFERROR(IF(M74="","",IF(M74&lt;0.15,"SAFETY_STOP","")),"")</f>
        <v/>
      </c>
      <c r="P74" s="7">
        <f>IFERROR(IF(M74="","",IF(M74&lt;0.15,"SAFETY_STOP",IF(M74&lt;=N74,"VL_THRESHOLD",""))),"")</f>
        <v/>
      </c>
      <c r="Q74" s="7">
        <f>IFERROR(IF(I74="","",IF(I74&gt;(0.55+0.05),"+5kg",IF(I74&gt;(0.55+0.02),"+2.5kg",IF(I74&gt;=(0.55-0.05),"保持",IF(I74&gt;=(0.55-0.08),"-2.5kg","-5kg"))))),"")</f>
        <v/>
      </c>
      <c r="R74" s="9" t="n"/>
    </row>
    <row r="75">
      <c r="A75" s="13" t="inlineStr">
        <is>
          <t>辅助</t>
        </is>
      </c>
      <c r="D75" s="14" t="inlineStr">
        <is>
          <t>RDL</t>
        </is>
      </c>
      <c r="E75" s="14" t="inlineStr">
        <is>
          <t>负荷</t>
        </is>
      </c>
      <c r="F75" s="14" t="inlineStr">
        <is>
          <t>完成</t>
        </is>
      </c>
      <c r="I75" t="inlineStr">
        <is>
          <t>VL</t>
        </is>
      </c>
    </row>
    <row r="76">
      <c r="A76" s="15" t="inlineStr">
        <is>
          <t>训练后</t>
        </is>
      </c>
      <c r="B76" s="15" t="inlineStr">
        <is>
          <t>开始</t>
        </is>
      </c>
      <c r="C76" s="15" t="inlineStr">
        <is>
          <t>结束</t>
        </is>
      </c>
      <c r="D76" s="15" t="inlineStr">
        <is>
          <t>时长min</t>
        </is>
      </c>
      <c r="E76" s="15" t="inlineStr">
        <is>
          <t>sRPE</t>
        </is>
      </c>
      <c r="F76" s="15" t="inlineStr">
        <is>
          <t>load</t>
        </is>
      </c>
      <c r="G76" s="15" t="inlineStr">
        <is>
          <t>不适?</t>
        </is>
      </c>
      <c r="H76" s="15" t="inlineStr">
        <is>
          <t>备注</t>
        </is>
      </c>
      <c r="I76" s="15" t="inlineStr">
        <is>
          <t>签名</t>
        </is>
      </c>
    </row>
    <row r="77">
      <c r="A77" s="7" t="n"/>
      <c r="B77" s="9" t="n"/>
      <c r="C77" s="9" t="n"/>
      <c r="D77" s="11">
        <f>IFERROR((C77-B77)*1440,"")</f>
        <v/>
      </c>
      <c r="E77" s="9" t="n"/>
      <c r="F77" s="11">
        <f>IFERROR(E77*D77,"")</f>
        <v/>
      </c>
      <c r="G77" s="9" t="n"/>
      <c r="H77" s="9" t="n"/>
      <c r="I77" s="9" t="n"/>
    </row>
    <row r="78">
      <c r="A78" s="16" t="inlineStr">
        <is>
          <t>跳跃</t>
        </is>
      </c>
      <c r="B78" s="16" t="inlineStr">
        <is>
          <t>类型</t>
        </is>
      </c>
      <c r="C78" s="16" t="inlineStr">
        <is>
          <t>组×次</t>
        </is>
      </c>
      <c r="D78" s="16" t="inlineStr">
        <is>
          <t>负荷kg</t>
        </is>
      </c>
      <c r="E78" s="16" t="inlineStr">
        <is>
          <t>接触</t>
        </is>
      </c>
    </row>
    <row r="79">
      <c r="B79" t="inlineStr">
        <is>
          <t>CMJ</t>
        </is>
      </c>
      <c r="C79" t="inlineStr">
        <is>
          <t>3×3</t>
        </is>
      </c>
      <c r="D79" t="n">
        <v>0</v>
      </c>
      <c r="E79" t="n">
        <v>9</v>
      </c>
    </row>
    <row r="80">
      <c r="B80" t="inlineStr">
        <is>
          <t>箱跳</t>
        </is>
      </c>
      <c r="C80" t="inlineStr">
        <is>
          <t>1×3</t>
        </is>
      </c>
      <c r="D80" t="n">
        <v>0</v>
      </c>
      <c r="E80" t="n">
        <v>3</v>
      </c>
    </row>
    <row r="81">
      <c r="A81" s="17" t="inlineStr">
        <is>
          <t>▶ 暴露量汇总</t>
        </is>
      </c>
      <c r="B81" s="17" t="inlineStr">
        <is>
          <t>说明</t>
        </is>
      </c>
      <c r="C81" s="17" t="inlineStr">
        <is>
          <t>公式/来源</t>
        </is>
      </c>
      <c r="D81" s="17" t="inlineStr">
        <is>
          <t>数值</t>
        </is>
      </c>
    </row>
    <row r="82">
      <c r="A82" s="18" t="inlineStr">
        <is>
          <t>① 无负荷跳跃接触</t>
        </is>
      </c>
      <c r="B82" s="18" t="inlineStr">
        <is>
          <t>CMJ+SJ+箱跳</t>
        </is>
      </c>
      <c r="C82" s="19">
        <f>IFERROR(E79+E80,2)</f>
        <v/>
      </c>
    </row>
    <row r="83">
      <c r="A83" s="18" t="inlineStr">
        <is>
          <t>② 负重跳跃接触</t>
        </is>
      </c>
      <c r="B83" s="18" t="inlineStr">
        <is>
          <t>负重深蹲跳</t>
        </is>
      </c>
      <c r="C83" s="19">
        <f>IFERROR(E79,"")</f>
        <v/>
      </c>
    </row>
    <row r="84">
      <c r="A84" s="18" t="inlineStr">
        <is>
          <t>③ 跳跃总计</t>
        </is>
      </c>
      <c r="B84" s="18" t="inlineStr">
        <is>
          <t>①+②</t>
        </is>
      </c>
      <c r="C84" s="19">
        <f>IFERROR(B82+B83,"")</f>
        <v/>
      </c>
    </row>
    <row r="85">
      <c r="A85" s="18" t="inlineStr">
        <is>
          <t>④ 热身VL</t>
        </is>
      </c>
      <c r="B85" s="18" t="inlineStr">
        <is>
          <t>20×5+50%×3(+70%×2)</t>
        </is>
      </c>
      <c r="C85" s="19">
        <f>IFERROR(20*5+ROUND(V65*0.5,0)*3+ROUND(V{dr}*0.7,0)*2,"-")</f>
        <v/>
      </c>
    </row>
    <row r="86">
      <c r="A86" s="20" t="inlineStr">
        <is>
          <t>⑤ 主项工作组VL ★</t>
        </is>
      </c>
      <c r="B86" s="20" t="inlineStr">
        <is>
          <t>Σ(负荷×次数)</t>
        </is>
      </c>
      <c r="C86" s="21">
        <f>SUMPRODUCT($B$69:$B$74,$R$69:$R$74)</f>
        <v/>
      </c>
    </row>
    <row r="87">
      <c r="A87" s="18" t="inlineStr">
        <is>
          <t>⑥ 主项总VL</t>
        </is>
      </c>
      <c r="B87" s="18" t="inlineStr">
        <is>
          <t>④+⑤</t>
        </is>
      </c>
      <c r="C87" s="19">
        <f>IFERROR(D82+D83,"")</f>
        <v/>
      </c>
    </row>
    <row r="88">
      <c r="A88" s="18" t="inlineStr">
        <is>
          <t>⑦ 辅助VL</t>
        </is>
      </c>
      <c r="B88" s="18" t="inlineStr">
        <is>
          <t>RDL/保加利亚</t>
        </is>
      </c>
      <c r="C88" s="19">
        <f>IFERROR(I75,"")</f>
        <v/>
      </c>
    </row>
    <row r="89">
      <c r="A89" s="18" t="inlineStr">
        <is>
          <t>⑧ 总外部负荷</t>
        </is>
      </c>
      <c r="B89" s="18" t="inlineStr">
        <is>
          <t>⑥+⑦(+负重跳)</t>
        </is>
      </c>
      <c r="C89" s="19">
        <f>IFERROR(F82+G82,"")</f>
        <v/>
      </c>
    </row>
    <row r="90">
      <c r="A90" s="18" t="inlineStr">
        <is>
          <t>⑨ sRPE load</t>
        </is>
      </c>
      <c r="B90" s="18" t="inlineStr">
        <is>
          <t>sRPE×时长</t>
        </is>
      </c>
      <c r="C90" s="19">
        <f>IFERROR(F77,"")</f>
        <v/>
      </c>
    </row>
    <row r="93">
      <c r="A93" s="5" t="inlineStr">
        <is>
          <t>P006 陈镕垚  a=1.694 b=-0.01015 1RM=145</t>
        </is>
      </c>
    </row>
    <row r="94">
      <c r="A94" s="6" t="inlineStr">
        <is>
          <t>编号</t>
        </is>
      </c>
      <c r="B94" s="6" t="inlineStr">
        <is>
          <t>姓名</t>
        </is>
      </c>
      <c r="C94" s="6" t="inlineStr">
        <is>
          <t>身高</t>
        </is>
      </c>
      <c r="D94" s="6" t="inlineStr">
        <is>
          <t>1RM</t>
        </is>
      </c>
      <c r="E94" s="6" t="inlineStr">
        <is>
          <t>Hooper睡</t>
        </is>
      </c>
      <c r="F94" s="6" t="inlineStr">
        <is>
          <t>Hooper压</t>
        </is>
      </c>
      <c r="G94" s="6" t="inlineStr">
        <is>
          <t>Hooper疲</t>
        </is>
      </c>
      <c r="H94" s="6" t="inlineStr">
        <is>
          <t>Hooper酸</t>
        </is>
      </c>
      <c r="I94" s="6" t="inlineStr">
        <is>
          <t>H总</t>
        </is>
      </c>
      <c r="J94" s="6" t="inlineStr">
        <is>
          <t>不适?</t>
        </is>
      </c>
      <c r="K94" s="6" t="inlineStr">
        <is>
          <t>说明</t>
        </is>
      </c>
      <c r="L94" s="6" t="inlineStr">
        <is>
          <t>CMJ1</t>
        </is>
      </c>
      <c r="M94" s="6" t="inlineStr">
        <is>
          <t>CMJ2</t>
        </is>
      </c>
      <c r="N94" s="6" t="inlineStr">
        <is>
          <t>CMJ3</t>
        </is>
      </c>
      <c r="O94" s="6" t="inlineStr">
        <is>
          <t>CMJμ</t>
        </is>
      </c>
      <c r="P94" s="6" t="inlineStr">
        <is>
          <t>&lt;95%</t>
        </is>
      </c>
      <c r="Q94" s="6" t="inlineStr">
        <is>
          <t>减组</t>
        </is>
      </c>
      <c r="R94" s="6" t="inlineStr">
        <is>
          <t>组数</t>
        </is>
      </c>
      <c r="S94" s="6" t="inlineStr">
        <is>
          <t>a(V0)</t>
        </is>
      </c>
      <c r="T94" s="6" t="inlineStr">
        <is>
          <t>b</t>
        </is>
      </c>
      <c r="U94" s="6" t="inlineStr">
        <is>
          <t>等级</t>
        </is>
      </c>
      <c r="V94" s="6" t="inlineStr">
        <is>
          <t>预测起始</t>
        </is>
      </c>
    </row>
    <row r="95">
      <c r="A95" s="7" t="inlineStr">
        <is>
          <t>P006</t>
        </is>
      </c>
      <c r="B95" s="7" t="inlineStr">
        <is>
          <t>陈镕垚</t>
        </is>
      </c>
      <c r="C95" s="7" t="n">
        <v>181</v>
      </c>
      <c r="D95" s="8" t="n">
        <v>145</v>
      </c>
      <c r="E95" s="9" t="n"/>
      <c r="F95" s="9" t="n"/>
      <c r="G95" s="9" t="n"/>
      <c r="H95" s="9" t="n"/>
      <c r="I95" s="7">
        <f>IFERROR(SUM(E95:H95),"")</f>
        <v/>
      </c>
      <c r="J95" s="9" t="n"/>
      <c r="K95" s="9" t="n"/>
      <c r="L95" s="9" t="n"/>
      <c r="M95" s="9" t="n"/>
      <c r="N95" s="9" t="n"/>
      <c r="O95" s="7">
        <f>IFERROR(AVERAGE(L95:N95),"")</f>
        <v/>
      </c>
      <c r="P95" s="7">
        <f>IF(O95="","",IF(O95&lt;59.06,"是⚠","否"))</f>
        <v/>
      </c>
      <c r="Q95" s="7">
        <f>IF(O95="","",IF(O95&lt;59.06,3-1,3))</f>
        <v/>
      </c>
      <c r="R95" s="7" t="n"/>
      <c r="S95" s="8" t="n">
        <v>1.694</v>
      </c>
      <c r="T95" s="8" t="n">
        <v>-0.01015</v>
      </c>
      <c r="U95" s="7" t="inlineStr">
        <is>
          <t>A</t>
        </is>
      </c>
      <c r="V95" s="8" t="n">
        <v>112.5</v>
      </c>
    </row>
    <row r="96">
      <c r="A96" s="10" t="inlineStr">
        <is>
          <t>热身校准</t>
        </is>
      </c>
      <c r="B96" s="10" t="inlineStr">
        <is>
          <t>a</t>
        </is>
      </c>
      <c r="C96" s="10" t="inlineStr">
        <is>
          <t>b</t>
        </is>
      </c>
      <c r="D96" s="10" t="inlineStr">
        <is>
          <t>50%热身</t>
        </is>
      </c>
      <c r="E96" s="10" t="inlineStr">
        <is>
          <t>70%热身</t>
        </is>
      </c>
      <c r="F96" s="10" t="inlineStr">
        <is>
          <t>热身负荷</t>
        </is>
      </c>
      <c r="G96" s="10" t="inlineStr">
        <is>
          <t>实测MCV</t>
        </is>
      </c>
      <c r="H96" s="10" t="inlineStr">
        <is>
          <t>预测MCV</t>
        </is>
      </c>
      <c r="I96" s="10" t="inlineStr">
        <is>
          <t>Δv</t>
        </is>
      </c>
      <c r="J96" s="10" t="inlineStr">
        <is>
          <t>调整量</t>
        </is>
      </c>
      <c r="K96" s="10" t="inlineStr">
        <is>
          <t>校准第1组</t>
        </is>
      </c>
    </row>
    <row r="97">
      <c r="A97" s="7" t="n"/>
      <c r="B97" s="11" t="n">
        <v>1.694</v>
      </c>
      <c r="C97" s="11" t="n">
        <v>-0.01015</v>
      </c>
      <c r="D97" s="11">
        <f>IFERROR(ROUND(V95*0.5/2.5,0)*2.5,"")</f>
        <v/>
      </c>
      <c r="E97" s="11">
        <f>IFERROR(ROUND(V95*0.7/2.5,0)*2.5,"")</f>
        <v/>
      </c>
      <c r="F97" s="11">
        <f>IFERROR(ROUND(V95*0.6/2.5,0)*2.5,"")</f>
        <v/>
      </c>
      <c r="G97" s="9" t="n"/>
      <c r="H97" s="11">
        <f>IFERROR(B97+C97*F97,"")</f>
        <v/>
      </c>
      <c r="I97" s="11">
        <f>IFERROR(G97-H97,"")</f>
        <v/>
      </c>
      <c r="J97" s="11">
        <f>IFERROR(IF(I97&gt;0.08,5,IF(I97&gt;0.04,2.5,IF(I97&gt;=-0.04,0,IF(I97&gt;=-0.08,-2.5,-5)))),"")</f>
        <v/>
      </c>
      <c r="K97" s="11">
        <f>IFERROR(ROUND(V95+J97,0),"")</f>
        <v/>
      </c>
    </row>
    <row r="98">
      <c r="A98" s="12" t="inlineStr">
        <is>
          <t>组</t>
        </is>
      </c>
      <c r="B98" s="12" t="inlineStr">
        <is>
          <t>负荷</t>
        </is>
      </c>
      <c r="C98" s="12" t="inlineStr">
        <is>
          <t>rep1</t>
        </is>
      </c>
      <c r="D98" s="12" t="inlineStr">
        <is>
          <t>rep2</t>
        </is>
      </c>
      <c r="E98" s="12" t="inlineStr">
        <is>
          <t>rep3</t>
        </is>
      </c>
      <c r="F98" s="12" t="inlineStr">
        <is>
          <t>rep4</t>
        </is>
      </c>
      <c r="G98" s="12" t="inlineStr">
        <is>
          <t>rep5</t>
        </is>
      </c>
      <c r="H98" s="12" t="inlineStr">
        <is>
          <t>rep6</t>
        </is>
      </c>
      <c r="I98" s="12" t="inlineStr">
        <is>
          <t>best</t>
        </is>
      </c>
      <c r="J98" s="12" t="inlineStr">
        <is>
          <t>best#</t>
        </is>
      </c>
      <c r="K98" s="12" t="inlineStr">
        <is>
          <t>VL%</t>
        </is>
      </c>
      <c r="L98" s="12" t="inlineStr">
        <is>
          <t>stop_th</t>
        </is>
      </c>
      <c r="M98" s="12" t="inlineStr">
        <is>
          <t>latest</t>
        </is>
      </c>
      <c r="N98" s="12" t="inlineStr">
        <is>
          <t>VL_flag</t>
        </is>
      </c>
      <c r="O98" s="12" t="inlineStr">
        <is>
          <t>safety</t>
        </is>
      </c>
      <c r="P98" s="12" t="inlineStr">
        <is>
          <t>原因</t>
        </is>
      </c>
      <c r="Q98" s="12" t="inlineStr">
        <is>
          <t>建议</t>
        </is>
      </c>
      <c r="R98" s="12" t="inlineStr">
        <is>
          <t>次数</t>
        </is>
      </c>
    </row>
    <row r="99">
      <c r="A99" s="7" t="n">
        <v>1</v>
      </c>
      <c r="B99" s="9">
        <f>IFERROR(K97,"")</f>
        <v/>
      </c>
      <c r="C99" s="9" t="n"/>
      <c r="D99" s="9" t="n"/>
      <c r="E99" s="9" t="n"/>
      <c r="F99" s="9" t="n"/>
      <c r="G99" s="9" t="n"/>
      <c r="H99" s="9" t="n"/>
      <c r="I99" s="7">
        <f>IFERROR(MAX(C99:H99),"")</f>
        <v/>
      </c>
      <c r="J99" s="7">
        <f>IFERROR(MATCH(I99,C99:H99,0),"")</f>
        <v/>
      </c>
      <c r="K99" s="7" t="n">
        <v>15</v>
      </c>
      <c r="L99" s="7">
        <f>IFERROR(I99*(1-(K99/100)),"")</f>
        <v/>
      </c>
      <c r="M99" s="7">
        <f>IFERROR(LOOKUP(9.99E+307,C99:H99),"")</f>
        <v/>
      </c>
      <c r="N99" s="7">
        <f>IFERROR(IF(M99="","",IF(M99&lt;=N99,"停组🛑","继续✓")),"")</f>
        <v/>
      </c>
      <c r="O99" s="7">
        <f>IFERROR(IF(M99="","",IF(M99&lt;0.15,"SAFETY_STOP","")),"")</f>
        <v/>
      </c>
      <c r="P99" s="7">
        <f>IFERROR(IF(M99="","",IF(M99&lt;0.15,"SAFETY_STOP",IF(M99&lt;=N99,"VL_THRESHOLD",""))),"")</f>
        <v/>
      </c>
      <c r="Q99" s="7">
        <f>IFERROR(IF(I99="","",IF(I99&gt;(0.55+0.05),"+5kg",IF(I99&gt;(0.55+0.02),"+2.5kg",IF(I99&gt;=(0.55-0.05),"保持",IF(I99&gt;=(0.55-0.08),"-2.5kg","-5kg"))))),"")</f>
        <v/>
      </c>
      <c r="R99" s="9" t="n"/>
    </row>
    <row r="100">
      <c r="A100" s="7" t="n">
        <v>2</v>
      </c>
      <c r="B100" s="9" t="n"/>
      <c r="C100" s="9" t="n"/>
      <c r="D100" s="9" t="n"/>
      <c r="E100" s="9" t="n"/>
      <c r="F100" s="9" t="n"/>
      <c r="G100" s="9" t="n"/>
      <c r="H100" s="9" t="n"/>
      <c r="I100" s="7">
        <f>IFERROR(MAX(C100:H100),"")</f>
        <v/>
      </c>
      <c r="J100" s="7">
        <f>IFERROR(MATCH(I100,C100:H100,0),"")</f>
        <v/>
      </c>
      <c r="K100" s="7" t="n">
        <v>15</v>
      </c>
      <c r="L100" s="7">
        <f>IFERROR(I100*(1-(K100/100)),"")</f>
        <v/>
      </c>
      <c r="M100" s="7">
        <f>IFERROR(LOOKUP(9.99E+307,C100:H100),"")</f>
        <v/>
      </c>
      <c r="N100" s="7">
        <f>IFERROR(IF(M100="","",IF(M100&lt;=N100,"停组🛑","继续✓")),"")</f>
        <v/>
      </c>
      <c r="O100" s="7">
        <f>IFERROR(IF(M100="","",IF(M100&lt;0.15,"SAFETY_STOP","")),"")</f>
        <v/>
      </c>
      <c r="P100" s="7">
        <f>IFERROR(IF(M100="","",IF(M100&lt;0.15,"SAFETY_STOP",IF(M100&lt;=N100,"VL_THRESHOLD",""))),"")</f>
        <v/>
      </c>
      <c r="Q100" s="7">
        <f>IFERROR(IF(I100="","",IF(I100&gt;(0.55+0.05),"+5kg",IF(I100&gt;(0.55+0.02),"+2.5kg",IF(I100&gt;=(0.55-0.05),"保持",IF(I100&gt;=(0.55-0.08),"-2.5kg","-5kg"))))),"")</f>
        <v/>
      </c>
      <c r="R100" s="9" t="n"/>
    </row>
    <row r="101">
      <c r="A101" s="7" t="n">
        <v>3</v>
      </c>
      <c r="B101" s="9" t="n"/>
      <c r="C101" s="9" t="n"/>
      <c r="D101" s="9" t="n"/>
      <c r="E101" s="9" t="n"/>
      <c r="F101" s="9" t="n"/>
      <c r="G101" s="9" t="n"/>
      <c r="H101" s="9" t="n"/>
      <c r="I101" s="7">
        <f>IFERROR(MAX(C101:H101),"")</f>
        <v/>
      </c>
      <c r="J101" s="7">
        <f>IFERROR(MATCH(I101,C101:H101,0),"")</f>
        <v/>
      </c>
      <c r="K101" s="7" t="n">
        <v>15</v>
      </c>
      <c r="L101" s="7">
        <f>IFERROR(I101*(1-(K101/100)),"")</f>
        <v/>
      </c>
      <c r="M101" s="7">
        <f>IFERROR(LOOKUP(9.99E+307,C101:H101),"")</f>
        <v/>
      </c>
      <c r="N101" s="7">
        <f>IFERROR(IF(M101="","",IF(M101&lt;=N101,"停组🛑","继续✓")),"")</f>
        <v/>
      </c>
      <c r="O101" s="7">
        <f>IFERROR(IF(M101="","",IF(M101&lt;0.15,"SAFETY_STOP","")),"")</f>
        <v/>
      </c>
      <c r="P101" s="7">
        <f>IFERROR(IF(M101="","",IF(M101&lt;0.15,"SAFETY_STOP",IF(M101&lt;=N101,"VL_THRESHOLD",""))),"")</f>
        <v/>
      </c>
      <c r="Q101" s="7">
        <f>IFERROR(IF(I101="","",IF(I101&gt;(0.55+0.05),"+5kg",IF(I101&gt;(0.55+0.02),"+2.5kg",IF(I101&gt;=(0.55-0.05),"保持",IF(I101&gt;=(0.55-0.08),"-2.5kg","-5kg"))))),"")</f>
        <v/>
      </c>
      <c r="R101" s="9" t="n"/>
    </row>
    <row r="102">
      <c r="A102" s="7" t="n">
        <v>4</v>
      </c>
      <c r="B102" s="9" t="n"/>
      <c r="C102" s="9" t="n"/>
      <c r="D102" s="9" t="n"/>
      <c r="E102" s="9" t="n"/>
      <c r="F102" s="9" t="n"/>
      <c r="G102" s="9" t="n"/>
      <c r="H102" s="9" t="n"/>
      <c r="I102" s="7">
        <f>IFERROR(MAX(C102:H102),"")</f>
        <v/>
      </c>
      <c r="J102" s="7">
        <f>IFERROR(MATCH(I102,C102:H102,0),"")</f>
        <v/>
      </c>
      <c r="K102" s="7" t="n">
        <v>15</v>
      </c>
      <c r="L102" s="7">
        <f>IFERROR(I102*(1-(K102/100)),"")</f>
        <v/>
      </c>
      <c r="M102" s="7">
        <f>IFERROR(LOOKUP(9.99E+307,C102:H102),"")</f>
        <v/>
      </c>
      <c r="N102" s="7">
        <f>IFERROR(IF(M102="","",IF(M102&lt;=N102,"停组🛑","继续✓")),"")</f>
        <v/>
      </c>
      <c r="O102" s="7">
        <f>IFERROR(IF(M102="","",IF(M102&lt;0.15,"SAFETY_STOP","")),"")</f>
        <v/>
      </c>
      <c r="P102" s="7">
        <f>IFERROR(IF(M102="","",IF(M102&lt;0.15,"SAFETY_STOP",IF(M102&lt;=N102,"VL_THRESHOLD",""))),"")</f>
        <v/>
      </c>
      <c r="Q102" s="7">
        <f>IFERROR(IF(I102="","",IF(I102&gt;(0.55+0.05),"+5kg",IF(I102&gt;(0.55+0.02),"+2.5kg",IF(I102&gt;=(0.55-0.05),"保持",IF(I102&gt;=(0.55-0.08),"-2.5kg","-5kg"))))),"")</f>
        <v/>
      </c>
      <c r="R102" s="9" t="n"/>
    </row>
    <row r="103">
      <c r="A103" s="7" t="n">
        <v>5</v>
      </c>
      <c r="B103" s="9" t="n"/>
      <c r="C103" s="9" t="n"/>
      <c r="D103" s="9" t="n"/>
      <c r="E103" s="9" t="n"/>
      <c r="F103" s="9" t="n"/>
      <c r="G103" s="9" t="n"/>
      <c r="H103" s="9" t="n"/>
      <c r="I103" s="7">
        <f>IFERROR(MAX(C103:H103),"")</f>
        <v/>
      </c>
      <c r="J103" s="7">
        <f>IFERROR(MATCH(I103,C103:H103,0),"")</f>
        <v/>
      </c>
      <c r="K103" s="7" t="n">
        <v>15</v>
      </c>
      <c r="L103" s="7">
        <f>IFERROR(I103*(1-(K103/100)),"")</f>
        <v/>
      </c>
      <c r="M103" s="7">
        <f>IFERROR(LOOKUP(9.99E+307,C103:H103),"")</f>
        <v/>
      </c>
      <c r="N103" s="7">
        <f>IFERROR(IF(M103="","",IF(M103&lt;=N103,"停组🛑","继续✓")),"")</f>
        <v/>
      </c>
      <c r="O103" s="7">
        <f>IFERROR(IF(M103="","",IF(M103&lt;0.15,"SAFETY_STOP","")),"")</f>
        <v/>
      </c>
      <c r="P103" s="7">
        <f>IFERROR(IF(M103="","",IF(M103&lt;0.15,"SAFETY_STOP",IF(M103&lt;=N103,"VL_THRESHOLD",""))),"")</f>
        <v/>
      </c>
      <c r="Q103" s="7">
        <f>IFERROR(IF(I103="","",IF(I103&gt;(0.55+0.05),"+5kg",IF(I103&gt;(0.55+0.02),"+2.5kg",IF(I103&gt;=(0.55-0.05),"保持",IF(I103&gt;=(0.55-0.08),"-2.5kg","-5kg"))))),"")</f>
        <v/>
      </c>
      <c r="R103" s="9" t="n"/>
    </row>
    <row r="104">
      <c r="A104" s="7" t="n">
        <v>6</v>
      </c>
      <c r="B104" s="9" t="n"/>
      <c r="C104" s="9" t="n"/>
      <c r="D104" s="9" t="n"/>
      <c r="E104" s="9" t="n"/>
      <c r="F104" s="9" t="n"/>
      <c r="G104" s="9" t="n"/>
      <c r="H104" s="9" t="n"/>
      <c r="I104" s="7">
        <f>IFERROR(MAX(C104:H104),"")</f>
        <v/>
      </c>
      <c r="J104" s="7">
        <f>IFERROR(MATCH(I104,C104:H104,0),"")</f>
        <v/>
      </c>
      <c r="K104" s="7" t="n">
        <v>15</v>
      </c>
      <c r="L104" s="7">
        <f>IFERROR(I104*(1-(K104/100)),"")</f>
        <v/>
      </c>
      <c r="M104" s="7">
        <f>IFERROR(LOOKUP(9.99E+307,C104:H104),"")</f>
        <v/>
      </c>
      <c r="N104" s="7">
        <f>IFERROR(IF(M104="","",IF(M104&lt;=N104,"停组🛑","继续✓")),"")</f>
        <v/>
      </c>
      <c r="O104" s="7">
        <f>IFERROR(IF(M104="","",IF(M104&lt;0.15,"SAFETY_STOP","")),"")</f>
        <v/>
      </c>
      <c r="P104" s="7">
        <f>IFERROR(IF(M104="","",IF(M104&lt;0.15,"SAFETY_STOP",IF(M104&lt;=N104,"VL_THRESHOLD",""))),"")</f>
        <v/>
      </c>
      <c r="Q104" s="7">
        <f>IFERROR(IF(I104="","",IF(I104&gt;(0.55+0.05),"+5kg",IF(I104&gt;(0.55+0.02),"+2.5kg",IF(I104&gt;=(0.55-0.05),"保持",IF(I104&gt;=(0.55-0.08),"-2.5kg","-5kg"))))),"")</f>
        <v/>
      </c>
      <c r="R104" s="9" t="n"/>
    </row>
    <row r="105">
      <c r="A105" s="13" t="inlineStr">
        <is>
          <t>辅助</t>
        </is>
      </c>
      <c r="D105" s="14" t="inlineStr">
        <is>
          <t>RDL</t>
        </is>
      </c>
      <c r="E105" s="14" t="inlineStr">
        <is>
          <t>负荷</t>
        </is>
      </c>
      <c r="F105" s="14" t="inlineStr">
        <is>
          <t>完成</t>
        </is>
      </c>
      <c r="I105" t="inlineStr">
        <is>
          <t>VL</t>
        </is>
      </c>
    </row>
    <row r="106">
      <c r="A106" s="15" t="inlineStr">
        <is>
          <t>训练后</t>
        </is>
      </c>
      <c r="B106" s="15" t="inlineStr">
        <is>
          <t>开始</t>
        </is>
      </c>
      <c r="C106" s="15" t="inlineStr">
        <is>
          <t>结束</t>
        </is>
      </c>
      <c r="D106" s="15" t="inlineStr">
        <is>
          <t>时长min</t>
        </is>
      </c>
      <c r="E106" s="15" t="inlineStr">
        <is>
          <t>sRPE</t>
        </is>
      </c>
      <c r="F106" s="15" t="inlineStr">
        <is>
          <t>load</t>
        </is>
      </c>
      <c r="G106" s="15" t="inlineStr">
        <is>
          <t>不适?</t>
        </is>
      </c>
      <c r="H106" s="15" t="inlineStr">
        <is>
          <t>备注</t>
        </is>
      </c>
      <c r="I106" s="15" t="inlineStr">
        <is>
          <t>签名</t>
        </is>
      </c>
    </row>
    <row r="107">
      <c r="A107" s="7" t="n"/>
      <c r="B107" s="9" t="n"/>
      <c r="C107" s="9" t="n"/>
      <c r="D107" s="11">
        <f>IFERROR((C107-B107)*1440,"")</f>
        <v/>
      </c>
      <c r="E107" s="9" t="n"/>
      <c r="F107" s="11">
        <f>IFERROR(E107*D107,"")</f>
        <v/>
      </c>
      <c r="G107" s="9" t="n"/>
      <c r="H107" s="9" t="n"/>
      <c r="I107" s="9" t="n"/>
    </row>
    <row r="108">
      <c r="A108" s="16" t="inlineStr">
        <is>
          <t>跳跃</t>
        </is>
      </c>
      <c r="B108" s="16" t="inlineStr">
        <is>
          <t>类型</t>
        </is>
      </c>
      <c r="C108" s="16" t="inlineStr">
        <is>
          <t>组×次</t>
        </is>
      </c>
      <c r="D108" s="16" t="inlineStr">
        <is>
          <t>负荷kg</t>
        </is>
      </c>
      <c r="E108" s="16" t="inlineStr">
        <is>
          <t>接触</t>
        </is>
      </c>
    </row>
    <row r="109">
      <c r="B109" t="inlineStr">
        <is>
          <t>CMJ</t>
        </is>
      </c>
      <c r="C109" t="inlineStr">
        <is>
          <t>3×3</t>
        </is>
      </c>
      <c r="D109" t="n">
        <v>0</v>
      </c>
      <c r="E109" t="n">
        <v>9</v>
      </c>
    </row>
    <row r="110">
      <c r="B110" t="inlineStr">
        <is>
          <t>箱跳</t>
        </is>
      </c>
      <c r="C110" t="inlineStr">
        <is>
          <t>1×3</t>
        </is>
      </c>
      <c r="D110" t="n">
        <v>0</v>
      </c>
      <c r="E110" t="n">
        <v>3</v>
      </c>
    </row>
    <row r="111">
      <c r="A111" s="17" t="inlineStr">
        <is>
          <t>▶ 暴露量汇总</t>
        </is>
      </c>
      <c r="B111" s="17" t="inlineStr">
        <is>
          <t>说明</t>
        </is>
      </c>
      <c r="C111" s="17" t="inlineStr">
        <is>
          <t>公式/来源</t>
        </is>
      </c>
      <c r="D111" s="17" t="inlineStr">
        <is>
          <t>数值</t>
        </is>
      </c>
    </row>
    <row r="112">
      <c r="A112" s="18" t="inlineStr">
        <is>
          <t>① 无负荷跳跃接触</t>
        </is>
      </c>
      <c r="B112" s="18" t="inlineStr">
        <is>
          <t>CMJ+SJ+箱跳</t>
        </is>
      </c>
      <c r="C112" s="19">
        <f>IFERROR(E109+E110,2)</f>
        <v/>
      </c>
    </row>
    <row r="113">
      <c r="A113" s="18" t="inlineStr">
        <is>
          <t>② 负重跳跃接触</t>
        </is>
      </c>
      <c r="B113" s="18" t="inlineStr">
        <is>
          <t>负重深蹲跳</t>
        </is>
      </c>
      <c r="C113" s="19">
        <f>IFERROR(E109,"")</f>
        <v/>
      </c>
    </row>
    <row r="114">
      <c r="A114" s="18" t="inlineStr">
        <is>
          <t>③ 跳跃总计</t>
        </is>
      </c>
      <c r="B114" s="18" t="inlineStr">
        <is>
          <t>①+②</t>
        </is>
      </c>
      <c r="C114" s="19">
        <f>IFERROR(B112+B113,"")</f>
        <v/>
      </c>
    </row>
    <row r="115">
      <c r="A115" s="18" t="inlineStr">
        <is>
          <t>④ 热身VL</t>
        </is>
      </c>
      <c r="B115" s="18" t="inlineStr">
        <is>
          <t>20×5+50%×3(+70%×2)</t>
        </is>
      </c>
      <c r="C115" s="19">
        <f>IFERROR(20*5+ROUND(V95*0.5,0)*3+ROUND(V{dr}*0.7,0)*2,"-")</f>
        <v/>
      </c>
    </row>
    <row r="116">
      <c r="A116" s="20" t="inlineStr">
        <is>
          <t>⑤ 主项工作组VL ★</t>
        </is>
      </c>
      <c r="B116" s="20" t="inlineStr">
        <is>
          <t>Σ(负荷×次数)</t>
        </is>
      </c>
      <c r="C116" s="21">
        <f>SUMPRODUCT($B$99:$B$104,$R$99:$R$104)</f>
        <v/>
      </c>
    </row>
    <row r="117">
      <c r="A117" s="18" t="inlineStr">
        <is>
          <t>⑥ 主项总VL</t>
        </is>
      </c>
      <c r="B117" s="18" t="inlineStr">
        <is>
          <t>④+⑤</t>
        </is>
      </c>
      <c r="C117" s="19">
        <f>IFERROR(D112+D113,"")</f>
        <v/>
      </c>
    </row>
    <row r="118">
      <c r="A118" s="18" t="inlineStr">
        <is>
          <t>⑦ 辅助VL</t>
        </is>
      </c>
      <c r="B118" s="18" t="inlineStr">
        <is>
          <t>RDL/保加利亚</t>
        </is>
      </c>
      <c r="C118" s="19">
        <f>IFERROR(I105,"")</f>
        <v/>
      </c>
    </row>
    <row r="119">
      <c r="A119" s="18" t="inlineStr">
        <is>
          <t>⑧ 总外部负荷</t>
        </is>
      </c>
      <c r="B119" s="18" t="inlineStr">
        <is>
          <t>⑥+⑦(+负重跳)</t>
        </is>
      </c>
      <c r="C119" s="19">
        <f>IFERROR(F112+G112,"")</f>
        <v/>
      </c>
    </row>
    <row r="120">
      <c r="A120" s="18" t="inlineStr">
        <is>
          <t>⑨ sRPE load</t>
        </is>
      </c>
      <c r="B120" s="18" t="inlineStr">
        <is>
          <t>sRPE×时长</t>
        </is>
      </c>
      <c r="C120" s="19">
        <f>IFERROR(F107,"")</f>
        <v/>
      </c>
    </row>
    <row r="123">
      <c r="A123" s="5" t="inlineStr">
        <is>
          <t>P015 陈先栋  a=1.77 b=-0.01025 1RM=135</t>
        </is>
      </c>
    </row>
    <row r="124">
      <c r="A124" s="6" t="inlineStr">
        <is>
          <t>编号</t>
        </is>
      </c>
      <c r="B124" s="6" t="inlineStr">
        <is>
          <t>姓名</t>
        </is>
      </c>
      <c r="C124" s="6" t="inlineStr">
        <is>
          <t>身高</t>
        </is>
      </c>
      <c r="D124" s="6" t="inlineStr">
        <is>
          <t>1RM</t>
        </is>
      </c>
      <c r="E124" s="6" t="inlineStr">
        <is>
          <t>Hooper睡</t>
        </is>
      </c>
      <c r="F124" s="6" t="inlineStr">
        <is>
          <t>Hooper压</t>
        </is>
      </c>
      <c r="G124" s="6" t="inlineStr">
        <is>
          <t>Hooper疲</t>
        </is>
      </c>
      <c r="H124" s="6" t="inlineStr">
        <is>
          <t>Hooper酸</t>
        </is>
      </c>
      <c r="I124" s="6" t="inlineStr">
        <is>
          <t>H总</t>
        </is>
      </c>
      <c r="J124" s="6" t="inlineStr">
        <is>
          <t>不适?</t>
        </is>
      </c>
      <c r="K124" s="6" t="inlineStr">
        <is>
          <t>说明</t>
        </is>
      </c>
      <c r="L124" s="6" t="inlineStr">
        <is>
          <t>CMJ1</t>
        </is>
      </c>
      <c r="M124" s="6" t="inlineStr">
        <is>
          <t>CMJ2</t>
        </is>
      </c>
      <c r="N124" s="6" t="inlineStr">
        <is>
          <t>CMJ3</t>
        </is>
      </c>
      <c r="O124" s="6" t="inlineStr">
        <is>
          <t>CMJμ</t>
        </is>
      </c>
      <c r="P124" s="6" t="inlineStr">
        <is>
          <t>&lt;95%</t>
        </is>
      </c>
      <c r="Q124" s="6" t="inlineStr">
        <is>
          <t>减组</t>
        </is>
      </c>
      <c r="R124" s="6" t="inlineStr">
        <is>
          <t>组数</t>
        </is>
      </c>
      <c r="S124" s="6" t="inlineStr">
        <is>
          <t>a(V0)</t>
        </is>
      </c>
      <c r="T124" s="6" t="inlineStr">
        <is>
          <t>b</t>
        </is>
      </c>
      <c r="U124" s="6" t="inlineStr">
        <is>
          <t>等级</t>
        </is>
      </c>
      <c r="V124" s="6" t="inlineStr">
        <is>
          <t>预测起始</t>
        </is>
      </c>
    </row>
    <row r="125">
      <c r="A125" s="7" t="inlineStr">
        <is>
          <t>P015</t>
        </is>
      </c>
      <c r="B125" s="7" t="inlineStr">
        <is>
          <t>陈先栋</t>
        </is>
      </c>
      <c r="C125" s="7" t="n">
        <v>175</v>
      </c>
      <c r="D125" s="8" t="n">
        <v>135</v>
      </c>
      <c r="E125" s="9" t="n"/>
      <c r="F125" s="9" t="n"/>
      <c r="G125" s="9" t="n"/>
      <c r="H125" s="9" t="n"/>
      <c r="I125" s="7">
        <f>IFERROR(SUM(E125:H125),"")</f>
        <v/>
      </c>
      <c r="J125" s="9" t="n"/>
      <c r="K125" s="9" t="n"/>
      <c r="L125" s="9" t="n"/>
      <c r="M125" s="9" t="n"/>
      <c r="N125" s="9" t="n"/>
      <c r="O125" s="7">
        <f>IFERROR(AVERAGE(L125:N125),"")</f>
        <v/>
      </c>
      <c r="P125" s="7">
        <f>IF(O125="","",IF(O125&lt;54.25,"是⚠","否"))</f>
        <v/>
      </c>
      <c r="Q125" s="7">
        <f>IF(O125="","",IF(O125&lt;54.25,3-1,3))</f>
        <v/>
      </c>
      <c r="R125" s="7" t="n"/>
      <c r="S125" s="8" t="n">
        <v>1.77</v>
      </c>
      <c r="T125" s="8" t="n">
        <v>-0.01025</v>
      </c>
      <c r="U125" s="7" t="inlineStr">
        <is>
          <t>C</t>
        </is>
      </c>
      <c r="V125" s="8" t="n">
        <v>120</v>
      </c>
    </row>
    <row r="126">
      <c r="A126" s="10" t="inlineStr">
        <is>
          <t>热身校准</t>
        </is>
      </c>
      <c r="B126" s="10" t="inlineStr">
        <is>
          <t>a</t>
        </is>
      </c>
      <c r="C126" s="10" t="inlineStr">
        <is>
          <t>b</t>
        </is>
      </c>
      <c r="D126" s="10" t="inlineStr">
        <is>
          <t>50%热身</t>
        </is>
      </c>
      <c r="E126" s="10" t="inlineStr">
        <is>
          <t>70%热身</t>
        </is>
      </c>
      <c r="F126" s="10" t="inlineStr">
        <is>
          <t>热身负荷</t>
        </is>
      </c>
      <c r="G126" s="10" t="inlineStr">
        <is>
          <t>实测MCV</t>
        </is>
      </c>
      <c r="H126" s="10" t="inlineStr">
        <is>
          <t>预测MCV</t>
        </is>
      </c>
      <c r="I126" s="10" t="inlineStr">
        <is>
          <t>Δv</t>
        </is>
      </c>
      <c r="J126" s="10" t="inlineStr">
        <is>
          <t>调整量</t>
        </is>
      </c>
      <c r="K126" s="10" t="inlineStr">
        <is>
          <t>校准第1组</t>
        </is>
      </c>
    </row>
    <row r="127">
      <c r="A127" s="7" t="n"/>
      <c r="B127" s="11" t="n">
        <v>1.77</v>
      </c>
      <c r="C127" s="11" t="n">
        <v>-0.01025</v>
      </c>
      <c r="D127" s="11">
        <f>IFERROR(ROUND(V125*0.5/2.5,0)*2.5,"")</f>
        <v/>
      </c>
      <c r="E127" s="11">
        <f>IFERROR(ROUND(V125*0.7/2.5,0)*2.5,"")</f>
        <v/>
      </c>
      <c r="F127" s="11">
        <f>IFERROR(ROUND(V125*0.6/2.5,0)*2.5,"")</f>
        <v/>
      </c>
      <c r="G127" s="9" t="n"/>
      <c r="H127" s="11">
        <f>IFERROR(B127+C127*F127,"")</f>
        <v/>
      </c>
      <c r="I127" s="11">
        <f>IFERROR(G127-H127,"")</f>
        <v/>
      </c>
      <c r="J127" s="11">
        <f>IFERROR(IF(I127&gt;0.08,5,IF(I127&gt;0.04,2.5,IF(I127&gt;=-0.04,0,IF(I127&gt;=-0.08,-2.5,-5)))),"")</f>
        <v/>
      </c>
      <c r="K127" s="11">
        <f>IFERROR(ROUND(V125+J127,0),"")</f>
        <v/>
      </c>
    </row>
    <row r="128">
      <c r="A128" s="12" t="inlineStr">
        <is>
          <t>组</t>
        </is>
      </c>
      <c r="B128" s="12" t="inlineStr">
        <is>
          <t>负荷</t>
        </is>
      </c>
      <c r="C128" s="12" t="inlineStr">
        <is>
          <t>rep1</t>
        </is>
      </c>
      <c r="D128" s="12" t="inlineStr">
        <is>
          <t>rep2</t>
        </is>
      </c>
      <c r="E128" s="12" t="inlineStr">
        <is>
          <t>rep3</t>
        </is>
      </c>
      <c r="F128" s="12" t="inlineStr">
        <is>
          <t>rep4</t>
        </is>
      </c>
      <c r="G128" s="12" t="inlineStr">
        <is>
          <t>rep5</t>
        </is>
      </c>
      <c r="H128" s="12" t="inlineStr">
        <is>
          <t>rep6</t>
        </is>
      </c>
      <c r="I128" s="12" t="inlineStr">
        <is>
          <t>best</t>
        </is>
      </c>
      <c r="J128" s="12" t="inlineStr">
        <is>
          <t>best#</t>
        </is>
      </c>
      <c r="K128" s="12" t="inlineStr">
        <is>
          <t>VL%</t>
        </is>
      </c>
      <c r="L128" s="12" t="inlineStr">
        <is>
          <t>stop_th</t>
        </is>
      </c>
      <c r="M128" s="12" t="inlineStr">
        <is>
          <t>latest</t>
        </is>
      </c>
      <c r="N128" s="12" t="inlineStr">
        <is>
          <t>VL_flag</t>
        </is>
      </c>
      <c r="O128" s="12" t="inlineStr">
        <is>
          <t>safety</t>
        </is>
      </c>
      <c r="P128" s="12" t="inlineStr">
        <is>
          <t>原因</t>
        </is>
      </c>
      <c r="Q128" s="12" t="inlineStr">
        <is>
          <t>建议</t>
        </is>
      </c>
      <c r="R128" s="12" t="inlineStr">
        <is>
          <t>次数</t>
        </is>
      </c>
    </row>
    <row r="129">
      <c r="A129" s="7" t="n">
        <v>1</v>
      </c>
      <c r="B129" s="9">
        <f>IFERROR(K127,"")</f>
        <v/>
      </c>
      <c r="C129" s="9" t="n"/>
      <c r="D129" s="9" t="n"/>
      <c r="E129" s="9" t="n"/>
      <c r="F129" s="9" t="n"/>
      <c r="G129" s="9" t="n"/>
      <c r="H129" s="9" t="n"/>
      <c r="I129" s="7">
        <f>IFERROR(MAX(C129:H129),"")</f>
        <v/>
      </c>
      <c r="J129" s="7">
        <f>IFERROR(MATCH(I129,C129:H129,0),"")</f>
        <v/>
      </c>
      <c r="K129" s="7" t="n">
        <v>15</v>
      </c>
      <c r="L129" s="7">
        <f>IFERROR(I129*(1-(K129/100)),"")</f>
        <v/>
      </c>
      <c r="M129" s="7">
        <f>IFERROR(LOOKUP(9.99E+307,C129:H129),"")</f>
        <v/>
      </c>
      <c r="N129" s="7">
        <f>IFERROR(IF(M129="","",IF(M129&lt;=N129,"停组🛑","继续✓")),"")</f>
        <v/>
      </c>
      <c r="O129" s="7">
        <f>IFERROR(IF(M129="","",IF(M129&lt;0.15,"SAFETY_STOP","")),"")</f>
        <v/>
      </c>
      <c r="P129" s="7">
        <f>IFERROR(IF(M129="","",IF(M129&lt;0.15,"SAFETY_STOP",IF(M129&lt;=N129,"VL_THRESHOLD",""))),"")</f>
        <v/>
      </c>
      <c r="Q129" s="7">
        <f>IFERROR(IF(I129="","",IF(I129&gt;(0.55+0.05),"+5kg",IF(I129&gt;(0.55+0.02),"+2.5kg",IF(I129&gt;=(0.55-0.05),"保持",IF(I129&gt;=(0.55-0.08),"-2.5kg","-5kg"))))),"")</f>
        <v/>
      </c>
      <c r="R129" s="9" t="n"/>
    </row>
    <row r="130">
      <c r="A130" s="7" t="n">
        <v>2</v>
      </c>
      <c r="B130" s="9" t="n"/>
      <c r="C130" s="9" t="n"/>
      <c r="D130" s="9" t="n"/>
      <c r="E130" s="9" t="n"/>
      <c r="F130" s="9" t="n"/>
      <c r="G130" s="9" t="n"/>
      <c r="H130" s="9" t="n"/>
      <c r="I130" s="7">
        <f>IFERROR(MAX(C130:H130),"")</f>
        <v/>
      </c>
      <c r="J130" s="7">
        <f>IFERROR(MATCH(I130,C130:H130,0),"")</f>
        <v/>
      </c>
      <c r="K130" s="7" t="n">
        <v>15</v>
      </c>
      <c r="L130" s="7">
        <f>IFERROR(I130*(1-(K130/100)),"")</f>
        <v/>
      </c>
      <c r="M130" s="7">
        <f>IFERROR(LOOKUP(9.99E+307,C130:H130),"")</f>
        <v/>
      </c>
      <c r="N130" s="7">
        <f>IFERROR(IF(M130="","",IF(M130&lt;=N130,"停组🛑","继续✓")),"")</f>
        <v/>
      </c>
      <c r="O130" s="7">
        <f>IFERROR(IF(M130="","",IF(M130&lt;0.15,"SAFETY_STOP","")),"")</f>
        <v/>
      </c>
      <c r="P130" s="7">
        <f>IFERROR(IF(M130="","",IF(M130&lt;0.15,"SAFETY_STOP",IF(M130&lt;=N130,"VL_THRESHOLD",""))),"")</f>
        <v/>
      </c>
      <c r="Q130" s="7">
        <f>IFERROR(IF(I130="","",IF(I130&gt;(0.55+0.05),"+5kg",IF(I130&gt;(0.55+0.02),"+2.5kg",IF(I130&gt;=(0.55-0.05),"保持",IF(I130&gt;=(0.55-0.08),"-2.5kg","-5kg"))))),"")</f>
        <v/>
      </c>
      <c r="R130" s="9" t="n"/>
    </row>
    <row r="131">
      <c r="A131" s="7" t="n">
        <v>3</v>
      </c>
      <c r="B131" s="9" t="n"/>
      <c r="C131" s="9" t="n"/>
      <c r="D131" s="9" t="n"/>
      <c r="E131" s="9" t="n"/>
      <c r="F131" s="9" t="n"/>
      <c r="G131" s="9" t="n"/>
      <c r="H131" s="9" t="n"/>
      <c r="I131" s="7">
        <f>IFERROR(MAX(C131:H131),"")</f>
        <v/>
      </c>
      <c r="J131" s="7">
        <f>IFERROR(MATCH(I131,C131:H131,0),"")</f>
        <v/>
      </c>
      <c r="K131" s="7" t="n">
        <v>15</v>
      </c>
      <c r="L131" s="7">
        <f>IFERROR(I131*(1-(K131/100)),"")</f>
        <v/>
      </c>
      <c r="M131" s="7">
        <f>IFERROR(LOOKUP(9.99E+307,C131:H131),"")</f>
        <v/>
      </c>
      <c r="N131" s="7">
        <f>IFERROR(IF(M131="","",IF(M131&lt;=N131,"停组🛑","继续✓")),"")</f>
        <v/>
      </c>
      <c r="O131" s="7">
        <f>IFERROR(IF(M131="","",IF(M131&lt;0.15,"SAFETY_STOP","")),"")</f>
        <v/>
      </c>
      <c r="P131" s="7">
        <f>IFERROR(IF(M131="","",IF(M131&lt;0.15,"SAFETY_STOP",IF(M131&lt;=N131,"VL_THRESHOLD",""))),"")</f>
        <v/>
      </c>
      <c r="Q131" s="7">
        <f>IFERROR(IF(I131="","",IF(I131&gt;(0.55+0.05),"+5kg",IF(I131&gt;(0.55+0.02),"+2.5kg",IF(I131&gt;=(0.55-0.05),"保持",IF(I131&gt;=(0.55-0.08),"-2.5kg","-5kg"))))),"")</f>
        <v/>
      </c>
      <c r="R131" s="9" t="n"/>
    </row>
    <row r="132">
      <c r="A132" s="7" t="n">
        <v>4</v>
      </c>
      <c r="B132" s="9" t="n"/>
      <c r="C132" s="9" t="n"/>
      <c r="D132" s="9" t="n"/>
      <c r="E132" s="9" t="n"/>
      <c r="F132" s="9" t="n"/>
      <c r="G132" s="9" t="n"/>
      <c r="H132" s="9" t="n"/>
      <c r="I132" s="7">
        <f>IFERROR(MAX(C132:H132),"")</f>
        <v/>
      </c>
      <c r="J132" s="7">
        <f>IFERROR(MATCH(I132,C132:H132,0),"")</f>
        <v/>
      </c>
      <c r="K132" s="7" t="n">
        <v>15</v>
      </c>
      <c r="L132" s="7">
        <f>IFERROR(I132*(1-(K132/100)),"")</f>
        <v/>
      </c>
      <c r="M132" s="7">
        <f>IFERROR(LOOKUP(9.99E+307,C132:H132),"")</f>
        <v/>
      </c>
      <c r="N132" s="7">
        <f>IFERROR(IF(M132="","",IF(M132&lt;=N132,"停组🛑","继续✓")),"")</f>
        <v/>
      </c>
      <c r="O132" s="7">
        <f>IFERROR(IF(M132="","",IF(M132&lt;0.15,"SAFETY_STOP","")),"")</f>
        <v/>
      </c>
      <c r="P132" s="7">
        <f>IFERROR(IF(M132="","",IF(M132&lt;0.15,"SAFETY_STOP",IF(M132&lt;=N132,"VL_THRESHOLD",""))),"")</f>
        <v/>
      </c>
      <c r="Q132" s="7">
        <f>IFERROR(IF(I132="","",IF(I132&gt;(0.55+0.05),"+5kg",IF(I132&gt;(0.55+0.02),"+2.5kg",IF(I132&gt;=(0.55-0.05),"保持",IF(I132&gt;=(0.55-0.08),"-2.5kg","-5kg"))))),"")</f>
        <v/>
      </c>
      <c r="R132" s="9" t="n"/>
    </row>
    <row r="133">
      <c r="A133" s="7" t="n">
        <v>5</v>
      </c>
      <c r="B133" s="9" t="n"/>
      <c r="C133" s="9" t="n"/>
      <c r="D133" s="9" t="n"/>
      <c r="E133" s="9" t="n"/>
      <c r="F133" s="9" t="n"/>
      <c r="G133" s="9" t="n"/>
      <c r="H133" s="9" t="n"/>
      <c r="I133" s="7">
        <f>IFERROR(MAX(C133:H133),"")</f>
        <v/>
      </c>
      <c r="J133" s="7">
        <f>IFERROR(MATCH(I133,C133:H133,0),"")</f>
        <v/>
      </c>
      <c r="K133" s="7" t="n">
        <v>15</v>
      </c>
      <c r="L133" s="7">
        <f>IFERROR(I133*(1-(K133/100)),"")</f>
        <v/>
      </c>
      <c r="M133" s="7">
        <f>IFERROR(LOOKUP(9.99E+307,C133:H133),"")</f>
        <v/>
      </c>
      <c r="N133" s="7">
        <f>IFERROR(IF(M133="","",IF(M133&lt;=N133,"停组🛑","继续✓")),"")</f>
        <v/>
      </c>
      <c r="O133" s="7">
        <f>IFERROR(IF(M133="","",IF(M133&lt;0.15,"SAFETY_STOP","")),"")</f>
        <v/>
      </c>
      <c r="P133" s="7">
        <f>IFERROR(IF(M133="","",IF(M133&lt;0.15,"SAFETY_STOP",IF(M133&lt;=N133,"VL_THRESHOLD",""))),"")</f>
        <v/>
      </c>
      <c r="Q133" s="7">
        <f>IFERROR(IF(I133="","",IF(I133&gt;(0.55+0.05),"+5kg",IF(I133&gt;(0.55+0.02),"+2.5kg",IF(I133&gt;=(0.55-0.05),"保持",IF(I133&gt;=(0.55-0.08),"-2.5kg","-5kg"))))),"")</f>
        <v/>
      </c>
      <c r="R133" s="9" t="n"/>
    </row>
    <row r="134">
      <c r="A134" s="7" t="n">
        <v>6</v>
      </c>
      <c r="B134" s="9" t="n"/>
      <c r="C134" s="9" t="n"/>
      <c r="D134" s="9" t="n"/>
      <c r="E134" s="9" t="n"/>
      <c r="F134" s="9" t="n"/>
      <c r="G134" s="9" t="n"/>
      <c r="H134" s="9" t="n"/>
      <c r="I134" s="7">
        <f>IFERROR(MAX(C134:H134),"")</f>
        <v/>
      </c>
      <c r="J134" s="7">
        <f>IFERROR(MATCH(I134,C134:H134,0),"")</f>
        <v/>
      </c>
      <c r="K134" s="7" t="n">
        <v>15</v>
      </c>
      <c r="L134" s="7">
        <f>IFERROR(I134*(1-(K134/100)),"")</f>
        <v/>
      </c>
      <c r="M134" s="7">
        <f>IFERROR(LOOKUP(9.99E+307,C134:H134),"")</f>
        <v/>
      </c>
      <c r="N134" s="7">
        <f>IFERROR(IF(M134="","",IF(M134&lt;=N134,"停组🛑","继续✓")),"")</f>
        <v/>
      </c>
      <c r="O134" s="7">
        <f>IFERROR(IF(M134="","",IF(M134&lt;0.15,"SAFETY_STOP","")),"")</f>
        <v/>
      </c>
      <c r="P134" s="7">
        <f>IFERROR(IF(M134="","",IF(M134&lt;0.15,"SAFETY_STOP",IF(M134&lt;=N134,"VL_THRESHOLD",""))),"")</f>
        <v/>
      </c>
      <c r="Q134" s="7">
        <f>IFERROR(IF(I134="","",IF(I134&gt;(0.55+0.05),"+5kg",IF(I134&gt;(0.55+0.02),"+2.5kg",IF(I134&gt;=(0.55-0.05),"保持",IF(I134&gt;=(0.55-0.08),"-2.5kg","-5kg"))))),"")</f>
        <v/>
      </c>
      <c r="R134" s="9" t="n"/>
    </row>
    <row r="135">
      <c r="A135" s="13" t="inlineStr">
        <is>
          <t>辅助</t>
        </is>
      </c>
      <c r="D135" s="14" t="inlineStr">
        <is>
          <t>RDL</t>
        </is>
      </c>
      <c r="E135" s="14" t="inlineStr">
        <is>
          <t>负荷</t>
        </is>
      </c>
      <c r="F135" s="14" t="inlineStr">
        <is>
          <t>完成</t>
        </is>
      </c>
      <c r="I135" t="inlineStr">
        <is>
          <t>VL</t>
        </is>
      </c>
    </row>
    <row r="136">
      <c r="A136" s="15" t="inlineStr">
        <is>
          <t>训练后</t>
        </is>
      </c>
      <c r="B136" s="15" t="inlineStr">
        <is>
          <t>开始</t>
        </is>
      </c>
      <c r="C136" s="15" t="inlineStr">
        <is>
          <t>结束</t>
        </is>
      </c>
      <c r="D136" s="15" t="inlineStr">
        <is>
          <t>时长min</t>
        </is>
      </c>
      <c r="E136" s="15" t="inlineStr">
        <is>
          <t>sRPE</t>
        </is>
      </c>
      <c r="F136" s="15" t="inlineStr">
        <is>
          <t>load</t>
        </is>
      </c>
      <c r="G136" s="15" t="inlineStr">
        <is>
          <t>不适?</t>
        </is>
      </c>
      <c r="H136" s="15" t="inlineStr">
        <is>
          <t>备注</t>
        </is>
      </c>
      <c r="I136" s="15" t="inlineStr">
        <is>
          <t>签名</t>
        </is>
      </c>
    </row>
    <row r="137">
      <c r="A137" s="7" t="n"/>
      <c r="B137" s="9" t="n"/>
      <c r="C137" s="9" t="n"/>
      <c r="D137" s="11">
        <f>IFERROR((C137-B137)*1440,"")</f>
        <v/>
      </c>
      <c r="E137" s="9" t="n"/>
      <c r="F137" s="11">
        <f>IFERROR(E137*D137,"")</f>
        <v/>
      </c>
      <c r="G137" s="9" t="n"/>
      <c r="H137" s="9" t="n"/>
      <c r="I137" s="9" t="n"/>
    </row>
    <row r="138">
      <c r="A138" s="16" t="inlineStr">
        <is>
          <t>跳跃</t>
        </is>
      </c>
      <c r="B138" s="16" t="inlineStr">
        <is>
          <t>类型</t>
        </is>
      </c>
      <c r="C138" s="16" t="inlineStr">
        <is>
          <t>组×次</t>
        </is>
      </c>
      <c r="D138" s="16" t="inlineStr">
        <is>
          <t>负荷kg</t>
        </is>
      </c>
      <c r="E138" s="16" t="inlineStr">
        <is>
          <t>接触</t>
        </is>
      </c>
    </row>
    <row r="139">
      <c r="B139" t="inlineStr">
        <is>
          <t>CMJ</t>
        </is>
      </c>
      <c r="C139" t="inlineStr">
        <is>
          <t>3×3</t>
        </is>
      </c>
      <c r="D139" t="n">
        <v>0</v>
      </c>
      <c r="E139" t="n">
        <v>9</v>
      </c>
    </row>
    <row r="140">
      <c r="B140" t="inlineStr">
        <is>
          <t>箱跳</t>
        </is>
      </c>
      <c r="C140" t="inlineStr">
        <is>
          <t>1×3</t>
        </is>
      </c>
      <c r="D140" t="n">
        <v>0</v>
      </c>
      <c r="E140" t="n">
        <v>3</v>
      </c>
    </row>
    <row r="141">
      <c r="A141" s="17" t="inlineStr">
        <is>
          <t>▶ 暴露量汇总</t>
        </is>
      </c>
      <c r="B141" s="17" t="inlineStr">
        <is>
          <t>说明</t>
        </is>
      </c>
      <c r="C141" s="17" t="inlineStr">
        <is>
          <t>公式/来源</t>
        </is>
      </c>
      <c r="D141" s="17" t="inlineStr">
        <is>
          <t>数值</t>
        </is>
      </c>
    </row>
    <row r="142">
      <c r="A142" s="18" t="inlineStr">
        <is>
          <t>① 无负荷跳跃接触</t>
        </is>
      </c>
      <c r="B142" s="18" t="inlineStr">
        <is>
          <t>CMJ+SJ+箱跳</t>
        </is>
      </c>
      <c r="C142" s="19">
        <f>IFERROR(E139+E140,2)</f>
        <v/>
      </c>
    </row>
    <row r="143">
      <c r="A143" s="18" t="inlineStr">
        <is>
          <t>② 负重跳跃接触</t>
        </is>
      </c>
      <c r="B143" s="18" t="inlineStr">
        <is>
          <t>负重深蹲跳</t>
        </is>
      </c>
      <c r="C143" s="19">
        <f>IFERROR(E139,"")</f>
        <v/>
      </c>
    </row>
    <row r="144">
      <c r="A144" s="18" t="inlineStr">
        <is>
          <t>③ 跳跃总计</t>
        </is>
      </c>
      <c r="B144" s="18" t="inlineStr">
        <is>
          <t>①+②</t>
        </is>
      </c>
      <c r="C144" s="19">
        <f>IFERROR(B142+B143,"")</f>
        <v/>
      </c>
    </row>
    <row r="145">
      <c r="A145" s="18" t="inlineStr">
        <is>
          <t>④ 热身VL</t>
        </is>
      </c>
      <c r="B145" s="18" t="inlineStr">
        <is>
          <t>20×5+50%×3(+70%×2)</t>
        </is>
      </c>
      <c r="C145" s="19">
        <f>IFERROR(20*5+ROUND(V125*0.5,0)*3+ROUND(V{dr}*0.7,0)*2,"-")</f>
        <v/>
      </c>
    </row>
    <row r="146">
      <c r="A146" s="20" t="inlineStr">
        <is>
          <t>⑤ 主项工作组VL ★</t>
        </is>
      </c>
      <c r="B146" s="20" t="inlineStr">
        <is>
          <t>Σ(负荷×次数)</t>
        </is>
      </c>
      <c r="C146" s="21">
        <f>SUMPRODUCT($B$129:$B$134,$R$129:$R$134)</f>
        <v/>
      </c>
    </row>
    <row r="147">
      <c r="A147" s="18" t="inlineStr">
        <is>
          <t>⑥ 主项总VL</t>
        </is>
      </c>
      <c r="B147" s="18" t="inlineStr">
        <is>
          <t>④+⑤</t>
        </is>
      </c>
      <c r="C147" s="19">
        <f>IFERROR(D142+D143,"")</f>
        <v/>
      </c>
    </row>
    <row r="148">
      <c r="A148" s="18" t="inlineStr">
        <is>
          <t>⑦ 辅助VL</t>
        </is>
      </c>
      <c r="B148" s="18" t="inlineStr">
        <is>
          <t>RDL/保加利亚</t>
        </is>
      </c>
      <c r="C148" s="19">
        <f>IFERROR(I135,"")</f>
        <v/>
      </c>
    </row>
    <row r="149">
      <c r="A149" s="18" t="inlineStr">
        <is>
          <t>⑧ 总外部负荷</t>
        </is>
      </c>
      <c r="B149" s="18" t="inlineStr">
        <is>
          <t>⑥+⑦(+负重跳)</t>
        </is>
      </c>
      <c r="C149" s="19">
        <f>IFERROR(F142+G142,"")</f>
        <v/>
      </c>
    </row>
    <row r="150">
      <c r="A150" s="18" t="inlineStr">
        <is>
          <t>⑨ sRPE load</t>
        </is>
      </c>
      <c r="B150" s="18" t="inlineStr">
        <is>
          <t>sRPE×时长</t>
        </is>
      </c>
      <c r="C150" s="19">
        <f>IFERROR(F137,"")</f>
        <v/>
      </c>
    </row>
    <row r="153">
      <c r="A153" s="5" t="inlineStr">
        <is>
          <t>P011 朱怀远  a=1.258 b=-0.00613 1RM=125</t>
        </is>
      </c>
    </row>
    <row r="154">
      <c r="A154" s="6" t="inlineStr">
        <is>
          <t>编号</t>
        </is>
      </c>
      <c r="B154" s="6" t="inlineStr">
        <is>
          <t>姓名</t>
        </is>
      </c>
      <c r="C154" s="6" t="inlineStr">
        <is>
          <t>身高</t>
        </is>
      </c>
      <c r="D154" s="6" t="inlineStr">
        <is>
          <t>1RM</t>
        </is>
      </c>
      <c r="E154" s="6" t="inlineStr">
        <is>
          <t>Hooper睡</t>
        </is>
      </c>
      <c r="F154" s="6" t="inlineStr">
        <is>
          <t>Hooper压</t>
        </is>
      </c>
      <c r="G154" s="6" t="inlineStr">
        <is>
          <t>Hooper疲</t>
        </is>
      </c>
      <c r="H154" s="6" t="inlineStr">
        <is>
          <t>Hooper酸</t>
        </is>
      </c>
      <c r="I154" s="6" t="inlineStr">
        <is>
          <t>H总</t>
        </is>
      </c>
      <c r="J154" s="6" t="inlineStr">
        <is>
          <t>不适?</t>
        </is>
      </c>
      <c r="K154" s="6" t="inlineStr">
        <is>
          <t>说明</t>
        </is>
      </c>
      <c r="L154" s="6" t="inlineStr">
        <is>
          <t>CMJ1</t>
        </is>
      </c>
      <c r="M154" s="6" t="inlineStr">
        <is>
          <t>CMJ2</t>
        </is>
      </c>
      <c r="N154" s="6" t="inlineStr">
        <is>
          <t>CMJ3</t>
        </is>
      </c>
      <c r="O154" s="6" t="inlineStr">
        <is>
          <t>CMJμ</t>
        </is>
      </c>
      <c r="P154" s="6" t="inlineStr">
        <is>
          <t>&lt;95%</t>
        </is>
      </c>
      <c r="Q154" s="6" t="inlineStr">
        <is>
          <t>减组</t>
        </is>
      </c>
      <c r="R154" s="6" t="inlineStr">
        <is>
          <t>组数</t>
        </is>
      </c>
      <c r="S154" s="6" t="inlineStr">
        <is>
          <t>a(V0)</t>
        </is>
      </c>
      <c r="T154" s="6" t="inlineStr">
        <is>
          <t>b</t>
        </is>
      </c>
      <c r="U154" s="6" t="inlineStr">
        <is>
          <t>等级</t>
        </is>
      </c>
      <c r="V154" s="6" t="inlineStr">
        <is>
          <t>预测起始</t>
        </is>
      </c>
    </row>
    <row r="155">
      <c r="A155" s="7" t="inlineStr">
        <is>
          <t>P011</t>
        </is>
      </c>
      <c r="B155" s="7" t="inlineStr">
        <is>
          <t>朱怀远</t>
        </is>
      </c>
      <c r="C155" s="7" t="n">
        <v>165</v>
      </c>
      <c r="D155" s="8" t="n">
        <v>125</v>
      </c>
      <c r="E155" s="9" t="n"/>
      <c r="F155" s="9" t="n"/>
      <c r="G155" s="9" t="n"/>
      <c r="H155" s="9" t="n"/>
      <c r="I155" s="7">
        <f>IFERROR(SUM(E155:H155),"")</f>
        <v/>
      </c>
      <c r="J155" s="9" t="n"/>
      <c r="K155" s="9" t="n"/>
      <c r="L155" s="9" t="n"/>
      <c r="M155" s="9" t="n"/>
      <c r="N155" s="9" t="n"/>
      <c r="O155" s="7">
        <f>IFERROR(AVERAGE(L155:N155),"")</f>
        <v/>
      </c>
      <c r="P155" s="7">
        <f>IF(O155="","",IF(O155&lt;64.98,"是⚠","否"))</f>
        <v/>
      </c>
      <c r="Q155" s="7">
        <f>IF(O155="","",IF(O155&lt;64.98,3-1,3))</f>
        <v/>
      </c>
      <c r="R155" s="7" t="n"/>
      <c r="S155" s="8" t="n">
        <v>1.258</v>
      </c>
      <c r="T155" s="8" t="n">
        <v>-0.00613</v>
      </c>
      <c r="U155" s="7" t="inlineStr">
        <is>
          <t>D</t>
        </is>
      </c>
      <c r="V155" s="8" t="n">
        <v>115</v>
      </c>
    </row>
    <row r="156">
      <c r="A156" s="10" t="inlineStr">
        <is>
          <t>热身校准</t>
        </is>
      </c>
      <c r="B156" s="10" t="inlineStr">
        <is>
          <t>a</t>
        </is>
      </c>
      <c r="C156" s="10" t="inlineStr">
        <is>
          <t>b</t>
        </is>
      </c>
      <c r="D156" s="10" t="inlineStr">
        <is>
          <t>50%热身</t>
        </is>
      </c>
      <c r="E156" s="10" t="inlineStr">
        <is>
          <t>70%热身</t>
        </is>
      </c>
      <c r="F156" s="10" t="inlineStr">
        <is>
          <t>热身负荷</t>
        </is>
      </c>
      <c r="G156" s="10" t="inlineStr">
        <is>
          <t>实测MCV</t>
        </is>
      </c>
      <c r="H156" s="10" t="inlineStr">
        <is>
          <t>预测MCV</t>
        </is>
      </c>
      <c r="I156" s="10" t="inlineStr">
        <is>
          <t>Δv</t>
        </is>
      </c>
      <c r="J156" s="10" t="inlineStr">
        <is>
          <t>调整量</t>
        </is>
      </c>
      <c r="K156" s="10" t="inlineStr">
        <is>
          <t>校准第1组</t>
        </is>
      </c>
    </row>
    <row r="157">
      <c r="A157" s="7" t="n"/>
      <c r="B157" s="11" t="n">
        <v>1.258</v>
      </c>
      <c r="C157" s="11" t="n">
        <v>-0.00613</v>
      </c>
      <c r="D157" s="11">
        <f>IFERROR(ROUND(V155*0.5/2.5,0)*2.5,"")</f>
        <v/>
      </c>
      <c r="E157" s="11">
        <f>IFERROR(ROUND(V155*0.7/2.5,0)*2.5,"")</f>
        <v/>
      </c>
      <c r="F157" s="11">
        <f>IFERROR(ROUND(V155*0.6/2.5,0)*2.5,"")</f>
        <v/>
      </c>
      <c r="G157" s="9" t="n"/>
      <c r="H157" s="11">
        <f>IFERROR(B157+C157*F157,"")</f>
        <v/>
      </c>
      <c r="I157" s="11">
        <f>IFERROR(G157-H157,"")</f>
        <v/>
      </c>
      <c r="J157" s="11">
        <f>IFERROR(IF(I157&gt;0.08,5,IF(I157&gt;0.04,2.5,IF(I157&gt;=-0.04,0,IF(I157&gt;=-0.08,-2.5,-5)))),"")</f>
        <v/>
      </c>
      <c r="K157" s="11">
        <f>IFERROR(ROUND(V155+J157,0),"")</f>
        <v/>
      </c>
    </row>
    <row r="158">
      <c r="A158" s="12" t="inlineStr">
        <is>
          <t>组</t>
        </is>
      </c>
      <c r="B158" s="12" t="inlineStr">
        <is>
          <t>负荷</t>
        </is>
      </c>
      <c r="C158" s="12" t="inlineStr">
        <is>
          <t>rep1</t>
        </is>
      </c>
      <c r="D158" s="12" t="inlineStr">
        <is>
          <t>rep2</t>
        </is>
      </c>
      <c r="E158" s="12" t="inlineStr">
        <is>
          <t>rep3</t>
        </is>
      </c>
      <c r="F158" s="12" t="inlineStr">
        <is>
          <t>rep4</t>
        </is>
      </c>
      <c r="G158" s="12" t="inlineStr">
        <is>
          <t>rep5</t>
        </is>
      </c>
      <c r="H158" s="12" t="inlineStr">
        <is>
          <t>rep6</t>
        </is>
      </c>
      <c r="I158" s="12" t="inlineStr">
        <is>
          <t>best</t>
        </is>
      </c>
      <c r="J158" s="12" t="inlineStr">
        <is>
          <t>best#</t>
        </is>
      </c>
      <c r="K158" s="12" t="inlineStr">
        <is>
          <t>VL%</t>
        </is>
      </c>
      <c r="L158" s="12" t="inlineStr">
        <is>
          <t>stop_th</t>
        </is>
      </c>
      <c r="M158" s="12" t="inlineStr">
        <is>
          <t>latest</t>
        </is>
      </c>
      <c r="N158" s="12" t="inlineStr">
        <is>
          <t>VL_flag</t>
        </is>
      </c>
      <c r="O158" s="12" t="inlineStr">
        <is>
          <t>safety</t>
        </is>
      </c>
      <c r="P158" s="12" t="inlineStr">
        <is>
          <t>原因</t>
        </is>
      </c>
      <c r="Q158" s="12" t="inlineStr">
        <is>
          <t>建议</t>
        </is>
      </c>
      <c r="R158" s="12" t="inlineStr">
        <is>
          <t>次数</t>
        </is>
      </c>
    </row>
    <row r="159">
      <c r="A159" s="7" t="n">
        <v>1</v>
      </c>
      <c r="B159" s="9">
        <f>IFERROR(K157,"")</f>
        <v/>
      </c>
      <c r="C159" s="9" t="n"/>
      <c r="D159" s="9" t="n"/>
      <c r="E159" s="9" t="n"/>
      <c r="F159" s="9" t="n"/>
      <c r="G159" s="9" t="n"/>
      <c r="H159" s="9" t="n"/>
      <c r="I159" s="7">
        <f>IFERROR(MAX(C159:H159),"")</f>
        <v/>
      </c>
      <c r="J159" s="7">
        <f>IFERROR(MATCH(I159,C159:H159,0),"")</f>
        <v/>
      </c>
      <c r="K159" s="7" t="n">
        <v>15</v>
      </c>
      <c r="L159" s="7">
        <f>IFERROR(I159*(1-(K159/100)),"")</f>
        <v/>
      </c>
      <c r="M159" s="7">
        <f>IFERROR(LOOKUP(9.99E+307,C159:H159),"")</f>
        <v/>
      </c>
      <c r="N159" s="7">
        <f>IFERROR(IF(M159="","",IF(M159&lt;=N159,"停组🛑","继续✓")),"")</f>
        <v/>
      </c>
      <c r="O159" s="7">
        <f>IFERROR(IF(M159="","",IF(M159&lt;0.15,"SAFETY_STOP","")),"")</f>
        <v/>
      </c>
      <c r="P159" s="7">
        <f>IFERROR(IF(M159="","",IF(M159&lt;0.15,"SAFETY_STOP",IF(M159&lt;=N159,"VL_THRESHOLD",""))),"")</f>
        <v/>
      </c>
      <c r="Q159" s="7">
        <f>IFERROR(IF(I159="","",IF(I159&gt;(0.55+0.05),"+5kg",IF(I159&gt;(0.55+0.02),"+2.5kg",IF(I159&gt;=(0.55-0.05),"保持",IF(I159&gt;=(0.55-0.08),"-2.5kg","-5kg"))))),"")</f>
        <v/>
      </c>
      <c r="R159" s="9" t="n"/>
    </row>
    <row r="160">
      <c r="A160" s="7" t="n">
        <v>2</v>
      </c>
      <c r="B160" s="9" t="n"/>
      <c r="C160" s="9" t="n"/>
      <c r="D160" s="9" t="n"/>
      <c r="E160" s="9" t="n"/>
      <c r="F160" s="9" t="n"/>
      <c r="G160" s="9" t="n"/>
      <c r="H160" s="9" t="n"/>
      <c r="I160" s="7">
        <f>IFERROR(MAX(C160:H160),"")</f>
        <v/>
      </c>
      <c r="J160" s="7">
        <f>IFERROR(MATCH(I160,C160:H160,0),"")</f>
        <v/>
      </c>
      <c r="K160" s="7" t="n">
        <v>15</v>
      </c>
      <c r="L160" s="7">
        <f>IFERROR(I160*(1-(K160/100)),"")</f>
        <v/>
      </c>
      <c r="M160" s="7">
        <f>IFERROR(LOOKUP(9.99E+307,C160:H160),"")</f>
        <v/>
      </c>
      <c r="N160" s="7">
        <f>IFERROR(IF(M160="","",IF(M160&lt;=N160,"停组🛑","继续✓")),"")</f>
        <v/>
      </c>
      <c r="O160" s="7">
        <f>IFERROR(IF(M160="","",IF(M160&lt;0.15,"SAFETY_STOP","")),"")</f>
        <v/>
      </c>
      <c r="P160" s="7">
        <f>IFERROR(IF(M160="","",IF(M160&lt;0.15,"SAFETY_STOP",IF(M160&lt;=N160,"VL_THRESHOLD",""))),"")</f>
        <v/>
      </c>
      <c r="Q160" s="7">
        <f>IFERROR(IF(I160="","",IF(I160&gt;(0.55+0.05),"+5kg",IF(I160&gt;(0.55+0.02),"+2.5kg",IF(I160&gt;=(0.55-0.05),"保持",IF(I160&gt;=(0.55-0.08),"-2.5kg","-5kg"))))),"")</f>
        <v/>
      </c>
      <c r="R160" s="9" t="n"/>
    </row>
    <row r="161">
      <c r="A161" s="7" t="n">
        <v>3</v>
      </c>
      <c r="B161" s="9" t="n"/>
      <c r="C161" s="9" t="n"/>
      <c r="D161" s="9" t="n"/>
      <c r="E161" s="9" t="n"/>
      <c r="F161" s="9" t="n"/>
      <c r="G161" s="9" t="n"/>
      <c r="H161" s="9" t="n"/>
      <c r="I161" s="7">
        <f>IFERROR(MAX(C161:H161),"")</f>
        <v/>
      </c>
      <c r="J161" s="7">
        <f>IFERROR(MATCH(I161,C161:H161,0),"")</f>
        <v/>
      </c>
      <c r="K161" s="7" t="n">
        <v>15</v>
      </c>
      <c r="L161" s="7">
        <f>IFERROR(I161*(1-(K161/100)),"")</f>
        <v/>
      </c>
      <c r="M161" s="7">
        <f>IFERROR(LOOKUP(9.99E+307,C161:H161),"")</f>
        <v/>
      </c>
      <c r="N161" s="7">
        <f>IFERROR(IF(M161="","",IF(M161&lt;=N161,"停组🛑","继续✓")),"")</f>
        <v/>
      </c>
      <c r="O161" s="7">
        <f>IFERROR(IF(M161="","",IF(M161&lt;0.15,"SAFETY_STOP","")),"")</f>
        <v/>
      </c>
      <c r="P161" s="7">
        <f>IFERROR(IF(M161="","",IF(M161&lt;0.15,"SAFETY_STOP",IF(M161&lt;=N161,"VL_THRESHOLD",""))),"")</f>
        <v/>
      </c>
      <c r="Q161" s="7">
        <f>IFERROR(IF(I161="","",IF(I161&gt;(0.55+0.05),"+5kg",IF(I161&gt;(0.55+0.02),"+2.5kg",IF(I161&gt;=(0.55-0.05),"保持",IF(I161&gt;=(0.55-0.08),"-2.5kg","-5kg"))))),"")</f>
        <v/>
      </c>
      <c r="R161" s="9" t="n"/>
    </row>
    <row r="162">
      <c r="A162" s="7" t="n">
        <v>4</v>
      </c>
      <c r="B162" s="9" t="n"/>
      <c r="C162" s="9" t="n"/>
      <c r="D162" s="9" t="n"/>
      <c r="E162" s="9" t="n"/>
      <c r="F162" s="9" t="n"/>
      <c r="G162" s="9" t="n"/>
      <c r="H162" s="9" t="n"/>
      <c r="I162" s="7">
        <f>IFERROR(MAX(C162:H162),"")</f>
        <v/>
      </c>
      <c r="J162" s="7">
        <f>IFERROR(MATCH(I162,C162:H162,0),"")</f>
        <v/>
      </c>
      <c r="K162" s="7" t="n">
        <v>15</v>
      </c>
      <c r="L162" s="7">
        <f>IFERROR(I162*(1-(K162/100)),"")</f>
        <v/>
      </c>
      <c r="M162" s="7">
        <f>IFERROR(LOOKUP(9.99E+307,C162:H162),"")</f>
        <v/>
      </c>
      <c r="N162" s="7">
        <f>IFERROR(IF(M162="","",IF(M162&lt;=N162,"停组🛑","继续✓")),"")</f>
        <v/>
      </c>
      <c r="O162" s="7">
        <f>IFERROR(IF(M162="","",IF(M162&lt;0.15,"SAFETY_STOP","")),"")</f>
        <v/>
      </c>
      <c r="P162" s="7">
        <f>IFERROR(IF(M162="","",IF(M162&lt;0.15,"SAFETY_STOP",IF(M162&lt;=N162,"VL_THRESHOLD",""))),"")</f>
        <v/>
      </c>
      <c r="Q162" s="7">
        <f>IFERROR(IF(I162="","",IF(I162&gt;(0.55+0.05),"+5kg",IF(I162&gt;(0.55+0.02),"+2.5kg",IF(I162&gt;=(0.55-0.05),"保持",IF(I162&gt;=(0.55-0.08),"-2.5kg","-5kg"))))),"")</f>
        <v/>
      </c>
      <c r="R162" s="9" t="n"/>
    </row>
    <row r="163">
      <c r="A163" s="7" t="n">
        <v>5</v>
      </c>
      <c r="B163" s="9" t="n"/>
      <c r="C163" s="9" t="n"/>
      <c r="D163" s="9" t="n"/>
      <c r="E163" s="9" t="n"/>
      <c r="F163" s="9" t="n"/>
      <c r="G163" s="9" t="n"/>
      <c r="H163" s="9" t="n"/>
      <c r="I163" s="7">
        <f>IFERROR(MAX(C163:H163),"")</f>
        <v/>
      </c>
      <c r="J163" s="7">
        <f>IFERROR(MATCH(I163,C163:H163,0),"")</f>
        <v/>
      </c>
      <c r="K163" s="7" t="n">
        <v>15</v>
      </c>
      <c r="L163" s="7">
        <f>IFERROR(I163*(1-(K163/100)),"")</f>
        <v/>
      </c>
      <c r="M163" s="7">
        <f>IFERROR(LOOKUP(9.99E+307,C163:H163),"")</f>
        <v/>
      </c>
      <c r="N163" s="7">
        <f>IFERROR(IF(M163="","",IF(M163&lt;=N163,"停组🛑","继续✓")),"")</f>
        <v/>
      </c>
      <c r="O163" s="7">
        <f>IFERROR(IF(M163="","",IF(M163&lt;0.15,"SAFETY_STOP","")),"")</f>
        <v/>
      </c>
      <c r="P163" s="7">
        <f>IFERROR(IF(M163="","",IF(M163&lt;0.15,"SAFETY_STOP",IF(M163&lt;=N163,"VL_THRESHOLD",""))),"")</f>
        <v/>
      </c>
      <c r="Q163" s="7">
        <f>IFERROR(IF(I163="","",IF(I163&gt;(0.55+0.05),"+5kg",IF(I163&gt;(0.55+0.02),"+2.5kg",IF(I163&gt;=(0.55-0.05),"保持",IF(I163&gt;=(0.55-0.08),"-2.5kg","-5kg"))))),"")</f>
        <v/>
      </c>
      <c r="R163" s="9" t="n"/>
    </row>
    <row r="164">
      <c r="A164" s="7" t="n">
        <v>6</v>
      </c>
      <c r="B164" s="9" t="n"/>
      <c r="C164" s="9" t="n"/>
      <c r="D164" s="9" t="n"/>
      <c r="E164" s="9" t="n"/>
      <c r="F164" s="9" t="n"/>
      <c r="G164" s="9" t="n"/>
      <c r="H164" s="9" t="n"/>
      <c r="I164" s="7">
        <f>IFERROR(MAX(C164:H164),"")</f>
        <v/>
      </c>
      <c r="J164" s="7">
        <f>IFERROR(MATCH(I164,C164:H164,0),"")</f>
        <v/>
      </c>
      <c r="K164" s="7" t="n">
        <v>15</v>
      </c>
      <c r="L164" s="7">
        <f>IFERROR(I164*(1-(K164/100)),"")</f>
        <v/>
      </c>
      <c r="M164" s="7">
        <f>IFERROR(LOOKUP(9.99E+307,C164:H164),"")</f>
        <v/>
      </c>
      <c r="N164" s="7">
        <f>IFERROR(IF(M164="","",IF(M164&lt;=N164,"停组🛑","继续✓")),"")</f>
        <v/>
      </c>
      <c r="O164" s="7">
        <f>IFERROR(IF(M164="","",IF(M164&lt;0.15,"SAFETY_STOP","")),"")</f>
        <v/>
      </c>
      <c r="P164" s="7">
        <f>IFERROR(IF(M164="","",IF(M164&lt;0.15,"SAFETY_STOP",IF(M164&lt;=N164,"VL_THRESHOLD",""))),"")</f>
        <v/>
      </c>
      <c r="Q164" s="7">
        <f>IFERROR(IF(I164="","",IF(I164&gt;(0.55+0.05),"+5kg",IF(I164&gt;(0.55+0.02),"+2.5kg",IF(I164&gt;=(0.55-0.05),"保持",IF(I164&gt;=(0.55-0.08),"-2.5kg","-5kg"))))),"")</f>
        <v/>
      </c>
      <c r="R164" s="9" t="n"/>
    </row>
    <row r="165">
      <c r="A165" s="13" t="inlineStr">
        <is>
          <t>辅助</t>
        </is>
      </c>
      <c r="D165" s="14" t="inlineStr">
        <is>
          <t>RDL</t>
        </is>
      </c>
      <c r="E165" s="14" t="inlineStr">
        <is>
          <t>负荷</t>
        </is>
      </c>
      <c r="F165" s="14" t="inlineStr">
        <is>
          <t>完成</t>
        </is>
      </c>
      <c r="I165" t="inlineStr">
        <is>
          <t>VL</t>
        </is>
      </c>
    </row>
    <row r="166">
      <c r="A166" s="15" t="inlineStr">
        <is>
          <t>训练后</t>
        </is>
      </c>
      <c r="B166" s="15" t="inlineStr">
        <is>
          <t>开始</t>
        </is>
      </c>
      <c r="C166" s="15" t="inlineStr">
        <is>
          <t>结束</t>
        </is>
      </c>
      <c r="D166" s="15" t="inlineStr">
        <is>
          <t>时长min</t>
        </is>
      </c>
      <c r="E166" s="15" t="inlineStr">
        <is>
          <t>sRPE</t>
        </is>
      </c>
      <c r="F166" s="15" t="inlineStr">
        <is>
          <t>load</t>
        </is>
      </c>
      <c r="G166" s="15" t="inlineStr">
        <is>
          <t>不适?</t>
        </is>
      </c>
      <c r="H166" s="15" t="inlineStr">
        <is>
          <t>备注</t>
        </is>
      </c>
      <c r="I166" s="15" t="inlineStr">
        <is>
          <t>签名</t>
        </is>
      </c>
    </row>
    <row r="167">
      <c r="A167" s="7" t="n"/>
      <c r="B167" s="9" t="n"/>
      <c r="C167" s="9" t="n"/>
      <c r="D167" s="11">
        <f>IFERROR((C167-B167)*1440,"")</f>
        <v/>
      </c>
      <c r="E167" s="9" t="n"/>
      <c r="F167" s="11">
        <f>IFERROR(E167*D167,"")</f>
        <v/>
      </c>
      <c r="G167" s="9" t="n"/>
      <c r="H167" s="9" t="n"/>
      <c r="I167" s="9" t="n"/>
    </row>
    <row r="168">
      <c r="A168" s="16" t="inlineStr">
        <is>
          <t>跳跃</t>
        </is>
      </c>
      <c r="B168" s="16" t="inlineStr">
        <is>
          <t>类型</t>
        </is>
      </c>
      <c r="C168" s="16" t="inlineStr">
        <is>
          <t>组×次</t>
        </is>
      </c>
      <c r="D168" s="16" t="inlineStr">
        <is>
          <t>负荷kg</t>
        </is>
      </c>
      <c r="E168" s="16" t="inlineStr">
        <is>
          <t>接触</t>
        </is>
      </c>
    </row>
    <row r="169">
      <c r="B169" t="inlineStr">
        <is>
          <t>CMJ</t>
        </is>
      </c>
      <c r="C169" t="inlineStr">
        <is>
          <t>3×3</t>
        </is>
      </c>
      <c r="D169" t="n">
        <v>0</v>
      </c>
      <c r="E169" t="n">
        <v>9</v>
      </c>
    </row>
    <row r="170">
      <c r="B170" t="inlineStr">
        <is>
          <t>箱跳</t>
        </is>
      </c>
      <c r="C170" t="inlineStr">
        <is>
          <t>1×3</t>
        </is>
      </c>
      <c r="D170" t="n">
        <v>0</v>
      </c>
      <c r="E170" t="n">
        <v>3</v>
      </c>
    </row>
    <row r="171">
      <c r="A171" s="17" t="inlineStr">
        <is>
          <t>▶ 暴露量汇总</t>
        </is>
      </c>
      <c r="B171" s="17" t="inlineStr">
        <is>
          <t>说明</t>
        </is>
      </c>
      <c r="C171" s="17" t="inlineStr">
        <is>
          <t>公式/来源</t>
        </is>
      </c>
      <c r="D171" s="17" t="inlineStr">
        <is>
          <t>数值</t>
        </is>
      </c>
    </row>
    <row r="172">
      <c r="A172" s="18" t="inlineStr">
        <is>
          <t>① 无负荷跳跃接触</t>
        </is>
      </c>
      <c r="B172" s="18" t="inlineStr">
        <is>
          <t>CMJ+SJ+箱跳</t>
        </is>
      </c>
      <c r="C172" s="19">
        <f>IFERROR(E169+E170,2)</f>
        <v/>
      </c>
    </row>
    <row r="173">
      <c r="A173" s="18" t="inlineStr">
        <is>
          <t>② 负重跳跃接触</t>
        </is>
      </c>
      <c r="B173" s="18" t="inlineStr">
        <is>
          <t>负重深蹲跳</t>
        </is>
      </c>
      <c r="C173" s="19">
        <f>IFERROR(E169,"")</f>
        <v/>
      </c>
    </row>
    <row r="174">
      <c r="A174" s="18" t="inlineStr">
        <is>
          <t>③ 跳跃总计</t>
        </is>
      </c>
      <c r="B174" s="18" t="inlineStr">
        <is>
          <t>①+②</t>
        </is>
      </c>
      <c r="C174" s="19">
        <f>IFERROR(B172+B173,"")</f>
        <v/>
      </c>
    </row>
    <row r="175">
      <c r="A175" s="18" t="inlineStr">
        <is>
          <t>④ 热身VL</t>
        </is>
      </c>
      <c r="B175" s="18" t="inlineStr">
        <is>
          <t>20×5+50%×3(+70%×2)</t>
        </is>
      </c>
      <c r="C175" s="19">
        <f>IFERROR(20*5+ROUND(V155*0.5,0)*3+ROUND(V{dr}*0.7,0)*2,"-")</f>
        <v/>
      </c>
    </row>
    <row r="176">
      <c r="A176" s="20" t="inlineStr">
        <is>
          <t>⑤ 主项工作组VL ★</t>
        </is>
      </c>
      <c r="B176" s="20" t="inlineStr">
        <is>
          <t>Σ(负荷×次数)</t>
        </is>
      </c>
      <c r="C176" s="21">
        <f>SUMPRODUCT($B$159:$B$164,$R$159:$R$164)</f>
        <v/>
      </c>
    </row>
    <row r="177">
      <c r="A177" s="18" t="inlineStr">
        <is>
          <t>⑥ 主项总VL</t>
        </is>
      </c>
      <c r="B177" s="18" t="inlineStr">
        <is>
          <t>④+⑤</t>
        </is>
      </c>
      <c r="C177" s="19">
        <f>IFERROR(D172+D173,"")</f>
        <v/>
      </c>
    </row>
    <row r="178">
      <c r="A178" s="18" t="inlineStr">
        <is>
          <t>⑦ 辅助VL</t>
        </is>
      </c>
      <c r="B178" s="18" t="inlineStr">
        <is>
          <t>RDL/保加利亚</t>
        </is>
      </c>
      <c r="C178" s="19">
        <f>IFERROR(I165,"")</f>
        <v/>
      </c>
    </row>
    <row r="179">
      <c r="A179" s="18" t="inlineStr">
        <is>
          <t>⑧ 总外部负荷</t>
        </is>
      </c>
      <c r="B179" s="18" t="inlineStr">
        <is>
          <t>⑥+⑦(+负重跳)</t>
        </is>
      </c>
      <c r="C179" s="19">
        <f>IFERROR(F172+G172,"")</f>
        <v/>
      </c>
    </row>
    <row r="180">
      <c r="A180" s="18" t="inlineStr">
        <is>
          <t>⑨ sRPE load</t>
        </is>
      </c>
      <c r="B180" s="18" t="inlineStr">
        <is>
          <t>sRPE×时长</t>
        </is>
      </c>
      <c r="C180" s="19">
        <f>IFERROR(F167,"")</f>
        <v/>
      </c>
    </row>
    <row r="183">
      <c r="A183" s="5" t="inlineStr">
        <is>
          <t>P016 杜遥  a=1.54 b=-0.0085 1RM=135</t>
        </is>
      </c>
    </row>
    <row r="184">
      <c r="A184" s="6" t="inlineStr">
        <is>
          <t>编号</t>
        </is>
      </c>
      <c r="B184" s="6" t="inlineStr">
        <is>
          <t>姓名</t>
        </is>
      </c>
      <c r="C184" s="6" t="inlineStr">
        <is>
          <t>身高</t>
        </is>
      </c>
      <c r="D184" s="6" t="inlineStr">
        <is>
          <t>1RM</t>
        </is>
      </c>
      <c r="E184" s="6" t="inlineStr">
        <is>
          <t>Hooper睡</t>
        </is>
      </c>
      <c r="F184" s="6" t="inlineStr">
        <is>
          <t>Hooper压</t>
        </is>
      </c>
      <c r="G184" s="6" t="inlineStr">
        <is>
          <t>Hooper疲</t>
        </is>
      </c>
      <c r="H184" s="6" t="inlineStr">
        <is>
          <t>Hooper酸</t>
        </is>
      </c>
      <c r="I184" s="6" t="inlineStr">
        <is>
          <t>H总</t>
        </is>
      </c>
      <c r="J184" s="6" t="inlineStr">
        <is>
          <t>不适?</t>
        </is>
      </c>
      <c r="K184" s="6" t="inlineStr">
        <is>
          <t>说明</t>
        </is>
      </c>
      <c r="L184" s="6" t="inlineStr">
        <is>
          <t>CMJ1</t>
        </is>
      </c>
      <c r="M184" s="6" t="inlineStr">
        <is>
          <t>CMJ2</t>
        </is>
      </c>
      <c r="N184" s="6" t="inlineStr">
        <is>
          <t>CMJ3</t>
        </is>
      </c>
      <c r="O184" s="6" t="inlineStr">
        <is>
          <t>CMJμ</t>
        </is>
      </c>
      <c r="P184" s="6" t="inlineStr">
        <is>
          <t>&lt;95%</t>
        </is>
      </c>
      <c r="Q184" s="6" t="inlineStr">
        <is>
          <t>减组</t>
        </is>
      </c>
      <c r="R184" s="6" t="inlineStr">
        <is>
          <t>组数</t>
        </is>
      </c>
      <c r="S184" s="6" t="inlineStr">
        <is>
          <t>a(V0)</t>
        </is>
      </c>
      <c r="T184" s="6" t="inlineStr">
        <is>
          <t>b</t>
        </is>
      </c>
      <c r="U184" s="6" t="inlineStr">
        <is>
          <t>等级</t>
        </is>
      </c>
      <c r="V184" s="6" t="inlineStr">
        <is>
          <t>预测起始</t>
        </is>
      </c>
    </row>
    <row r="185">
      <c r="A185" s="7" t="inlineStr">
        <is>
          <t>P016</t>
        </is>
      </c>
      <c r="B185" s="7" t="inlineStr">
        <is>
          <t>杜遥</t>
        </is>
      </c>
      <c r="C185" s="7" t="n">
        <v>180</v>
      </c>
      <c r="D185" s="8" t="n">
        <v>135</v>
      </c>
      <c r="E185" s="9" t="n"/>
      <c r="F185" s="9" t="n"/>
      <c r="G185" s="9" t="n"/>
      <c r="H185" s="9" t="n"/>
      <c r="I185" s="7">
        <f>IFERROR(SUM(E185:H185),"")</f>
        <v/>
      </c>
      <c r="J185" s="9" t="n"/>
      <c r="K185" s="9" t="n"/>
      <c r="L185" s="9" t="n"/>
      <c r="M185" s="9" t="n"/>
      <c r="N185" s="9" t="n"/>
      <c r="O185" s="7">
        <f>IFERROR(AVERAGE(L185:N185),"")</f>
        <v/>
      </c>
      <c r="P185" s="7">
        <f>IF(O185="","",IF(O185&lt;49.75,"是⚠","否"))</f>
        <v/>
      </c>
      <c r="Q185" s="7">
        <f>IF(O185="","",IF(O185&lt;49.75,3-1,3))</f>
        <v/>
      </c>
      <c r="R185" s="7" t="n"/>
      <c r="S185" s="8" t="n">
        <v>1.54</v>
      </c>
      <c r="T185" s="8" t="n">
        <v>-0.008500000000000001</v>
      </c>
      <c r="U185" s="7" t="inlineStr">
        <is>
          <t>B</t>
        </is>
      </c>
      <c r="V185" s="8" t="n">
        <v>117.5</v>
      </c>
    </row>
    <row r="186">
      <c r="A186" s="10" t="inlineStr">
        <is>
          <t>热身校准</t>
        </is>
      </c>
      <c r="B186" s="10" t="inlineStr">
        <is>
          <t>a</t>
        </is>
      </c>
      <c r="C186" s="10" t="inlineStr">
        <is>
          <t>b</t>
        </is>
      </c>
      <c r="D186" s="10" t="inlineStr">
        <is>
          <t>50%热身</t>
        </is>
      </c>
      <c r="E186" s="10" t="inlineStr">
        <is>
          <t>70%热身</t>
        </is>
      </c>
      <c r="F186" s="10" t="inlineStr">
        <is>
          <t>热身负荷</t>
        </is>
      </c>
      <c r="G186" s="10" t="inlineStr">
        <is>
          <t>实测MCV</t>
        </is>
      </c>
      <c r="H186" s="10" t="inlineStr">
        <is>
          <t>预测MCV</t>
        </is>
      </c>
      <c r="I186" s="10" t="inlineStr">
        <is>
          <t>Δv</t>
        </is>
      </c>
      <c r="J186" s="10" t="inlineStr">
        <is>
          <t>调整量</t>
        </is>
      </c>
      <c r="K186" s="10" t="inlineStr">
        <is>
          <t>校准第1组</t>
        </is>
      </c>
    </row>
    <row r="187">
      <c r="A187" s="7" t="n"/>
      <c r="B187" s="11" t="n">
        <v>1.54</v>
      </c>
      <c r="C187" s="11" t="n">
        <v>-0.008500000000000001</v>
      </c>
      <c r="D187" s="11">
        <f>IFERROR(ROUND(V185*0.5/2.5,0)*2.5,"")</f>
        <v/>
      </c>
      <c r="E187" s="11">
        <f>IFERROR(ROUND(V185*0.7/2.5,0)*2.5,"")</f>
        <v/>
      </c>
      <c r="F187" s="11">
        <f>IFERROR(ROUND(V185*0.6/2.5,0)*2.5,"")</f>
        <v/>
      </c>
      <c r="G187" s="9" t="n"/>
      <c r="H187" s="11">
        <f>IFERROR(B187+C187*F187,"")</f>
        <v/>
      </c>
      <c r="I187" s="11">
        <f>IFERROR(G187-H187,"")</f>
        <v/>
      </c>
      <c r="J187" s="11">
        <f>IFERROR(IF(I187&gt;0.08,5,IF(I187&gt;0.04,2.5,IF(I187&gt;=-0.04,0,IF(I187&gt;=-0.08,-2.5,-5)))),"")</f>
        <v/>
      </c>
      <c r="K187" s="11">
        <f>IFERROR(ROUND(V185+J187,0),"")</f>
        <v/>
      </c>
    </row>
    <row r="188">
      <c r="A188" s="12" t="inlineStr">
        <is>
          <t>组</t>
        </is>
      </c>
      <c r="B188" s="12" t="inlineStr">
        <is>
          <t>负荷</t>
        </is>
      </c>
      <c r="C188" s="12" t="inlineStr">
        <is>
          <t>rep1</t>
        </is>
      </c>
      <c r="D188" s="12" t="inlineStr">
        <is>
          <t>rep2</t>
        </is>
      </c>
      <c r="E188" s="12" t="inlineStr">
        <is>
          <t>rep3</t>
        </is>
      </c>
      <c r="F188" s="12" t="inlineStr">
        <is>
          <t>rep4</t>
        </is>
      </c>
      <c r="G188" s="12" t="inlineStr">
        <is>
          <t>rep5</t>
        </is>
      </c>
      <c r="H188" s="12" t="inlineStr">
        <is>
          <t>rep6</t>
        </is>
      </c>
      <c r="I188" s="12" t="inlineStr">
        <is>
          <t>best</t>
        </is>
      </c>
      <c r="J188" s="12" t="inlineStr">
        <is>
          <t>best#</t>
        </is>
      </c>
      <c r="K188" s="12" t="inlineStr">
        <is>
          <t>VL%</t>
        </is>
      </c>
      <c r="L188" s="12" t="inlineStr">
        <is>
          <t>stop_th</t>
        </is>
      </c>
      <c r="M188" s="12" t="inlineStr">
        <is>
          <t>latest</t>
        </is>
      </c>
      <c r="N188" s="12" t="inlineStr">
        <is>
          <t>VL_flag</t>
        </is>
      </c>
      <c r="O188" s="12" t="inlineStr">
        <is>
          <t>safety</t>
        </is>
      </c>
      <c r="P188" s="12" t="inlineStr">
        <is>
          <t>原因</t>
        </is>
      </c>
      <c r="Q188" s="12" t="inlineStr">
        <is>
          <t>建议</t>
        </is>
      </c>
      <c r="R188" s="12" t="inlineStr">
        <is>
          <t>次数</t>
        </is>
      </c>
    </row>
    <row r="189">
      <c r="A189" s="7" t="n">
        <v>1</v>
      </c>
      <c r="B189" s="9">
        <f>IFERROR(K187,"")</f>
        <v/>
      </c>
      <c r="C189" s="9" t="n"/>
      <c r="D189" s="9" t="n"/>
      <c r="E189" s="9" t="n"/>
      <c r="F189" s="9" t="n"/>
      <c r="G189" s="9" t="n"/>
      <c r="H189" s="9" t="n"/>
      <c r="I189" s="7">
        <f>IFERROR(MAX(C189:H189),"")</f>
        <v/>
      </c>
      <c r="J189" s="7">
        <f>IFERROR(MATCH(I189,C189:H189,0),"")</f>
        <v/>
      </c>
      <c r="K189" s="7" t="n">
        <v>15</v>
      </c>
      <c r="L189" s="7">
        <f>IFERROR(I189*(1-(K189/100)),"")</f>
        <v/>
      </c>
      <c r="M189" s="7">
        <f>IFERROR(LOOKUP(9.99E+307,C189:H189),"")</f>
        <v/>
      </c>
      <c r="N189" s="7">
        <f>IFERROR(IF(M189="","",IF(M189&lt;=N189,"停组🛑","继续✓")),"")</f>
        <v/>
      </c>
      <c r="O189" s="7">
        <f>IFERROR(IF(M189="","",IF(M189&lt;0.15,"SAFETY_STOP","")),"")</f>
        <v/>
      </c>
      <c r="P189" s="7">
        <f>IFERROR(IF(M189="","",IF(M189&lt;0.15,"SAFETY_STOP",IF(M189&lt;=N189,"VL_THRESHOLD",""))),"")</f>
        <v/>
      </c>
      <c r="Q189" s="7">
        <f>IFERROR(IF(I189="","",IF(I189&gt;(0.55+0.05),"+5kg",IF(I189&gt;(0.55+0.02),"+2.5kg",IF(I189&gt;=(0.55-0.05),"保持",IF(I189&gt;=(0.55-0.08),"-2.5kg","-5kg"))))),"")</f>
        <v/>
      </c>
      <c r="R189" s="9" t="n"/>
    </row>
    <row r="190">
      <c r="A190" s="7" t="n">
        <v>2</v>
      </c>
      <c r="B190" s="9" t="n"/>
      <c r="C190" s="9" t="n"/>
      <c r="D190" s="9" t="n"/>
      <c r="E190" s="9" t="n"/>
      <c r="F190" s="9" t="n"/>
      <c r="G190" s="9" t="n"/>
      <c r="H190" s="9" t="n"/>
      <c r="I190" s="7">
        <f>IFERROR(MAX(C190:H190),"")</f>
        <v/>
      </c>
      <c r="J190" s="7">
        <f>IFERROR(MATCH(I190,C190:H190,0),"")</f>
        <v/>
      </c>
      <c r="K190" s="7" t="n">
        <v>15</v>
      </c>
      <c r="L190" s="7">
        <f>IFERROR(I190*(1-(K190/100)),"")</f>
        <v/>
      </c>
      <c r="M190" s="7">
        <f>IFERROR(LOOKUP(9.99E+307,C190:H190),"")</f>
        <v/>
      </c>
      <c r="N190" s="7">
        <f>IFERROR(IF(M190="","",IF(M190&lt;=N190,"停组🛑","继续✓")),"")</f>
        <v/>
      </c>
      <c r="O190" s="7">
        <f>IFERROR(IF(M190="","",IF(M190&lt;0.15,"SAFETY_STOP","")),"")</f>
        <v/>
      </c>
      <c r="P190" s="7">
        <f>IFERROR(IF(M190="","",IF(M190&lt;0.15,"SAFETY_STOP",IF(M190&lt;=N190,"VL_THRESHOLD",""))),"")</f>
        <v/>
      </c>
      <c r="Q190" s="7">
        <f>IFERROR(IF(I190="","",IF(I190&gt;(0.55+0.05),"+5kg",IF(I190&gt;(0.55+0.02),"+2.5kg",IF(I190&gt;=(0.55-0.05),"保持",IF(I190&gt;=(0.55-0.08),"-2.5kg","-5kg"))))),"")</f>
        <v/>
      </c>
      <c r="R190" s="9" t="n"/>
    </row>
    <row r="191">
      <c r="A191" s="7" t="n">
        <v>3</v>
      </c>
      <c r="B191" s="9" t="n"/>
      <c r="C191" s="9" t="n"/>
      <c r="D191" s="9" t="n"/>
      <c r="E191" s="9" t="n"/>
      <c r="F191" s="9" t="n"/>
      <c r="G191" s="9" t="n"/>
      <c r="H191" s="9" t="n"/>
      <c r="I191" s="7">
        <f>IFERROR(MAX(C191:H191),"")</f>
        <v/>
      </c>
      <c r="J191" s="7">
        <f>IFERROR(MATCH(I191,C191:H191,0),"")</f>
        <v/>
      </c>
      <c r="K191" s="7" t="n">
        <v>15</v>
      </c>
      <c r="L191" s="7">
        <f>IFERROR(I191*(1-(K191/100)),"")</f>
        <v/>
      </c>
      <c r="M191" s="7">
        <f>IFERROR(LOOKUP(9.99E+307,C191:H191),"")</f>
        <v/>
      </c>
      <c r="N191" s="7">
        <f>IFERROR(IF(M191="","",IF(M191&lt;=N191,"停组🛑","继续✓")),"")</f>
        <v/>
      </c>
      <c r="O191" s="7">
        <f>IFERROR(IF(M191="","",IF(M191&lt;0.15,"SAFETY_STOP","")),"")</f>
        <v/>
      </c>
      <c r="P191" s="7">
        <f>IFERROR(IF(M191="","",IF(M191&lt;0.15,"SAFETY_STOP",IF(M191&lt;=N191,"VL_THRESHOLD",""))),"")</f>
        <v/>
      </c>
      <c r="Q191" s="7">
        <f>IFERROR(IF(I191="","",IF(I191&gt;(0.55+0.05),"+5kg",IF(I191&gt;(0.55+0.02),"+2.5kg",IF(I191&gt;=(0.55-0.05),"保持",IF(I191&gt;=(0.55-0.08),"-2.5kg","-5kg"))))),"")</f>
        <v/>
      </c>
      <c r="R191" s="9" t="n"/>
    </row>
    <row r="192">
      <c r="A192" s="7" t="n">
        <v>4</v>
      </c>
      <c r="B192" s="9" t="n"/>
      <c r="C192" s="9" t="n"/>
      <c r="D192" s="9" t="n"/>
      <c r="E192" s="9" t="n"/>
      <c r="F192" s="9" t="n"/>
      <c r="G192" s="9" t="n"/>
      <c r="H192" s="9" t="n"/>
      <c r="I192" s="7">
        <f>IFERROR(MAX(C192:H192),"")</f>
        <v/>
      </c>
      <c r="J192" s="7">
        <f>IFERROR(MATCH(I192,C192:H192,0),"")</f>
        <v/>
      </c>
      <c r="K192" s="7" t="n">
        <v>15</v>
      </c>
      <c r="L192" s="7">
        <f>IFERROR(I192*(1-(K192/100)),"")</f>
        <v/>
      </c>
      <c r="M192" s="7">
        <f>IFERROR(LOOKUP(9.99E+307,C192:H192),"")</f>
        <v/>
      </c>
      <c r="N192" s="7">
        <f>IFERROR(IF(M192="","",IF(M192&lt;=N192,"停组🛑","继续✓")),"")</f>
        <v/>
      </c>
      <c r="O192" s="7">
        <f>IFERROR(IF(M192="","",IF(M192&lt;0.15,"SAFETY_STOP","")),"")</f>
        <v/>
      </c>
      <c r="P192" s="7">
        <f>IFERROR(IF(M192="","",IF(M192&lt;0.15,"SAFETY_STOP",IF(M192&lt;=N192,"VL_THRESHOLD",""))),"")</f>
        <v/>
      </c>
      <c r="Q192" s="7">
        <f>IFERROR(IF(I192="","",IF(I192&gt;(0.55+0.05),"+5kg",IF(I192&gt;(0.55+0.02),"+2.5kg",IF(I192&gt;=(0.55-0.05),"保持",IF(I192&gt;=(0.55-0.08),"-2.5kg","-5kg"))))),"")</f>
        <v/>
      </c>
      <c r="R192" s="9" t="n"/>
    </row>
    <row r="193">
      <c r="A193" s="7" t="n">
        <v>5</v>
      </c>
      <c r="B193" s="9" t="n"/>
      <c r="C193" s="9" t="n"/>
      <c r="D193" s="9" t="n"/>
      <c r="E193" s="9" t="n"/>
      <c r="F193" s="9" t="n"/>
      <c r="G193" s="9" t="n"/>
      <c r="H193" s="9" t="n"/>
      <c r="I193" s="7">
        <f>IFERROR(MAX(C193:H193),"")</f>
        <v/>
      </c>
      <c r="J193" s="7">
        <f>IFERROR(MATCH(I193,C193:H193,0),"")</f>
        <v/>
      </c>
      <c r="K193" s="7" t="n">
        <v>15</v>
      </c>
      <c r="L193" s="7">
        <f>IFERROR(I193*(1-(K193/100)),"")</f>
        <v/>
      </c>
      <c r="M193" s="7">
        <f>IFERROR(LOOKUP(9.99E+307,C193:H193),"")</f>
        <v/>
      </c>
      <c r="N193" s="7">
        <f>IFERROR(IF(M193="","",IF(M193&lt;=N193,"停组🛑","继续✓")),"")</f>
        <v/>
      </c>
      <c r="O193" s="7">
        <f>IFERROR(IF(M193="","",IF(M193&lt;0.15,"SAFETY_STOP","")),"")</f>
        <v/>
      </c>
      <c r="P193" s="7">
        <f>IFERROR(IF(M193="","",IF(M193&lt;0.15,"SAFETY_STOP",IF(M193&lt;=N193,"VL_THRESHOLD",""))),"")</f>
        <v/>
      </c>
      <c r="Q193" s="7">
        <f>IFERROR(IF(I193="","",IF(I193&gt;(0.55+0.05),"+5kg",IF(I193&gt;(0.55+0.02),"+2.5kg",IF(I193&gt;=(0.55-0.05),"保持",IF(I193&gt;=(0.55-0.08),"-2.5kg","-5kg"))))),"")</f>
        <v/>
      </c>
      <c r="R193" s="9" t="n"/>
    </row>
    <row r="194">
      <c r="A194" s="7" t="n">
        <v>6</v>
      </c>
      <c r="B194" s="9" t="n"/>
      <c r="C194" s="9" t="n"/>
      <c r="D194" s="9" t="n"/>
      <c r="E194" s="9" t="n"/>
      <c r="F194" s="9" t="n"/>
      <c r="G194" s="9" t="n"/>
      <c r="H194" s="9" t="n"/>
      <c r="I194" s="7">
        <f>IFERROR(MAX(C194:H194),"")</f>
        <v/>
      </c>
      <c r="J194" s="7">
        <f>IFERROR(MATCH(I194,C194:H194,0),"")</f>
        <v/>
      </c>
      <c r="K194" s="7" t="n">
        <v>15</v>
      </c>
      <c r="L194" s="7">
        <f>IFERROR(I194*(1-(K194/100)),"")</f>
        <v/>
      </c>
      <c r="M194" s="7">
        <f>IFERROR(LOOKUP(9.99E+307,C194:H194),"")</f>
        <v/>
      </c>
      <c r="N194" s="7">
        <f>IFERROR(IF(M194="","",IF(M194&lt;=N194,"停组🛑","继续✓")),"")</f>
        <v/>
      </c>
      <c r="O194" s="7">
        <f>IFERROR(IF(M194="","",IF(M194&lt;0.15,"SAFETY_STOP","")),"")</f>
        <v/>
      </c>
      <c r="P194" s="7">
        <f>IFERROR(IF(M194="","",IF(M194&lt;0.15,"SAFETY_STOP",IF(M194&lt;=N194,"VL_THRESHOLD",""))),"")</f>
        <v/>
      </c>
      <c r="Q194" s="7">
        <f>IFERROR(IF(I194="","",IF(I194&gt;(0.55+0.05),"+5kg",IF(I194&gt;(0.55+0.02),"+2.5kg",IF(I194&gt;=(0.55-0.05),"保持",IF(I194&gt;=(0.55-0.08),"-2.5kg","-5kg"))))),"")</f>
        <v/>
      </c>
      <c r="R194" s="9" t="n"/>
    </row>
    <row r="195">
      <c r="A195" s="13" t="inlineStr">
        <is>
          <t>辅助</t>
        </is>
      </c>
      <c r="D195" s="14" t="inlineStr">
        <is>
          <t>RDL</t>
        </is>
      </c>
      <c r="E195" s="14" t="inlineStr">
        <is>
          <t>负荷</t>
        </is>
      </c>
      <c r="F195" s="14" t="inlineStr">
        <is>
          <t>完成</t>
        </is>
      </c>
      <c r="I195" t="inlineStr">
        <is>
          <t>VL</t>
        </is>
      </c>
    </row>
    <row r="196">
      <c r="A196" s="15" t="inlineStr">
        <is>
          <t>训练后</t>
        </is>
      </c>
      <c r="B196" s="15" t="inlineStr">
        <is>
          <t>开始</t>
        </is>
      </c>
      <c r="C196" s="15" t="inlineStr">
        <is>
          <t>结束</t>
        </is>
      </c>
      <c r="D196" s="15" t="inlineStr">
        <is>
          <t>时长min</t>
        </is>
      </c>
      <c r="E196" s="15" t="inlineStr">
        <is>
          <t>sRPE</t>
        </is>
      </c>
      <c r="F196" s="15" t="inlineStr">
        <is>
          <t>load</t>
        </is>
      </c>
      <c r="G196" s="15" t="inlineStr">
        <is>
          <t>不适?</t>
        </is>
      </c>
      <c r="H196" s="15" t="inlineStr">
        <is>
          <t>备注</t>
        </is>
      </c>
      <c r="I196" s="15" t="inlineStr">
        <is>
          <t>签名</t>
        </is>
      </c>
    </row>
    <row r="197">
      <c r="A197" s="7" t="n"/>
      <c r="B197" s="9" t="n"/>
      <c r="C197" s="9" t="n"/>
      <c r="D197" s="11">
        <f>IFERROR((C197-B197)*1440,"")</f>
        <v/>
      </c>
      <c r="E197" s="9" t="n"/>
      <c r="F197" s="11">
        <f>IFERROR(E197*D197,"")</f>
        <v/>
      </c>
      <c r="G197" s="9" t="n"/>
      <c r="H197" s="9" t="n"/>
      <c r="I197" s="9" t="n"/>
    </row>
    <row r="198">
      <c r="A198" s="16" t="inlineStr">
        <is>
          <t>跳跃</t>
        </is>
      </c>
      <c r="B198" s="16" t="inlineStr">
        <is>
          <t>类型</t>
        </is>
      </c>
      <c r="C198" s="16" t="inlineStr">
        <is>
          <t>组×次</t>
        </is>
      </c>
      <c r="D198" s="16" t="inlineStr">
        <is>
          <t>负荷kg</t>
        </is>
      </c>
      <c r="E198" s="16" t="inlineStr">
        <is>
          <t>接触</t>
        </is>
      </c>
    </row>
    <row r="199">
      <c r="B199" t="inlineStr">
        <is>
          <t>CMJ</t>
        </is>
      </c>
      <c r="C199" t="inlineStr">
        <is>
          <t>3×3</t>
        </is>
      </c>
      <c r="D199" t="n">
        <v>0</v>
      </c>
      <c r="E199" t="n">
        <v>9</v>
      </c>
    </row>
    <row r="200">
      <c r="B200" t="inlineStr">
        <is>
          <t>箱跳</t>
        </is>
      </c>
      <c r="C200" t="inlineStr">
        <is>
          <t>1×3</t>
        </is>
      </c>
      <c r="D200" t="n">
        <v>0</v>
      </c>
      <c r="E200" t="n">
        <v>3</v>
      </c>
    </row>
    <row r="201">
      <c r="A201" s="17" t="inlineStr">
        <is>
          <t>▶ 暴露量汇总</t>
        </is>
      </c>
      <c r="B201" s="17" t="inlineStr">
        <is>
          <t>说明</t>
        </is>
      </c>
      <c r="C201" s="17" t="inlineStr">
        <is>
          <t>公式/来源</t>
        </is>
      </c>
      <c r="D201" s="17" t="inlineStr">
        <is>
          <t>数值</t>
        </is>
      </c>
    </row>
    <row r="202">
      <c r="A202" s="18" t="inlineStr">
        <is>
          <t>① 无负荷跳跃接触</t>
        </is>
      </c>
      <c r="B202" s="18" t="inlineStr">
        <is>
          <t>CMJ+SJ+箱跳</t>
        </is>
      </c>
      <c r="C202" s="19">
        <f>IFERROR(E199+E200,2)</f>
        <v/>
      </c>
    </row>
    <row r="203">
      <c r="A203" s="18" t="inlineStr">
        <is>
          <t>② 负重跳跃接触</t>
        </is>
      </c>
      <c r="B203" s="18" t="inlineStr">
        <is>
          <t>负重深蹲跳</t>
        </is>
      </c>
      <c r="C203" s="19">
        <f>IFERROR(E199,"")</f>
        <v/>
      </c>
    </row>
    <row r="204">
      <c r="A204" s="18" t="inlineStr">
        <is>
          <t>③ 跳跃总计</t>
        </is>
      </c>
      <c r="B204" s="18" t="inlineStr">
        <is>
          <t>①+②</t>
        </is>
      </c>
      <c r="C204" s="19">
        <f>IFERROR(B202+B203,"")</f>
        <v/>
      </c>
    </row>
    <row r="205">
      <c r="A205" s="18" t="inlineStr">
        <is>
          <t>④ 热身VL</t>
        </is>
      </c>
      <c r="B205" s="18" t="inlineStr">
        <is>
          <t>20×5+50%×3(+70%×2)</t>
        </is>
      </c>
      <c r="C205" s="19">
        <f>IFERROR(20*5+ROUND(V185*0.5,0)*3+ROUND(V{dr}*0.7,0)*2,"-")</f>
        <v/>
      </c>
    </row>
    <row r="206">
      <c r="A206" s="20" t="inlineStr">
        <is>
          <t>⑤ 主项工作组VL ★</t>
        </is>
      </c>
      <c r="B206" s="20" t="inlineStr">
        <is>
          <t>Σ(负荷×次数)</t>
        </is>
      </c>
      <c r="C206" s="21">
        <f>SUMPRODUCT($B$189:$B$194,$R$189:$R$194)</f>
        <v/>
      </c>
    </row>
    <row r="207">
      <c r="A207" s="18" t="inlineStr">
        <is>
          <t>⑥ 主项总VL</t>
        </is>
      </c>
      <c r="B207" s="18" t="inlineStr">
        <is>
          <t>④+⑤</t>
        </is>
      </c>
      <c r="C207" s="19">
        <f>IFERROR(D202+D203,"")</f>
        <v/>
      </c>
    </row>
    <row r="208">
      <c r="A208" s="18" t="inlineStr">
        <is>
          <t>⑦ 辅助VL</t>
        </is>
      </c>
      <c r="B208" s="18" t="inlineStr">
        <is>
          <t>RDL/保加利亚</t>
        </is>
      </c>
      <c r="C208" s="19">
        <f>IFERROR(I195,"")</f>
        <v/>
      </c>
    </row>
    <row r="209">
      <c r="A209" s="18" t="inlineStr">
        <is>
          <t>⑧ 总外部负荷</t>
        </is>
      </c>
      <c r="B209" s="18" t="inlineStr">
        <is>
          <t>⑥+⑦(+负重跳)</t>
        </is>
      </c>
      <c r="C209" s="19">
        <f>IFERROR(F202+G202,"")</f>
        <v/>
      </c>
    </row>
    <row r="210">
      <c r="A210" s="18" t="inlineStr">
        <is>
          <t>⑨ sRPE load</t>
        </is>
      </c>
      <c r="B210" s="18" t="inlineStr">
        <is>
          <t>sRPE×时长</t>
        </is>
      </c>
      <c r="C210" s="19">
        <f>IFERROR(F197,"")</f>
        <v/>
      </c>
    </row>
    <row r="213">
      <c r="A213" s="5" t="inlineStr">
        <is>
          <t>P025 范芳忠  a=1.77 b=-0.0105 1RM=135</t>
        </is>
      </c>
    </row>
    <row r="214">
      <c r="A214" s="6" t="inlineStr">
        <is>
          <t>编号</t>
        </is>
      </c>
      <c r="B214" s="6" t="inlineStr">
        <is>
          <t>姓名</t>
        </is>
      </c>
      <c r="C214" s="6" t="inlineStr">
        <is>
          <t>身高</t>
        </is>
      </c>
      <c r="D214" s="6" t="inlineStr">
        <is>
          <t>1RM</t>
        </is>
      </c>
      <c r="E214" s="6" t="inlineStr">
        <is>
          <t>Hooper睡</t>
        </is>
      </c>
      <c r="F214" s="6" t="inlineStr">
        <is>
          <t>Hooper压</t>
        </is>
      </c>
      <c r="G214" s="6" t="inlineStr">
        <is>
          <t>Hooper疲</t>
        </is>
      </c>
      <c r="H214" s="6" t="inlineStr">
        <is>
          <t>Hooper酸</t>
        </is>
      </c>
      <c r="I214" s="6" t="inlineStr">
        <is>
          <t>H总</t>
        </is>
      </c>
      <c r="J214" s="6" t="inlineStr">
        <is>
          <t>不适?</t>
        </is>
      </c>
      <c r="K214" s="6" t="inlineStr">
        <is>
          <t>说明</t>
        </is>
      </c>
      <c r="L214" s="6" t="inlineStr">
        <is>
          <t>CMJ1</t>
        </is>
      </c>
      <c r="M214" s="6" t="inlineStr">
        <is>
          <t>CMJ2</t>
        </is>
      </c>
      <c r="N214" s="6" t="inlineStr">
        <is>
          <t>CMJ3</t>
        </is>
      </c>
      <c r="O214" s="6" t="inlineStr">
        <is>
          <t>CMJμ</t>
        </is>
      </c>
      <c r="P214" s="6" t="inlineStr">
        <is>
          <t>&lt;95%</t>
        </is>
      </c>
      <c r="Q214" s="6" t="inlineStr">
        <is>
          <t>减组</t>
        </is>
      </c>
      <c r="R214" s="6" t="inlineStr">
        <is>
          <t>组数</t>
        </is>
      </c>
      <c r="S214" s="6" t="inlineStr">
        <is>
          <t>a(V0)</t>
        </is>
      </c>
      <c r="T214" s="6" t="inlineStr">
        <is>
          <t>b</t>
        </is>
      </c>
      <c r="U214" s="6" t="inlineStr">
        <is>
          <t>等级</t>
        </is>
      </c>
      <c r="V214" s="6" t="inlineStr">
        <is>
          <t>预测起始</t>
        </is>
      </c>
    </row>
    <row r="215">
      <c r="A215" s="7" t="inlineStr">
        <is>
          <t>P025</t>
        </is>
      </c>
      <c r="B215" s="7" t="inlineStr">
        <is>
          <t>范芳忠</t>
        </is>
      </c>
      <c r="C215" s="7" t="n">
        <v>178</v>
      </c>
      <c r="D215" s="8" t="n">
        <v>135</v>
      </c>
      <c r="E215" s="9" t="n"/>
      <c r="F215" s="9" t="n"/>
      <c r="G215" s="9" t="n"/>
      <c r="H215" s="9" t="n"/>
      <c r="I215" s="7">
        <f>IFERROR(SUM(E215:H215),"")</f>
        <v/>
      </c>
      <c r="J215" s="9" t="n"/>
      <c r="K215" s="9" t="n"/>
      <c r="L215" s="9" t="n"/>
      <c r="M215" s="9" t="n"/>
      <c r="N215" s="9" t="n"/>
      <c r="O215" s="7">
        <f>IFERROR(AVERAGE(L215:N215),"")</f>
        <v/>
      </c>
      <c r="P215" s="7">
        <f>IF(O215="","",IF(O215&lt;58.43,"是⚠","否"))</f>
        <v/>
      </c>
      <c r="Q215" s="7">
        <f>IF(O215="","",IF(O215&lt;58.43,3-1,3))</f>
        <v/>
      </c>
      <c r="R215" s="7" t="n"/>
      <c r="S215" s="8" t="n">
        <v>1.77</v>
      </c>
      <c r="T215" s="8" t="n">
        <v>-0.0105</v>
      </c>
      <c r="U215" s="7" t="inlineStr">
        <is>
          <t>A</t>
        </is>
      </c>
      <c r="V215" s="8" t="n">
        <v>115</v>
      </c>
    </row>
    <row r="216">
      <c r="A216" s="10" t="inlineStr">
        <is>
          <t>热身校准</t>
        </is>
      </c>
      <c r="B216" s="10" t="inlineStr">
        <is>
          <t>a</t>
        </is>
      </c>
      <c r="C216" s="10" t="inlineStr">
        <is>
          <t>b</t>
        </is>
      </c>
      <c r="D216" s="10" t="inlineStr">
        <is>
          <t>50%热身</t>
        </is>
      </c>
      <c r="E216" s="10" t="inlineStr">
        <is>
          <t>70%热身</t>
        </is>
      </c>
      <c r="F216" s="10" t="inlineStr">
        <is>
          <t>热身负荷</t>
        </is>
      </c>
      <c r="G216" s="10" t="inlineStr">
        <is>
          <t>实测MCV</t>
        </is>
      </c>
      <c r="H216" s="10" t="inlineStr">
        <is>
          <t>预测MCV</t>
        </is>
      </c>
      <c r="I216" s="10" t="inlineStr">
        <is>
          <t>Δv</t>
        </is>
      </c>
      <c r="J216" s="10" t="inlineStr">
        <is>
          <t>调整量</t>
        </is>
      </c>
      <c r="K216" s="10" t="inlineStr">
        <is>
          <t>校准第1组</t>
        </is>
      </c>
    </row>
    <row r="217">
      <c r="A217" s="7" t="n"/>
      <c r="B217" s="11" t="n">
        <v>1.77</v>
      </c>
      <c r="C217" s="11" t="n">
        <v>-0.0105</v>
      </c>
      <c r="D217" s="11">
        <f>IFERROR(ROUND(V215*0.5/2.5,0)*2.5,"")</f>
        <v/>
      </c>
      <c r="E217" s="11">
        <f>IFERROR(ROUND(V215*0.7/2.5,0)*2.5,"")</f>
        <v/>
      </c>
      <c r="F217" s="11">
        <f>IFERROR(ROUND(V215*0.6/2.5,0)*2.5,"")</f>
        <v/>
      </c>
      <c r="G217" s="9" t="n"/>
      <c r="H217" s="11">
        <f>IFERROR(B217+C217*F217,"")</f>
        <v/>
      </c>
      <c r="I217" s="11">
        <f>IFERROR(G217-H217,"")</f>
        <v/>
      </c>
      <c r="J217" s="11">
        <f>IFERROR(IF(I217&gt;0.08,5,IF(I217&gt;0.04,2.5,IF(I217&gt;=-0.04,0,IF(I217&gt;=-0.08,-2.5,-5)))),"")</f>
        <v/>
      </c>
      <c r="K217" s="11">
        <f>IFERROR(ROUND(V215+J217,0),"")</f>
        <v/>
      </c>
    </row>
    <row r="218">
      <c r="A218" s="12" t="inlineStr">
        <is>
          <t>组</t>
        </is>
      </c>
      <c r="B218" s="12" t="inlineStr">
        <is>
          <t>负荷</t>
        </is>
      </c>
      <c r="C218" s="12" t="inlineStr">
        <is>
          <t>rep1</t>
        </is>
      </c>
      <c r="D218" s="12" t="inlineStr">
        <is>
          <t>rep2</t>
        </is>
      </c>
      <c r="E218" s="12" t="inlineStr">
        <is>
          <t>rep3</t>
        </is>
      </c>
      <c r="F218" s="12" t="inlineStr">
        <is>
          <t>rep4</t>
        </is>
      </c>
      <c r="G218" s="12" t="inlineStr">
        <is>
          <t>rep5</t>
        </is>
      </c>
      <c r="H218" s="12" t="inlineStr">
        <is>
          <t>rep6</t>
        </is>
      </c>
      <c r="I218" s="12" t="inlineStr">
        <is>
          <t>best</t>
        </is>
      </c>
      <c r="J218" s="12" t="inlineStr">
        <is>
          <t>best#</t>
        </is>
      </c>
      <c r="K218" s="12" t="inlineStr">
        <is>
          <t>VL%</t>
        </is>
      </c>
      <c r="L218" s="12" t="inlineStr">
        <is>
          <t>stop_th</t>
        </is>
      </c>
      <c r="M218" s="12" t="inlineStr">
        <is>
          <t>latest</t>
        </is>
      </c>
      <c r="N218" s="12" t="inlineStr">
        <is>
          <t>VL_flag</t>
        </is>
      </c>
      <c r="O218" s="12" t="inlineStr">
        <is>
          <t>safety</t>
        </is>
      </c>
      <c r="P218" s="12" t="inlineStr">
        <is>
          <t>原因</t>
        </is>
      </c>
      <c r="Q218" s="12" t="inlineStr">
        <is>
          <t>建议</t>
        </is>
      </c>
      <c r="R218" s="12" t="inlineStr">
        <is>
          <t>次数</t>
        </is>
      </c>
    </row>
    <row r="219">
      <c r="A219" s="7" t="n">
        <v>1</v>
      </c>
      <c r="B219" s="9">
        <f>IFERROR(K217,"")</f>
        <v/>
      </c>
      <c r="C219" s="9" t="n"/>
      <c r="D219" s="9" t="n"/>
      <c r="E219" s="9" t="n"/>
      <c r="F219" s="9" t="n"/>
      <c r="G219" s="9" t="n"/>
      <c r="H219" s="9" t="n"/>
      <c r="I219" s="7">
        <f>IFERROR(MAX(C219:H219),"")</f>
        <v/>
      </c>
      <c r="J219" s="7">
        <f>IFERROR(MATCH(I219,C219:H219,0),"")</f>
        <v/>
      </c>
      <c r="K219" s="7" t="n">
        <v>15</v>
      </c>
      <c r="L219" s="7">
        <f>IFERROR(I219*(1-(K219/100)),"")</f>
        <v/>
      </c>
      <c r="M219" s="7">
        <f>IFERROR(LOOKUP(9.99E+307,C219:H219),"")</f>
        <v/>
      </c>
      <c r="N219" s="7">
        <f>IFERROR(IF(M219="","",IF(M219&lt;=N219,"停组🛑","继续✓")),"")</f>
        <v/>
      </c>
      <c r="O219" s="7">
        <f>IFERROR(IF(M219="","",IF(M219&lt;0.15,"SAFETY_STOP","")),"")</f>
        <v/>
      </c>
      <c r="P219" s="7">
        <f>IFERROR(IF(M219="","",IF(M219&lt;0.15,"SAFETY_STOP",IF(M219&lt;=N219,"VL_THRESHOLD",""))),"")</f>
        <v/>
      </c>
      <c r="Q219" s="7">
        <f>IFERROR(IF(I219="","",IF(I219&gt;(0.55+0.05),"+5kg",IF(I219&gt;(0.55+0.02),"+2.5kg",IF(I219&gt;=(0.55-0.05),"保持",IF(I219&gt;=(0.55-0.08),"-2.5kg","-5kg"))))),"")</f>
        <v/>
      </c>
      <c r="R219" s="9" t="n"/>
    </row>
    <row r="220">
      <c r="A220" s="7" t="n">
        <v>2</v>
      </c>
      <c r="B220" s="9" t="n"/>
      <c r="C220" s="9" t="n"/>
      <c r="D220" s="9" t="n"/>
      <c r="E220" s="9" t="n"/>
      <c r="F220" s="9" t="n"/>
      <c r="G220" s="9" t="n"/>
      <c r="H220" s="9" t="n"/>
      <c r="I220" s="7">
        <f>IFERROR(MAX(C220:H220),"")</f>
        <v/>
      </c>
      <c r="J220" s="7">
        <f>IFERROR(MATCH(I220,C220:H220,0),"")</f>
        <v/>
      </c>
      <c r="K220" s="7" t="n">
        <v>15</v>
      </c>
      <c r="L220" s="7">
        <f>IFERROR(I220*(1-(K220/100)),"")</f>
        <v/>
      </c>
      <c r="M220" s="7">
        <f>IFERROR(LOOKUP(9.99E+307,C220:H220),"")</f>
        <v/>
      </c>
      <c r="N220" s="7">
        <f>IFERROR(IF(M220="","",IF(M220&lt;=N220,"停组🛑","继续✓")),"")</f>
        <v/>
      </c>
      <c r="O220" s="7">
        <f>IFERROR(IF(M220="","",IF(M220&lt;0.15,"SAFETY_STOP","")),"")</f>
        <v/>
      </c>
      <c r="P220" s="7">
        <f>IFERROR(IF(M220="","",IF(M220&lt;0.15,"SAFETY_STOP",IF(M220&lt;=N220,"VL_THRESHOLD",""))),"")</f>
        <v/>
      </c>
      <c r="Q220" s="7">
        <f>IFERROR(IF(I220="","",IF(I220&gt;(0.55+0.05),"+5kg",IF(I220&gt;(0.55+0.02),"+2.5kg",IF(I220&gt;=(0.55-0.05),"保持",IF(I220&gt;=(0.55-0.08),"-2.5kg","-5kg"))))),"")</f>
        <v/>
      </c>
      <c r="R220" s="9" t="n"/>
    </row>
    <row r="221">
      <c r="A221" s="7" t="n">
        <v>3</v>
      </c>
      <c r="B221" s="9" t="n"/>
      <c r="C221" s="9" t="n"/>
      <c r="D221" s="9" t="n"/>
      <c r="E221" s="9" t="n"/>
      <c r="F221" s="9" t="n"/>
      <c r="G221" s="9" t="n"/>
      <c r="H221" s="9" t="n"/>
      <c r="I221" s="7">
        <f>IFERROR(MAX(C221:H221),"")</f>
        <v/>
      </c>
      <c r="J221" s="7">
        <f>IFERROR(MATCH(I221,C221:H221,0),"")</f>
        <v/>
      </c>
      <c r="K221" s="7" t="n">
        <v>15</v>
      </c>
      <c r="L221" s="7">
        <f>IFERROR(I221*(1-(K221/100)),"")</f>
        <v/>
      </c>
      <c r="M221" s="7">
        <f>IFERROR(LOOKUP(9.99E+307,C221:H221),"")</f>
        <v/>
      </c>
      <c r="N221" s="7">
        <f>IFERROR(IF(M221="","",IF(M221&lt;=N221,"停组🛑","继续✓")),"")</f>
        <v/>
      </c>
      <c r="O221" s="7">
        <f>IFERROR(IF(M221="","",IF(M221&lt;0.15,"SAFETY_STOP","")),"")</f>
        <v/>
      </c>
      <c r="P221" s="7">
        <f>IFERROR(IF(M221="","",IF(M221&lt;0.15,"SAFETY_STOP",IF(M221&lt;=N221,"VL_THRESHOLD",""))),"")</f>
        <v/>
      </c>
      <c r="Q221" s="7">
        <f>IFERROR(IF(I221="","",IF(I221&gt;(0.55+0.05),"+5kg",IF(I221&gt;(0.55+0.02),"+2.5kg",IF(I221&gt;=(0.55-0.05),"保持",IF(I221&gt;=(0.55-0.08),"-2.5kg","-5kg"))))),"")</f>
        <v/>
      </c>
      <c r="R221" s="9" t="n"/>
    </row>
    <row r="222">
      <c r="A222" s="7" t="n">
        <v>4</v>
      </c>
      <c r="B222" s="9" t="n"/>
      <c r="C222" s="9" t="n"/>
      <c r="D222" s="9" t="n"/>
      <c r="E222" s="9" t="n"/>
      <c r="F222" s="9" t="n"/>
      <c r="G222" s="9" t="n"/>
      <c r="H222" s="9" t="n"/>
      <c r="I222" s="7">
        <f>IFERROR(MAX(C222:H222),"")</f>
        <v/>
      </c>
      <c r="J222" s="7">
        <f>IFERROR(MATCH(I222,C222:H222,0),"")</f>
        <v/>
      </c>
      <c r="K222" s="7" t="n">
        <v>15</v>
      </c>
      <c r="L222" s="7">
        <f>IFERROR(I222*(1-(K222/100)),"")</f>
        <v/>
      </c>
      <c r="M222" s="7">
        <f>IFERROR(LOOKUP(9.99E+307,C222:H222),"")</f>
        <v/>
      </c>
      <c r="N222" s="7">
        <f>IFERROR(IF(M222="","",IF(M222&lt;=N222,"停组🛑","继续✓")),"")</f>
        <v/>
      </c>
      <c r="O222" s="7">
        <f>IFERROR(IF(M222="","",IF(M222&lt;0.15,"SAFETY_STOP","")),"")</f>
        <v/>
      </c>
      <c r="P222" s="7">
        <f>IFERROR(IF(M222="","",IF(M222&lt;0.15,"SAFETY_STOP",IF(M222&lt;=N222,"VL_THRESHOLD",""))),"")</f>
        <v/>
      </c>
      <c r="Q222" s="7">
        <f>IFERROR(IF(I222="","",IF(I222&gt;(0.55+0.05),"+5kg",IF(I222&gt;(0.55+0.02),"+2.5kg",IF(I222&gt;=(0.55-0.05),"保持",IF(I222&gt;=(0.55-0.08),"-2.5kg","-5kg"))))),"")</f>
        <v/>
      </c>
      <c r="R222" s="9" t="n"/>
    </row>
    <row r="223">
      <c r="A223" s="7" t="n">
        <v>5</v>
      </c>
      <c r="B223" s="9" t="n"/>
      <c r="C223" s="9" t="n"/>
      <c r="D223" s="9" t="n"/>
      <c r="E223" s="9" t="n"/>
      <c r="F223" s="9" t="n"/>
      <c r="G223" s="9" t="n"/>
      <c r="H223" s="9" t="n"/>
      <c r="I223" s="7">
        <f>IFERROR(MAX(C223:H223),"")</f>
        <v/>
      </c>
      <c r="J223" s="7">
        <f>IFERROR(MATCH(I223,C223:H223,0),"")</f>
        <v/>
      </c>
      <c r="K223" s="7" t="n">
        <v>15</v>
      </c>
      <c r="L223" s="7">
        <f>IFERROR(I223*(1-(K223/100)),"")</f>
        <v/>
      </c>
      <c r="M223" s="7">
        <f>IFERROR(LOOKUP(9.99E+307,C223:H223),"")</f>
        <v/>
      </c>
      <c r="N223" s="7">
        <f>IFERROR(IF(M223="","",IF(M223&lt;=N223,"停组🛑","继续✓")),"")</f>
        <v/>
      </c>
      <c r="O223" s="7">
        <f>IFERROR(IF(M223="","",IF(M223&lt;0.15,"SAFETY_STOP","")),"")</f>
        <v/>
      </c>
      <c r="P223" s="7">
        <f>IFERROR(IF(M223="","",IF(M223&lt;0.15,"SAFETY_STOP",IF(M223&lt;=N223,"VL_THRESHOLD",""))),"")</f>
        <v/>
      </c>
      <c r="Q223" s="7">
        <f>IFERROR(IF(I223="","",IF(I223&gt;(0.55+0.05),"+5kg",IF(I223&gt;(0.55+0.02),"+2.5kg",IF(I223&gt;=(0.55-0.05),"保持",IF(I223&gt;=(0.55-0.08),"-2.5kg","-5kg"))))),"")</f>
        <v/>
      </c>
      <c r="R223" s="9" t="n"/>
    </row>
    <row r="224">
      <c r="A224" s="7" t="n">
        <v>6</v>
      </c>
      <c r="B224" s="9" t="n"/>
      <c r="C224" s="9" t="n"/>
      <c r="D224" s="9" t="n"/>
      <c r="E224" s="9" t="n"/>
      <c r="F224" s="9" t="n"/>
      <c r="G224" s="9" t="n"/>
      <c r="H224" s="9" t="n"/>
      <c r="I224" s="7">
        <f>IFERROR(MAX(C224:H224),"")</f>
        <v/>
      </c>
      <c r="J224" s="7">
        <f>IFERROR(MATCH(I224,C224:H224,0),"")</f>
        <v/>
      </c>
      <c r="K224" s="7" t="n">
        <v>15</v>
      </c>
      <c r="L224" s="7">
        <f>IFERROR(I224*(1-(K224/100)),"")</f>
        <v/>
      </c>
      <c r="M224" s="7">
        <f>IFERROR(LOOKUP(9.99E+307,C224:H224),"")</f>
        <v/>
      </c>
      <c r="N224" s="7">
        <f>IFERROR(IF(M224="","",IF(M224&lt;=N224,"停组🛑","继续✓")),"")</f>
        <v/>
      </c>
      <c r="O224" s="7">
        <f>IFERROR(IF(M224="","",IF(M224&lt;0.15,"SAFETY_STOP","")),"")</f>
        <v/>
      </c>
      <c r="P224" s="7">
        <f>IFERROR(IF(M224="","",IF(M224&lt;0.15,"SAFETY_STOP",IF(M224&lt;=N224,"VL_THRESHOLD",""))),"")</f>
        <v/>
      </c>
      <c r="Q224" s="7">
        <f>IFERROR(IF(I224="","",IF(I224&gt;(0.55+0.05),"+5kg",IF(I224&gt;(0.55+0.02),"+2.5kg",IF(I224&gt;=(0.55-0.05),"保持",IF(I224&gt;=(0.55-0.08),"-2.5kg","-5kg"))))),"")</f>
        <v/>
      </c>
      <c r="R224" s="9" t="n"/>
    </row>
    <row r="225">
      <c r="A225" s="13" t="inlineStr">
        <is>
          <t>辅助</t>
        </is>
      </c>
      <c r="D225" s="14" t="inlineStr">
        <is>
          <t>RDL</t>
        </is>
      </c>
      <c r="E225" s="14" t="inlineStr">
        <is>
          <t>负荷</t>
        </is>
      </c>
      <c r="F225" s="14" t="inlineStr">
        <is>
          <t>完成</t>
        </is>
      </c>
      <c r="I225" t="inlineStr">
        <is>
          <t>VL</t>
        </is>
      </c>
    </row>
    <row r="226">
      <c r="A226" s="15" t="inlineStr">
        <is>
          <t>训练后</t>
        </is>
      </c>
      <c r="B226" s="15" t="inlineStr">
        <is>
          <t>开始</t>
        </is>
      </c>
      <c r="C226" s="15" t="inlineStr">
        <is>
          <t>结束</t>
        </is>
      </c>
      <c r="D226" s="15" t="inlineStr">
        <is>
          <t>时长min</t>
        </is>
      </c>
      <c r="E226" s="15" t="inlineStr">
        <is>
          <t>sRPE</t>
        </is>
      </c>
      <c r="F226" s="15" t="inlineStr">
        <is>
          <t>load</t>
        </is>
      </c>
      <c r="G226" s="15" t="inlineStr">
        <is>
          <t>不适?</t>
        </is>
      </c>
      <c r="H226" s="15" t="inlineStr">
        <is>
          <t>备注</t>
        </is>
      </c>
      <c r="I226" s="15" t="inlineStr">
        <is>
          <t>签名</t>
        </is>
      </c>
    </row>
    <row r="227">
      <c r="A227" s="7" t="n"/>
      <c r="B227" s="9" t="n"/>
      <c r="C227" s="9" t="n"/>
      <c r="D227" s="11">
        <f>IFERROR((C227-B227)*1440,"")</f>
        <v/>
      </c>
      <c r="E227" s="9" t="n"/>
      <c r="F227" s="11">
        <f>IFERROR(E227*D227,"")</f>
        <v/>
      </c>
      <c r="G227" s="9" t="n"/>
      <c r="H227" s="9" t="n"/>
      <c r="I227" s="9" t="n"/>
    </row>
    <row r="228">
      <c r="A228" s="16" t="inlineStr">
        <is>
          <t>跳跃</t>
        </is>
      </c>
      <c r="B228" s="16" t="inlineStr">
        <is>
          <t>类型</t>
        </is>
      </c>
      <c r="C228" s="16" t="inlineStr">
        <is>
          <t>组×次</t>
        </is>
      </c>
      <c r="D228" s="16" t="inlineStr">
        <is>
          <t>负荷kg</t>
        </is>
      </c>
      <c r="E228" s="16" t="inlineStr">
        <is>
          <t>接触</t>
        </is>
      </c>
    </row>
    <row r="229">
      <c r="B229" t="inlineStr">
        <is>
          <t>CMJ</t>
        </is>
      </c>
      <c r="C229" t="inlineStr">
        <is>
          <t>3×3</t>
        </is>
      </c>
      <c r="D229" t="n">
        <v>0</v>
      </c>
      <c r="E229" t="n">
        <v>9</v>
      </c>
    </row>
    <row r="230">
      <c r="B230" t="inlineStr">
        <is>
          <t>箱跳</t>
        </is>
      </c>
      <c r="C230" t="inlineStr">
        <is>
          <t>1×3</t>
        </is>
      </c>
      <c r="D230" t="n">
        <v>0</v>
      </c>
      <c r="E230" t="n">
        <v>3</v>
      </c>
    </row>
    <row r="231">
      <c r="A231" s="17" t="inlineStr">
        <is>
          <t>▶ 暴露量汇总</t>
        </is>
      </c>
      <c r="B231" s="17" t="inlineStr">
        <is>
          <t>说明</t>
        </is>
      </c>
      <c r="C231" s="17" t="inlineStr">
        <is>
          <t>公式/来源</t>
        </is>
      </c>
      <c r="D231" s="17" t="inlineStr">
        <is>
          <t>数值</t>
        </is>
      </c>
    </row>
    <row r="232">
      <c r="A232" s="18" t="inlineStr">
        <is>
          <t>① 无负荷跳跃接触</t>
        </is>
      </c>
      <c r="B232" s="18" t="inlineStr">
        <is>
          <t>CMJ+SJ+箱跳</t>
        </is>
      </c>
      <c r="C232" s="19">
        <f>IFERROR(E229+E230,2)</f>
        <v/>
      </c>
    </row>
    <row r="233">
      <c r="A233" s="18" t="inlineStr">
        <is>
          <t>② 负重跳跃接触</t>
        </is>
      </c>
      <c r="B233" s="18" t="inlineStr">
        <is>
          <t>负重深蹲跳</t>
        </is>
      </c>
      <c r="C233" s="19">
        <f>IFERROR(E229,"")</f>
        <v/>
      </c>
    </row>
    <row r="234">
      <c r="A234" s="18" t="inlineStr">
        <is>
          <t>③ 跳跃总计</t>
        </is>
      </c>
      <c r="B234" s="18" t="inlineStr">
        <is>
          <t>①+②</t>
        </is>
      </c>
      <c r="C234" s="19">
        <f>IFERROR(B232+B233,"")</f>
        <v/>
      </c>
    </row>
    <row r="235">
      <c r="A235" s="18" t="inlineStr">
        <is>
          <t>④ 热身VL</t>
        </is>
      </c>
      <c r="B235" s="18" t="inlineStr">
        <is>
          <t>20×5+50%×3(+70%×2)</t>
        </is>
      </c>
      <c r="C235" s="19">
        <f>IFERROR(20*5+ROUND(V215*0.5,0)*3+ROUND(V{dr}*0.7,0)*2,"-")</f>
        <v/>
      </c>
    </row>
    <row r="236">
      <c r="A236" s="20" t="inlineStr">
        <is>
          <t>⑤ 主项工作组VL ★</t>
        </is>
      </c>
      <c r="B236" s="20" t="inlineStr">
        <is>
          <t>Σ(负荷×次数)</t>
        </is>
      </c>
      <c r="C236" s="21">
        <f>SUMPRODUCT($B$219:$B$224,$R$219:$R$224)</f>
        <v/>
      </c>
    </row>
    <row r="237">
      <c r="A237" s="18" t="inlineStr">
        <is>
          <t>⑥ 主项总VL</t>
        </is>
      </c>
      <c r="B237" s="18" t="inlineStr">
        <is>
          <t>④+⑤</t>
        </is>
      </c>
      <c r="C237" s="19">
        <f>IFERROR(D232+D233,"")</f>
        <v/>
      </c>
    </row>
    <row r="238">
      <c r="A238" s="18" t="inlineStr">
        <is>
          <t>⑦ 辅助VL</t>
        </is>
      </c>
      <c r="B238" s="18" t="inlineStr">
        <is>
          <t>RDL/保加利亚</t>
        </is>
      </c>
      <c r="C238" s="19">
        <f>IFERROR(I225,"")</f>
        <v/>
      </c>
    </row>
    <row r="239">
      <c r="A239" s="18" t="inlineStr">
        <is>
          <t>⑧ 总外部负荷</t>
        </is>
      </c>
      <c r="B239" s="18" t="inlineStr">
        <is>
          <t>⑥+⑦(+负重跳)</t>
        </is>
      </c>
      <c r="C239" s="19">
        <f>IFERROR(F232+G232,"")</f>
        <v/>
      </c>
    </row>
    <row r="240">
      <c r="A240" s="18" t="inlineStr">
        <is>
          <t>⑨ sRPE load</t>
        </is>
      </c>
      <c r="B240" s="18" t="inlineStr">
        <is>
          <t>sRPE×时长</t>
        </is>
      </c>
      <c r="C240" s="19">
        <f>IFERROR(F227,"")</f>
        <v/>
      </c>
    </row>
    <row r="243">
      <c r="A243" s="5" t="inlineStr">
        <is>
          <t>P018 孟维宇  a=1.71 b=-0.0105 1RM=122.5</t>
        </is>
      </c>
    </row>
    <row r="244">
      <c r="A244" s="6" t="inlineStr">
        <is>
          <t>编号</t>
        </is>
      </c>
      <c r="B244" s="6" t="inlineStr">
        <is>
          <t>姓名</t>
        </is>
      </c>
      <c r="C244" s="6" t="inlineStr">
        <is>
          <t>身高</t>
        </is>
      </c>
      <c r="D244" s="6" t="inlineStr">
        <is>
          <t>1RM</t>
        </is>
      </c>
      <c r="E244" s="6" t="inlineStr">
        <is>
          <t>Hooper睡</t>
        </is>
      </c>
      <c r="F244" s="6" t="inlineStr">
        <is>
          <t>Hooper压</t>
        </is>
      </c>
      <c r="G244" s="6" t="inlineStr">
        <is>
          <t>Hooper疲</t>
        </is>
      </c>
      <c r="H244" s="6" t="inlineStr">
        <is>
          <t>Hooper酸</t>
        </is>
      </c>
      <c r="I244" s="6" t="inlineStr">
        <is>
          <t>H总</t>
        </is>
      </c>
      <c r="J244" s="6" t="inlineStr">
        <is>
          <t>不适?</t>
        </is>
      </c>
      <c r="K244" s="6" t="inlineStr">
        <is>
          <t>说明</t>
        </is>
      </c>
      <c r="L244" s="6" t="inlineStr">
        <is>
          <t>CMJ1</t>
        </is>
      </c>
      <c r="M244" s="6" t="inlineStr">
        <is>
          <t>CMJ2</t>
        </is>
      </c>
      <c r="N244" s="6" t="inlineStr">
        <is>
          <t>CMJ3</t>
        </is>
      </c>
      <c r="O244" s="6" t="inlineStr">
        <is>
          <t>CMJμ</t>
        </is>
      </c>
      <c r="P244" s="6" t="inlineStr">
        <is>
          <t>&lt;95%</t>
        </is>
      </c>
      <c r="Q244" s="6" t="inlineStr">
        <is>
          <t>减组</t>
        </is>
      </c>
      <c r="R244" s="6" t="inlineStr">
        <is>
          <t>组数</t>
        </is>
      </c>
      <c r="S244" s="6" t="inlineStr">
        <is>
          <t>a(V0)</t>
        </is>
      </c>
      <c r="T244" s="6" t="inlineStr">
        <is>
          <t>b</t>
        </is>
      </c>
      <c r="U244" s="6" t="inlineStr">
        <is>
          <t>等级</t>
        </is>
      </c>
      <c r="V244" s="6" t="inlineStr">
        <is>
          <t>预测起始</t>
        </is>
      </c>
    </row>
    <row r="245">
      <c r="A245" s="7" t="inlineStr">
        <is>
          <t>P018</t>
        </is>
      </c>
      <c r="B245" s="7" t="inlineStr">
        <is>
          <t>孟维宇</t>
        </is>
      </c>
      <c r="C245" s="7" t="n">
        <v>173</v>
      </c>
      <c r="D245" s="8" t="n">
        <v>122.5</v>
      </c>
      <c r="E245" s="9" t="n"/>
      <c r="F245" s="9" t="n"/>
      <c r="G245" s="9" t="n"/>
      <c r="H245" s="9" t="n"/>
      <c r="I245" s="7">
        <f>IFERROR(SUM(E245:H245),"")</f>
        <v/>
      </c>
      <c r="J245" s="9" t="n"/>
      <c r="K245" s="9" t="n"/>
      <c r="L245" s="9" t="n"/>
      <c r="M245" s="9" t="n"/>
      <c r="N245" s="9" t="n"/>
      <c r="O245" s="7">
        <f>IFERROR(AVERAGE(L245:N245),"")</f>
        <v/>
      </c>
      <c r="P245" s="7">
        <f>IF(O245="","",IF(O245&lt;52.6,"是⚠","否"))</f>
        <v/>
      </c>
      <c r="Q245" s="7">
        <f>IF(O245="","",IF(O245&lt;52.6,3-1,3))</f>
        <v/>
      </c>
      <c r="R245" s="7" t="n"/>
      <c r="S245" s="8" t="n">
        <v>1.71</v>
      </c>
      <c r="T245" s="8" t="n">
        <v>-0.0105</v>
      </c>
      <c r="U245" s="7" t="inlineStr">
        <is>
          <t>B</t>
        </is>
      </c>
      <c r="V245" s="8" t="n">
        <v>110</v>
      </c>
    </row>
    <row r="246">
      <c r="A246" s="10" t="inlineStr">
        <is>
          <t>热身校准</t>
        </is>
      </c>
      <c r="B246" s="10" t="inlineStr">
        <is>
          <t>a</t>
        </is>
      </c>
      <c r="C246" s="10" t="inlineStr">
        <is>
          <t>b</t>
        </is>
      </c>
      <c r="D246" s="10" t="inlineStr">
        <is>
          <t>50%热身</t>
        </is>
      </c>
      <c r="E246" s="10" t="inlineStr">
        <is>
          <t>70%热身</t>
        </is>
      </c>
      <c r="F246" s="10" t="inlineStr">
        <is>
          <t>热身负荷</t>
        </is>
      </c>
      <c r="G246" s="10" t="inlineStr">
        <is>
          <t>实测MCV</t>
        </is>
      </c>
      <c r="H246" s="10" t="inlineStr">
        <is>
          <t>预测MCV</t>
        </is>
      </c>
      <c r="I246" s="10" t="inlineStr">
        <is>
          <t>Δv</t>
        </is>
      </c>
      <c r="J246" s="10" t="inlineStr">
        <is>
          <t>调整量</t>
        </is>
      </c>
      <c r="K246" s="10" t="inlineStr">
        <is>
          <t>校准第1组</t>
        </is>
      </c>
    </row>
    <row r="247">
      <c r="A247" s="7" t="n"/>
      <c r="B247" s="11" t="n">
        <v>1.71</v>
      </c>
      <c r="C247" s="11" t="n">
        <v>-0.0105</v>
      </c>
      <c r="D247" s="11">
        <f>IFERROR(ROUND(V245*0.5/2.5,0)*2.5,"")</f>
        <v/>
      </c>
      <c r="E247" s="11">
        <f>IFERROR(ROUND(V245*0.7/2.5,0)*2.5,"")</f>
        <v/>
      </c>
      <c r="F247" s="11">
        <f>IFERROR(ROUND(V245*0.6/2.5,0)*2.5,"")</f>
        <v/>
      </c>
      <c r="G247" s="9" t="n"/>
      <c r="H247" s="11">
        <f>IFERROR(B247+C247*F247,"")</f>
        <v/>
      </c>
      <c r="I247" s="11">
        <f>IFERROR(G247-H247,"")</f>
        <v/>
      </c>
      <c r="J247" s="11">
        <f>IFERROR(IF(I247&gt;0.08,5,IF(I247&gt;0.04,2.5,IF(I247&gt;=-0.04,0,IF(I247&gt;=-0.08,-2.5,-5)))),"")</f>
        <v/>
      </c>
      <c r="K247" s="11">
        <f>IFERROR(ROUND(V245+J247,0),"")</f>
        <v/>
      </c>
    </row>
    <row r="248">
      <c r="A248" s="12" t="inlineStr">
        <is>
          <t>组</t>
        </is>
      </c>
      <c r="B248" s="12" t="inlineStr">
        <is>
          <t>负荷</t>
        </is>
      </c>
      <c r="C248" s="12" t="inlineStr">
        <is>
          <t>rep1</t>
        </is>
      </c>
      <c r="D248" s="12" t="inlineStr">
        <is>
          <t>rep2</t>
        </is>
      </c>
      <c r="E248" s="12" t="inlineStr">
        <is>
          <t>rep3</t>
        </is>
      </c>
      <c r="F248" s="12" t="inlineStr">
        <is>
          <t>rep4</t>
        </is>
      </c>
      <c r="G248" s="12" t="inlineStr">
        <is>
          <t>rep5</t>
        </is>
      </c>
      <c r="H248" s="12" t="inlineStr">
        <is>
          <t>rep6</t>
        </is>
      </c>
      <c r="I248" s="12" t="inlineStr">
        <is>
          <t>best</t>
        </is>
      </c>
      <c r="J248" s="12" t="inlineStr">
        <is>
          <t>best#</t>
        </is>
      </c>
      <c r="K248" s="12" t="inlineStr">
        <is>
          <t>VL%</t>
        </is>
      </c>
      <c r="L248" s="12" t="inlineStr">
        <is>
          <t>stop_th</t>
        </is>
      </c>
      <c r="M248" s="12" t="inlineStr">
        <is>
          <t>latest</t>
        </is>
      </c>
      <c r="N248" s="12" t="inlineStr">
        <is>
          <t>VL_flag</t>
        </is>
      </c>
      <c r="O248" s="12" t="inlineStr">
        <is>
          <t>safety</t>
        </is>
      </c>
      <c r="P248" s="12" t="inlineStr">
        <is>
          <t>原因</t>
        </is>
      </c>
      <c r="Q248" s="12" t="inlineStr">
        <is>
          <t>建议</t>
        </is>
      </c>
      <c r="R248" s="12" t="inlineStr">
        <is>
          <t>次数</t>
        </is>
      </c>
    </row>
    <row r="249">
      <c r="A249" s="7" t="n">
        <v>1</v>
      </c>
      <c r="B249" s="9">
        <f>IFERROR(K247,"")</f>
        <v/>
      </c>
      <c r="C249" s="9" t="n"/>
      <c r="D249" s="9" t="n"/>
      <c r="E249" s="9" t="n"/>
      <c r="F249" s="9" t="n"/>
      <c r="G249" s="9" t="n"/>
      <c r="H249" s="9" t="n"/>
      <c r="I249" s="7">
        <f>IFERROR(MAX(C249:H249),"")</f>
        <v/>
      </c>
      <c r="J249" s="7">
        <f>IFERROR(MATCH(I249,C249:H249,0),"")</f>
        <v/>
      </c>
      <c r="K249" s="7" t="n">
        <v>15</v>
      </c>
      <c r="L249" s="7">
        <f>IFERROR(I249*(1-(K249/100)),"")</f>
        <v/>
      </c>
      <c r="M249" s="7">
        <f>IFERROR(LOOKUP(9.99E+307,C249:H249),"")</f>
        <v/>
      </c>
      <c r="N249" s="7">
        <f>IFERROR(IF(M249="","",IF(M249&lt;=N249,"停组🛑","继续✓")),"")</f>
        <v/>
      </c>
      <c r="O249" s="7">
        <f>IFERROR(IF(M249="","",IF(M249&lt;0.15,"SAFETY_STOP","")),"")</f>
        <v/>
      </c>
      <c r="P249" s="7">
        <f>IFERROR(IF(M249="","",IF(M249&lt;0.15,"SAFETY_STOP",IF(M249&lt;=N249,"VL_THRESHOLD",""))),"")</f>
        <v/>
      </c>
      <c r="Q249" s="7">
        <f>IFERROR(IF(I249="","",IF(I249&gt;(0.55+0.05),"+5kg",IF(I249&gt;(0.55+0.02),"+2.5kg",IF(I249&gt;=(0.55-0.05),"保持",IF(I249&gt;=(0.55-0.08),"-2.5kg","-5kg"))))),"")</f>
        <v/>
      </c>
      <c r="R249" s="9" t="n"/>
    </row>
    <row r="250">
      <c r="A250" s="7" t="n">
        <v>2</v>
      </c>
      <c r="B250" s="9" t="n"/>
      <c r="C250" s="9" t="n"/>
      <c r="D250" s="9" t="n"/>
      <c r="E250" s="9" t="n"/>
      <c r="F250" s="9" t="n"/>
      <c r="G250" s="9" t="n"/>
      <c r="H250" s="9" t="n"/>
      <c r="I250" s="7">
        <f>IFERROR(MAX(C250:H250),"")</f>
        <v/>
      </c>
      <c r="J250" s="7">
        <f>IFERROR(MATCH(I250,C250:H250,0),"")</f>
        <v/>
      </c>
      <c r="K250" s="7" t="n">
        <v>15</v>
      </c>
      <c r="L250" s="7">
        <f>IFERROR(I250*(1-(K250/100)),"")</f>
        <v/>
      </c>
      <c r="M250" s="7">
        <f>IFERROR(LOOKUP(9.99E+307,C250:H250),"")</f>
        <v/>
      </c>
      <c r="N250" s="7">
        <f>IFERROR(IF(M250="","",IF(M250&lt;=N250,"停组🛑","继续✓")),"")</f>
        <v/>
      </c>
      <c r="O250" s="7">
        <f>IFERROR(IF(M250="","",IF(M250&lt;0.15,"SAFETY_STOP","")),"")</f>
        <v/>
      </c>
      <c r="P250" s="7">
        <f>IFERROR(IF(M250="","",IF(M250&lt;0.15,"SAFETY_STOP",IF(M250&lt;=N250,"VL_THRESHOLD",""))),"")</f>
        <v/>
      </c>
      <c r="Q250" s="7">
        <f>IFERROR(IF(I250="","",IF(I250&gt;(0.55+0.05),"+5kg",IF(I250&gt;(0.55+0.02),"+2.5kg",IF(I250&gt;=(0.55-0.05),"保持",IF(I250&gt;=(0.55-0.08),"-2.5kg","-5kg"))))),"")</f>
        <v/>
      </c>
      <c r="R250" s="9" t="n"/>
    </row>
    <row r="251">
      <c r="A251" s="7" t="n">
        <v>3</v>
      </c>
      <c r="B251" s="9" t="n"/>
      <c r="C251" s="9" t="n"/>
      <c r="D251" s="9" t="n"/>
      <c r="E251" s="9" t="n"/>
      <c r="F251" s="9" t="n"/>
      <c r="G251" s="9" t="n"/>
      <c r="H251" s="9" t="n"/>
      <c r="I251" s="7">
        <f>IFERROR(MAX(C251:H251),"")</f>
        <v/>
      </c>
      <c r="J251" s="7">
        <f>IFERROR(MATCH(I251,C251:H251,0),"")</f>
        <v/>
      </c>
      <c r="K251" s="7" t="n">
        <v>15</v>
      </c>
      <c r="L251" s="7">
        <f>IFERROR(I251*(1-(K251/100)),"")</f>
        <v/>
      </c>
      <c r="M251" s="7">
        <f>IFERROR(LOOKUP(9.99E+307,C251:H251),"")</f>
        <v/>
      </c>
      <c r="N251" s="7">
        <f>IFERROR(IF(M251="","",IF(M251&lt;=N251,"停组🛑","继续✓")),"")</f>
        <v/>
      </c>
      <c r="O251" s="7">
        <f>IFERROR(IF(M251="","",IF(M251&lt;0.15,"SAFETY_STOP","")),"")</f>
        <v/>
      </c>
      <c r="P251" s="7">
        <f>IFERROR(IF(M251="","",IF(M251&lt;0.15,"SAFETY_STOP",IF(M251&lt;=N251,"VL_THRESHOLD",""))),"")</f>
        <v/>
      </c>
      <c r="Q251" s="7">
        <f>IFERROR(IF(I251="","",IF(I251&gt;(0.55+0.05),"+5kg",IF(I251&gt;(0.55+0.02),"+2.5kg",IF(I251&gt;=(0.55-0.05),"保持",IF(I251&gt;=(0.55-0.08),"-2.5kg","-5kg"))))),"")</f>
        <v/>
      </c>
      <c r="R251" s="9" t="n"/>
    </row>
    <row r="252">
      <c r="A252" s="7" t="n">
        <v>4</v>
      </c>
      <c r="B252" s="9" t="n"/>
      <c r="C252" s="9" t="n"/>
      <c r="D252" s="9" t="n"/>
      <c r="E252" s="9" t="n"/>
      <c r="F252" s="9" t="n"/>
      <c r="G252" s="9" t="n"/>
      <c r="H252" s="9" t="n"/>
      <c r="I252" s="7">
        <f>IFERROR(MAX(C252:H252),"")</f>
        <v/>
      </c>
      <c r="J252" s="7">
        <f>IFERROR(MATCH(I252,C252:H252,0),"")</f>
        <v/>
      </c>
      <c r="K252" s="7" t="n">
        <v>15</v>
      </c>
      <c r="L252" s="7">
        <f>IFERROR(I252*(1-(K252/100)),"")</f>
        <v/>
      </c>
      <c r="M252" s="7">
        <f>IFERROR(LOOKUP(9.99E+307,C252:H252),"")</f>
        <v/>
      </c>
      <c r="N252" s="7">
        <f>IFERROR(IF(M252="","",IF(M252&lt;=N252,"停组🛑","继续✓")),"")</f>
        <v/>
      </c>
      <c r="O252" s="7">
        <f>IFERROR(IF(M252="","",IF(M252&lt;0.15,"SAFETY_STOP","")),"")</f>
        <v/>
      </c>
      <c r="P252" s="7">
        <f>IFERROR(IF(M252="","",IF(M252&lt;0.15,"SAFETY_STOP",IF(M252&lt;=N252,"VL_THRESHOLD",""))),"")</f>
        <v/>
      </c>
      <c r="Q252" s="7">
        <f>IFERROR(IF(I252="","",IF(I252&gt;(0.55+0.05),"+5kg",IF(I252&gt;(0.55+0.02),"+2.5kg",IF(I252&gt;=(0.55-0.05),"保持",IF(I252&gt;=(0.55-0.08),"-2.5kg","-5kg"))))),"")</f>
        <v/>
      </c>
      <c r="R252" s="9" t="n"/>
    </row>
    <row r="253">
      <c r="A253" s="7" t="n">
        <v>5</v>
      </c>
      <c r="B253" s="9" t="n"/>
      <c r="C253" s="9" t="n"/>
      <c r="D253" s="9" t="n"/>
      <c r="E253" s="9" t="n"/>
      <c r="F253" s="9" t="n"/>
      <c r="G253" s="9" t="n"/>
      <c r="H253" s="9" t="n"/>
      <c r="I253" s="7">
        <f>IFERROR(MAX(C253:H253),"")</f>
        <v/>
      </c>
      <c r="J253" s="7">
        <f>IFERROR(MATCH(I253,C253:H253,0),"")</f>
        <v/>
      </c>
      <c r="K253" s="7" t="n">
        <v>15</v>
      </c>
      <c r="L253" s="7">
        <f>IFERROR(I253*(1-(K253/100)),"")</f>
        <v/>
      </c>
      <c r="M253" s="7">
        <f>IFERROR(LOOKUP(9.99E+307,C253:H253),"")</f>
        <v/>
      </c>
      <c r="N253" s="7">
        <f>IFERROR(IF(M253="","",IF(M253&lt;=N253,"停组🛑","继续✓")),"")</f>
        <v/>
      </c>
      <c r="O253" s="7">
        <f>IFERROR(IF(M253="","",IF(M253&lt;0.15,"SAFETY_STOP","")),"")</f>
        <v/>
      </c>
      <c r="P253" s="7">
        <f>IFERROR(IF(M253="","",IF(M253&lt;0.15,"SAFETY_STOP",IF(M253&lt;=N253,"VL_THRESHOLD",""))),"")</f>
        <v/>
      </c>
      <c r="Q253" s="7">
        <f>IFERROR(IF(I253="","",IF(I253&gt;(0.55+0.05),"+5kg",IF(I253&gt;(0.55+0.02),"+2.5kg",IF(I253&gt;=(0.55-0.05),"保持",IF(I253&gt;=(0.55-0.08),"-2.5kg","-5kg"))))),"")</f>
        <v/>
      </c>
      <c r="R253" s="9" t="n"/>
    </row>
    <row r="254">
      <c r="A254" s="7" t="n">
        <v>6</v>
      </c>
      <c r="B254" s="9" t="n"/>
      <c r="C254" s="9" t="n"/>
      <c r="D254" s="9" t="n"/>
      <c r="E254" s="9" t="n"/>
      <c r="F254" s="9" t="n"/>
      <c r="G254" s="9" t="n"/>
      <c r="H254" s="9" t="n"/>
      <c r="I254" s="7">
        <f>IFERROR(MAX(C254:H254),"")</f>
        <v/>
      </c>
      <c r="J254" s="7">
        <f>IFERROR(MATCH(I254,C254:H254,0),"")</f>
        <v/>
      </c>
      <c r="K254" s="7" t="n">
        <v>15</v>
      </c>
      <c r="L254" s="7">
        <f>IFERROR(I254*(1-(K254/100)),"")</f>
        <v/>
      </c>
      <c r="M254" s="7">
        <f>IFERROR(LOOKUP(9.99E+307,C254:H254),"")</f>
        <v/>
      </c>
      <c r="N254" s="7">
        <f>IFERROR(IF(M254="","",IF(M254&lt;=N254,"停组🛑","继续✓")),"")</f>
        <v/>
      </c>
      <c r="O254" s="7">
        <f>IFERROR(IF(M254="","",IF(M254&lt;0.15,"SAFETY_STOP","")),"")</f>
        <v/>
      </c>
      <c r="P254" s="7">
        <f>IFERROR(IF(M254="","",IF(M254&lt;0.15,"SAFETY_STOP",IF(M254&lt;=N254,"VL_THRESHOLD",""))),"")</f>
        <v/>
      </c>
      <c r="Q254" s="7">
        <f>IFERROR(IF(I254="","",IF(I254&gt;(0.55+0.05),"+5kg",IF(I254&gt;(0.55+0.02),"+2.5kg",IF(I254&gt;=(0.55-0.05),"保持",IF(I254&gt;=(0.55-0.08),"-2.5kg","-5kg"))))),"")</f>
        <v/>
      </c>
      <c r="R254" s="9" t="n"/>
    </row>
    <row r="255">
      <c r="A255" s="13" t="inlineStr">
        <is>
          <t>辅助</t>
        </is>
      </c>
      <c r="D255" s="14" t="inlineStr">
        <is>
          <t>RDL</t>
        </is>
      </c>
      <c r="E255" s="14" t="inlineStr">
        <is>
          <t>负荷</t>
        </is>
      </c>
      <c r="F255" s="14" t="inlineStr">
        <is>
          <t>完成</t>
        </is>
      </c>
      <c r="I255" t="inlineStr">
        <is>
          <t>VL</t>
        </is>
      </c>
    </row>
    <row r="256">
      <c r="A256" s="15" t="inlineStr">
        <is>
          <t>训练后</t>
        </is>
      </c>
      <c r="B256" s="15" t="inlineStr">
        <is>
          <t>开始</t>
        </is>
      </c>
      <c r="C256" s="15" t="inlineStr">
        <is>
          <t>结束</t>
        </is>
      </c>
      <c r="D256" s="15" t="inlineStr">
        <is>
          <t>时长min</t>
        </is>
      </c>
      <c r="E256" s="15" t="inlineStr">
        <is>
          <t>sRPE</t>
        </is>
      </c>
      <c r="F256" s="15" t="inlineStr">
        <is>
          <t>load</t>
        </is>
      </c>
      <c r="G256" s="15" t="inlineStr">
        <is>
          <t>不适?</t>
        </is>
      </c>
      <c r="H256" s="15" t="inlineStr">
        <is>
          <t>备注</t>
        </is>
      </c>
      <c r="I256" s="15" t="inlineStr">
        <is>
          <t>签名</t>
        </is>
      </c>
    </row>
    <row r="257">
      <c r="A257" s="7" t="n"/>
      <c r="B257" s="9" t="n"/>
      <c r="C257" s="9" t="n"/>
      <c r="D257" s="11">
        <f>IFERROR((C257-B257)*1440,"")</f>
        <v/>
      </c>
      <c r="E257" s="9" t="n"/>
      <c r="F257" s="11">
        <f>IFERROR(E257*D257,"")</f>
        <v/>
      </c>
      <c r="G257" s="9" t="n"/>
      <c r="H257" s="9" t="n"/>
      <c r="I257" s="9" t="n"/>
    </row>
    <row r="258">
      <c r="A258" s="16" t="inlineStr">
        <is>
          <t>跳跃</t>
        </is>
      </c>
      <c r="B258" s="16" t="inlineStr">
        <is>
          <t>类型</t>
        </is>
      </c>
      <c r="C258" s="16" t="inlineStr">
        <is>
          <t>组×次</t>
        </is>
      </c>
      <c r="D258" s="16" t="inlineStr">
        <is>
          <t>负荷kg</t>
        </is>
      </c>
      <c r="E258" s="16" t="inlineStr">
        <is>
          <t>接触</t>
        </is>
      </c>
    </row>
    <row r="259">
      <c r="B259" t="inlineStr">
        <is>
          <t>CMJ</t>
        </is>
      </c>
      <c r="C259" t="inlineStr">
        <is>
          <t>3×3</t>
        </is>
      </c>
      <c r="D259" t="n">
        <v>0</v>
      </c>
      <c r="E259" t="n">
        <v>9</v>
      </c>
    </row>
    <row r="260">
      <c r="B260" t="inlineStr">
        <is>
          <t>箱跳</t>
        </is>
      </c>
      <c r="C260" t="inlineStr">
        <is>
          <t>1×3</t>
        </is>
      </c>
      <c r="D260" t="n">
        <v>0</v>
      </c>
      <c r="E260" t="n">
        <v>3</v>
      </c>
    </row>
    <row r="261">
      <c r="A261" s="17" t="inlineStr">
        <is>
          <t>▶ 暴露量汇总</t>
        </is>
      </c>
      <c r="B261" s="17" t="inlineStr">
        <is>
          <t>说明</t>
        </is>
      </c>
      <c r="C261" s="17" t="inlineStr">
        <is>
          <t>公式/来源</t>
        </is>
      </c>
      <c r="D261" s="17" t="inlineStr">
        <is>
          <t>数值</t>
        </is>
      </c>
    </row>
    <row r="262">
      <c r="A262" s="18" t="inlineStr">
        <is>
          <t>① 无负荷跳跃接触</t>
        </is>
      </c>
      <c r="B262" s="18" t="inlineStr">
        <is>
          <t>CMJ+SJ+箱跳</t>
        </is>
      </c>
      <c r="C262" s="19">
        <f>IFERROR(E259+E260,2)</f>
        <v/>
      </c>
    </row>
    <row r="263">
      <c r="A263" s="18" t="inlineStr">
        <is>
          <t>② 负重跳跃接触</t>
        </is>
      </c>
      <c r="B263" s="18" t="inlineStr">
        <is>
          <t>负重深蹲跳</t>
        </is>
      </c>
      <c r="C263" s="19">
        <f>IFERROR(E259,"")</f>
        <v/>
      </c>
    </row>
    <row r="264">
      <c r="A264" s="18" t="inlineStr">
        <is>
          <t>③ 跳跃总计</t>
        </is>
      </c>
      <c r="B264" s="18" t="inlineStr">
        <is>
          <t>①+②</t>
        </is>
      </c>
      <c r="C264" s="19">
        <f>IFERROR(B262+B263,"")</f>
        <v/>
      </c>
    </row>
    <row r="265">
      <c r="A265" s="18" t="inlineStr">
        <is>
          <t>④ 热身VL</t>
        </is>
      </c>
      <c r="B265" s="18" t="inlineStr">
        <is>
          <t>20×5+50%×3(+70%×2)</t>
        </is>
      </c>
      <c r="C265" s="19">
        <f>IFERROR(20*5+ROUND(V245*0.5,0)*3+ROUND(V{dr}*0.7,0)*2,"-")</f>
        <v/>
      </c>
    </row>
    <row r="266">
      <c r="A266" s="20" t="inlineStr">
        <is>
          <t>⑤ 主项工作组VL ★</t>
        </is>
      </c>
      <c r="B266" s="20" t="inlineStr">
        <is>
          <t>Σ(负荷×次数)</t>
        </is>
      </c>
      <c r="C266" s="21">
        <f>SUMPRODUCT($B$249:$B$254,$R$249:$R$254)</f>
        <v/>
      </c>
    </row>
    <row r="267">
      <c r="A267" s="18" t="inlineStr">
        <is>
          <t>⑥ 主项总VL</t>
        </is>
      </c>
      <c r="B267" s="18" t="inlineStr">
        <is>
          <t>④+⑤</t>
        </is>
      </c>
      <c r="C267" s="19">
        <f>IFERROR(D262+D263,"")</f>
        <v/>
      </c>
    </row>
    <row r="268">
      <c r="A268" s="18" t="inlineStr">
        <is>
          <t>⑦ 辅助VL</t>
        </is>
      </c>
      <c r="B268" s="18" t="inlineStr">
        <is>
          <t>RDL/保加利亚</t>
        </is>
      </c>
      <c r="C268" s="19">
        <f>IFERROR(I255,"")</f>
        <v/>
      </c>
    </row>
    <row r="269">
      <c r="A269" s="18" t="inlineStr">
        <is>
          <t>⑧ 总外部负荷</t>
        </is>
      </c>
      <c r="B269" s="18" t="inlineStr">
        <is>
          <t>⑥+⑦(+负重跳)</t>
        </is>
      </c>
      <c r="C269" s="19">
        <f>IFERROR(F262+G262,"")</f>
        <v/>
      </c>
    </row>
    <row r="270">
      <c r="A270" s="18" t="inlineStr">
        <is>
          <t>⑨ sRPE load</t>
        </is>
      </c>
      <c r="B270" s="18" t="inlineStr">
        <is>
          <t>sRPE×时长</t>
        </is>
      </c>
      <c r="C270" s="19">
        <f>IFERROR(F257,"")</f>
        <v/>
      </c>
    </row>
    <row r="273">
      <c r="A273" s="5" t="inlineStr">
        <is>
          <t>P026 古翔宇  a=1.64 b=-0.00975 1RM=135</t>
        </is>
      </c>
    </row>
    <row r="274">
      <c r="A274" s="6" t="inlineStr">
        <is>
          <t>编号</t>
        </is>
      </c>
      <c r="B274" s="6" t="inlineStr">
        <is>
          <t>姓名</t>
        </is>
      </c>
      <c r="C274" s="6" t="inlineStr">
        <is>
          <t>身高</t>
        </is>
      </c>
      <c r="D274" s="6" t="inlineStr">
        <is>
          <t>1RM</t>
        </is>
      </c>
      <c r="E274" s="6" t="inlineStr">
        <is>
          <t>Hooper睡</t>
        </is>
      </c>
      <c r="F274" s="6" t="inlineStr">
        <is>
          <t>Hooper压</t>
        </is>
      </c>
      <c r="G274" s="6" t="inlineStr">
        <is>
          <t>Hooper疲</t>
        </is>
      </c>
      <c r="H274" s="6" t="inlineStr">
        <is>
          <t>Hooper酸</t>
        </is>
      </c>
      <c r="I274" s="6" t="inlineStr">
        <is>
          <t>H总</t>
        </is>
      </c>
      <c r="J274" s="6" t="inlineStr">
        <is>
          <t>不适?</t>
        </is>
      </c>
      <c r="K274" s="6" t="inlineStr">
        <is>
          <t>说明</t>
        </is>
      </c>
      <c r="L274" s="6" t="inlineStr">
        <is>
          <t>CMJ1</t>
        </is>
      </c>
      <c r="M274" s="6" t="inlineStr">
        <is>
          <t>CMJ2</t>
        </is>
      </c>
      <c r="N274" s="6" t="inlineStr">
        <is>
          <t>CMJ3</t>
        </is>
      </c>
      <c r="O274" s="6" t="inlineStr">
        <is>
          <t>CMJμ</t>
        </is>
      </c>
      <c r="P274" s="6" t="inlineStr">
        <is>
          <t>&lt;95%</t>
        </is>
      </c>
      <c r="Q274" s="6" t="inlineStr">
        <is>
          <t>减组</t>
        </is>
      </c>
      <c r="R274" s="6" t="inlineStr">
        <is>
          <t>组数</t>
        </is>
      </c>
      <c r="S274" s="6" t="inlineStr">
        <is>
          <t>a(V0)</t>
        </is>
      </c>
      <c r="T274" s="6" t="inlineStr">
        <is>
          <t>b</t>
        </is>
      </c>
      <c r="U274" s="6" t="inlineStr">
        <is>
          <t>等级</t>
        </is>
      </c>
      <c r="V274" s="6" t="inlineStr">
        <is>
          <t>预测起始</t>
        </is>
      </c>
    </row>
    <row r="275">
      <c r="A275" s="7" t="inlineStr">
        <is>
          <t>P026</t>
        </is>
      </c>
      <c r="B275" s="7" t="inlineStr">
        <is>
          <t>古翔宇</t>
        </is>
      </c>
      <c r="C275" s="7" t="n">
        <v>180</v>
      </c>
      <c r="D275" s="8" t="n">
        <v>135</v>
      </c>
      <c r="E275" s="9" t="n"/>
      <c r="F275" s="9" t="n"/>
      <c r="G275" s="9" t="n"/>
      <c r="H275" s="9" t="n"/>
      <c r="I275" s="7">
        <f>IFERROR(SUM(E275:H275),"")</f>
        <v/>
      </c>
      <c r="J275" s="9" t="n"/>
      <c r="K275" s="9" t="n"/>
      <c r="L275" s="9" t="n"/>
      <c r="M275" s="9" t="n"/>
      <c r="N275" s="9" t="n"/>
      <c r="O275" s="7">
        <f>IFERROR(AVERAGE(L275:N275),"")</f>
        <v/>
      </c>
      <c r="P275" s="7">
        <f>IF(O275="","",IF(O275&lt;45.51,"是⚠","否"))</f>
        <v/>
      </c>
      <c r="Q275" s="7">
        <f>IF(O275="","",IF(O275&lt;45.51,3-1,3))</f>
        <v/>
      </c>
      <c r="R275" s="7" t="n"/>
      <c r="S275" s="8" t="n">
        <v>1.64</v>
      </c>
      <c r="T275" s="8" t="n">
        <v>-0.00975</v>
      </c>
      <c r="U275" s="7" t="inlineStr">
        <is>
          <t>A</t>
        </is>
      </c>
      <c r="V275" s="8" t="n">
        <v>112.5</v>
      </c>
    </row>
    <row r="276">
      <c r="A276" s="10" t="inlineStr">
        <is>
          <t>热身校准</t>
        </is>
      </c>
      <c r="B276" s="10" t="inlineStr">
        <is>
          <t>a</t>
        </is>
      </c>
      <c r="C276" s="10" t="inlineStr">
        <is>
          <t>b</t>
        </is>
      </c>
      <c r="D276" s="10" t="inlineStr">
        <is>
          <t>50%热身</t>
        </is>
      </c>
      <c r="E276" s="10" t="inlineStr">
        <is>
          <t>70%热身</t>
        </is>
      </c>
      <c r="F276" s="10" t="inlineStr">
        <is>
          <t>热身负荷</t>
        </is>
      </c>
      <c r="G276" s="10" t="inlineStr">
        <is>
          <t>实测MCV</t>
        </is>
      </c>
      <c r="H276" s="10" t="inlineStr">
        <is>
          <t>预测MCV</t>
        </is>
      </c>
      <c r="I276" s="10" t="inlineStr">
        <is>
          <t>Δv</t>
        </is>
      </c>
      <c r="J276" s="10" t="inlineStr">
        <is>
          <t>调整量</t>
        </is>
      </c>
      <c r="K276" s="10" t="inlineStr">
        <is>
          <t>校准第1组</t>
        </is>
      </c>
    </row>
    <row r="277">
      <c r="A277" s="7" t="n"/>
      <c r="B277" s="11" t="n">
        <v>1.64</v>
      </c>
      <c r="C277" s="11" t="n">
        <v>-0.00975</v>
      </c>
      <c r="D277" s="11">
        <f>IFERROR(ROUND(V275*0.5/2.5,0)*2.5,"")</f>
        <v/>
      </c>
      <c r="E277" s="11">
        <f>IFERROR(ROUND(V275*0.7/2.5,0)*2.5,"")</f>
        <v/>
      </c>
      <c r="F277" s="11">
        <f>IFERROR(ROUND(V275*0.6/2.5,0)*2.5,"")</f>
        <v/>
      </c>
      <c r="G277" s="9" t="n"/>
      <c r="H277" s="11">
        <f>IFERROR(B277+C277*F277,"")</f>
        <v/>
      </c>
      <c r="I277" s="11">
        <f>IFERROR(G277-H277,"")</f>
        <v/>
      </c>
      <c r="J277" s="11">
        <f>IFERROR(IF(I277&gt;0.08,5,IF(I277&gt;0.04,2.5,IF(I277&gt;=-0.04,0,IF(I277&gt;=-0.08,-2.5,-5)))),"")</f>
        <v/>
      </c>
      <c r="K277" s="11">
        <f>IFERROR(ROUND(V275+J277,0),"")</f>
        <v/>
      </c>
    </row>
    <row r="278">
      <c r="A278" s="12" t="inlineStr">
        <is>
          <t>组</t>
        </is>
      </c>
      <c r="B278" s="12" t="inlineStr">
        <is>
          <t>负荷</t>
        </is>
      </c>
      <c r="C278" s="12" t="inlineStr">
        <is>
          <t>rep1</t>
        </is>
      </c>
      <c r="D278" s="12" t="inlineStr">
        <is>
          <t>rep2</t>
        </is>
      </c>
      <c r="E278" s="12" t="inlineStr">
        <is>
          <t>rep3</t>
        </is>
      </c>
      <c r="F278" s="12" t="inlineStr">
        <is>
          <t>rep4</t>
        </is>
      </c>
      <c r="G278" s="12" t="inlineStr">
        <is>
          <t>rep5</t>
        </is>
      </c>
      <c r="H278" s="12" t="inlineStr">
        <is>
          <t>rep6</t>
        </is>
      </c>
      <c r="I278" s="12" t="inlineStr">
        <is>
          <t>best</t>
        </is>
      </c>
      <c r="J278" s="12" t="inlineStr">
        <is>
          <t>best#</t>
        </is>
      </c>
      <c r="K278" s="12" t="inlineStr">
        <is>
          <t>VL%</t>
        </is>
      </c>
      <c r="L278" s="12" t="inlineStr">
        <is>
          <t>stop_th</t>
        </is>
      </c>
      <c r="M278" s="12" t="inlineStr">
        <is>
          <t>latest</t>
        </is>
      </c>
      <c r="N278" s="12" t="inlineStr">
        <is>
          <t>VL_flag</t>
        </is>
      </c>
      <c r="O278" s="12" t="inlineStr">
        <is>
          <t>safety</t>
        </is>
      </c>
      <c r="P278" s="12" t="inlineStr">
        <is>
          <t>原因</t>
        </is>
      </c>
      <c r="Q278" s="12" t="inlineStr">
        <is>
          <t>建议</t>
        </is>
      </c>
      <c r="R278" s="12" t="inlineStr">
        <is>
          <t>次数</t>
        </is>
      </c>
    </row>
    <row r="279">
      <c r="A279" s="7" t="n">
        <v>1</v>
      </c>
      <c r="B279" s="9">
        <f>IFERROR(K277,"")</f>
        <v/>
      </c>
      <c r="C279" s="9" t="n"/>
      <c r="D279" s="9" t="n"/>
      <c r="E279" s="9" t="n"/>
      <c r="F279" s="9" t="n"/>
      <c r="G279" s="9" t="n"/>
      <c r="H279" s="9" t="n"/>
      <c r="I279" s="7">
        <f>IFERROR(MAX(C279:H279),"")</f>
        <v/>
      </c>
      <c r="J279" s="7">
        <f>IFERROR(MATCH(I279,C279:H279,0),"")</f>
        <v/>
      </c>
      <c r="K279" s="7" t="n">
        <v>15</v>
      </c>
      <c r="L279" s="7">
        <f>IFERROR(I279*(1-(K279/100)),"")</f>
        <v/>
      </c>
      <c r="M279" s="7">
        <f>IFERROR(LOOKUP(9.99E+307,C279:H279),"")</f>
        <v/>
      </c>
      <c r="N279" s="7">
        <f>IFERROR(IF(M279="","",IF(M279&lt;=N279,"停组🛑","继续✓")),"")</f>
        <v/>
      </c>
      <c r="O279" s="7">
        <f>IFERROR(IF(M279="","",IF(M279&lt;0.15,"SAFETY_STOP","")),"")</f>
        <v/>
      </c>
      <c r="P279" s="7">
        <f>IFERROR(IF(M279="","",IF(M279&lt;0.15,"SAFETY_STOP",IF(M279&lt;=N279,"VL_THRESHOLD",""))),"")</f>
        <v/>
      </c>
      <c r="Q279" s="7">
        <f>IFERROR(IF(I279="","",IF(I279&gt;(0.55+0.05),"+5kg",IF(I279&gt;(0.55+0.02),"+2.5kg",IF(I279&gt;=(0.55-0.05),"保持",IF(I279&gt;=(0.55-0.08),"-2.5kg","-5kg"))))),"")</f>
        <v/>
      </c>
      <c r="R279" s="9" t="n"/>
    </row>
    <row r="280">
      <c r="A280" s="7" t="n">
        <v>2</v>
      </c>
      <c r="B280" s="9" t="n"/>
      <c r="C280" s="9" t="n"/>
      <c r="D280" s="9" t="n"/>
      <c r="E280" s="9" t="n"/>
      <c r="F280" s="9" t="n"/>
      <c r="G280" s="9" t="n"/>
      <c r="H280" s="9" t="n"/>
      <c r="I280" s="7">
        <f>IFERROR(MAX(C280:H280),"")</f>
        <v/>
      </c>
      <c r="J280" s="7">
        <f>IFERROR(MATCH(I280,C280:H280,0),"")</f>
        <v/>
      </c>
      <c r="K280" s="7" t="n">
        <v>15</v>
      </c>
      <c r="L280" s="7">
        <f>IFERROR(I280*(1-(K280/100)),"")</f>
        <v/>
      </c>
      <c r="M280" s="7">
        <f>IFERROR(LOOKUP(9.99E+307,C280:H280),"")</f>
        <v/>
      </c>
      <c r="N280" s="7">
        <f>IFERROR(IF(M280="","",IF(M280&lt;=N280,"停组🛑","继续✓")),"")</f>
        <v/>
      </c>
      <c r="O280" s="7">
        <f>IFERROR(IF(M280="","",IF(M280&lt;0.15,"SAFETY_STOP","")),"")</f>
        <v/>
      </c>
      <c r="P280" s="7">
        <f>IFERROR(IF(M280="","",IF(M280&lt;0.15,"SAFETY_STOP",IF(M280&lt;=N280,"VL_THRESHOLD",""))),"")</f>
        <v/>
      </c>
      <c r="Q280" s="7">
        <f>IFERROR(IF(I280="","",IF(I280&gt;(0.55+0.05),"+5kg",IF(I280&gt;(0.55+0.02),"+2.5kg",IF(I280&gt;=(0.55-0.05),"保持",IF(I280&gt;=(0.55-0.08),"-2.5kg","-5kg"))))),"")</f>
        <v/>
      </c>
      <c r="R280" s="9" t="n"/>
    </row>
    <row r="281">
      <c r="A281" s="7" t="n">
        <v>3</v>
      </c>
      <c r="B281" s="9" t="n"/>
      <c r="C281" s="9" t="n"/>
      <c r="D281" s="9" t="n"/>
      <c r="E281" s="9" t="n"/>
      <c r="F281" s="9" t="n"/>
      <c r="G281" s="9" t="n"/>
      <c r="H281" s="9" t="n"/>
      <c r="I281" s="7">
        <f>IFERROR(MAX(C281:H281),"")</f>
        <v/>
      </c>
      <c r="J281" s="7">
        <f>IFERROR(MATCH(I281,C281:H281,0),"")</f>
        <v/>
      </c>
      <c r="K281" s="7" t="n">
        <v>15</v>
      </c>
      <c r="L281" s="7">
        <f>IFERROR(I281*(1-(K281/100)),"")</f>
        <v/>
      </c>
      <c r="M281" s="7">
        <f>IFERROR(LOOKUP(9.99E+307,C281:H281),"")</f>
        <v/>
      </c>
      <c r="N281" s="7">
        <f>IFERROR(IF(M281="","",IF(M281&lt;=N281,"停组🛑","继续✓")),"")</f>
        <v/>
      </c>
      <c r="O281" s="7">
        <f>IFERROR(IF(M281="","",IF(M281&lt;0.15,"SAFETY_STOP","")),"")</f>
        <v/>
      </c>
      <c r="P281" s="7">
        <f>IFERROR(IF(M281="","",IF(M281&lt;0.15,"SAFETY_STOP",IF(M281&lt;=N281,"VL_THRESHOLD",""))),"")</f>
        <v/>
      </c>
      <c r="Q281" s="7">
        <f>IFERROR(IF(I281="","",IF(I281&gt;(0.55+0.05),"+5kg",IF(I281&gt;(0.55+0.02),"+2.5kg",IF(I281&gt;=(0.55-0.05),"保持",IF(I281&gt;=(0.55-0.08),"-2.5kg","-5kg"))))),"")</f>
        <v/>
      </c>
      <c r="R281" s="9" t="n"/>
    </row>
    <row r="282">
      <c r="A282" s="7" t="n">
        <v>4</v>
      </c>
      <c r="B282" s="9" t="n"/>
      <c r="C282" s="9" t="n"/>
      <c r="D282" s="9" t="n"/>
      <c r="E282" s="9" t="n"/>
      <c r="F282" s="9" t="n"/>
      <c r="G282" s="9" t="n"/>
      <c r="H282" s="9" t="n"/>
      <c r="I282" s="7">
        <f>IFERROR(MAX(C282:H282),"")</f>
        <v/>
      </c>
      <c r="J282" s="7">
        <f>IFERROR(MATCH(I282,C282:H282,0),"")</f>
        <v/>
      </c>
      <c r="K282" s="7" t="n">
        <v>15</v>
      </c>
      <c r="L282" s="7">
        <f>IFERROR(I282*(1-(K282/100)),"")</f>
        <v/>
      </c>
      <c r="M282" s="7">
        <f>IFERROR(LOOKUP(9.99E+307,C282:H282),"")</f>
        <v/>
      </c>
      <c r="N282" s="7">
        <f>IFERROR(IF(M282="","",IF(M282&lt;=N282,"停组🛑","继续✓")),"")</f>
        <v/>
      </c>
      <c r="O282" s="7">
        <f>IFERROR(IF(M282="","",IF(M282&lt;0.15,"SAFETY_STOP","")),"")</f>
        <v/>
      </c>
      <c r="P282" s="7">
        <f>IFERROR(IF(M282="","",IF(M282&lt;0.15,"SAFETY_STOP",IF(M282&lt;=N282,"VL_THRESHOLD",""))),"")</f>
        <v/>
      </c>
      <c r="Q282" s="7">
        <f>IFERROR(IF(I282="","",IF(I282&gt;(0.55+0.05),"+5kg",IF(I282&gt;(0.55+0.02),"+2.5kg",IF(I282&gt;=(0.55-0.05),"保持",IF(I282&gt;=(0.55-0.08),"-2.5kg","-5kg"))))),"")</f>
        <v/>
      </c>
      <c r="R282" s="9" t="n"/>
    </row>
    <row r="283">
      <c r="A283" s="7" t="n">
        <v>5</v>
      </c>
      <c r="B283" s="9" t="n"/>
      <c r="C283" s="9" t="n"/>
      <c r="D283" s="9" t="n"/>
      <c r="E283" s="9" t="n"/>
      <c r="F283" s="9" t="n"/>
      <c r="G283" s="9" t="n"/>
      <c r="H283" s="9" t="n"/>
      <c r="I283" s="7">
        <f>IFERROR(MAX(C283:H283),"")</f>
        <v/>
      </c>
      <c r="J283" s="7">
        <f>IFERROR(MATCH(I283,C283:H283,0),"")</f>
        <v/>
      </c>
      <c r="K283" s="7" t="n">
        <v>15</v>
      </c>
      <c r="L283" s="7">
        <f>IFERROR(I283*(1-(K283/100)),"")</f>
        <v/>
      </c>
      <c r="M283" s="7">
        <f>IFERROR(LOOKUP(9.99E+307,C283:H283),"")</f>
        <v/>
      </c>
      <c r="N283" s="7">
        <f>IFERROR(IF(M283="","",IF(M283&lt;=N283,"停组🛑","继续✓")),"")</f>
        <v/>
      </c>
      <c r="O283" s="7">
        <f>IFERROR(IF(M283="","",IF(M283&lt;0.15,"SAFETY_STOP","")),"")</f>
        <v/>
      </c>
      <c r="P283" s="7">
        <f>IFERROR(IF(M283="","",IF(M283&lt;0.15,"SAFETY_STOP",IF(M283&lt;=N283,"VL_THRESHOLD",""))),"")</f>
        <v/>
      </c>
      <c r="Q283" s="7">
        <f>IFERROR(IF(I283="","",IF(I283&gt;(0.55+0.05),"+5kg",IF(I283&gt;(0.55+0.02),"+2.5kg",IF(I283&gt;=(0.55-0.05),"保持",IF(I283&gt;=(0.55-0.08),"-2.5kg","-5kg"))))),"")</f>
        <v/>
      </c>
      <c r="R283" s="9" t="n"/>
    </row>
    <row r="284">
      <c r="A284" s="7" t="n">
        <v>6</v>
      </c>
      <c r="B284" s="9" t="n"/>
      <c r="C284" s="9" t="n"/>
      <c r="D284" s="9" t="n"/>
      <c r="E284" s="9" t="n"/>
      <c r="F284" s="9" t="n"/>
      <c r="G284" s="9" t="n"/>
      <c r="H284" s="9" t="n"/>
      <c r="I284" s="7">
        <f>IFERROR(MAX(C284:H284),"")</f>
        <v/>
      </c>
      <c r="J284" s="7">
        <f>IFERROR(MATCH(I284,C284:H284,0),"")</f>
        <v/>
      </c>
      <c r="K284" s="7" t="n">
        <v>15</v>
      </c>
      <c r="L284" s="7">
        <f>IFERROR(I284*(1-(K284/100)),"")</f>
        <v/>
      </c>
      <c r="M284" s="7">
        <f>IFERROR(LOOKUP(9.99E+307,C284:H284),"")</f>
        <v/>
      </c>
      <c r="N284" s="7">
        <f>IFERROR(IF(M284="","",IF(M284&lt;=N284,"停组🛑","继续✓")),"")</f>
        <v/>
      </c>
      <c r="O284" s="7">
        <f>IFERROR(IF(M284="","",IF(M284&lt;0.15,"SAFETY_STOP","")),"")</f>
        <v/>
      </c>
      <c r="P284" s="7">
        <f>IFERROR(IF(M284="","",IF(M284&lt;0.15,"SAFETY_STOP",IF(M284&lt;=N284,"VL_THRESHOLD",""))),"")</f>
        <v/>
      </c>
      <c r="Q284" s="7">
        <f>IFERROR(IF(I284="","",IF(I284&gt;(0.55+0.05),"+5kg",IF(I284&gt;(0.55+0.02),"+2.5kg",IF(I284&gt;=(0.55-0.05),"保持",IF(I284&gt;=(0.55-0.08),"-2.5kg","-5kg"))))),"")</f>
        <v/>
      </c>
      <c r="R284" s="9" t="n"/>
    </row>
    <row r="285">
      <c r="A285" s="13" t="inlineStr">
        <is>
          <t>辅助</t>
        </is>
      </c>
      <c r="D285" s="14" t="inlineStr">
        <is>
          <t>RDL</t>
        </is>
      </c>
      <c r="E285" s="14" t="inlineStr">
        <is>
          <t>负荷</t>
        </is>
      </c>
      <c r="F285" s="14" t="inlineStr">
        <is>
          <t>完成</t>
        </is>
      </c>
      <c r="I285" t="inlineStr">
        <is>
          <t>VL</t>
        </is>
      </c>
    </row>
    <row r="286">
      <c r="A286" s="15" t="inlineStr">
        <is>
          <t>训练后</t>
        </is>
      </c>
      <c r="B286" s="15" t="inlineStr">
        <is>
          <t>开始</t>
        </is>
      </c>
      <c r="C286" s="15" t="inlineStr">
        <is>
          <t>结束</t>
        </is>
      </c>
      <c r="D286" s="15" t="inlineStr">
        <is>
          <t>时长min</t>
        </is>
      </c>
      <c r="E286" s="15" t="inlineStr">
        <is>
          <t>sRPE</t>
        </is>
      </c>
      <c r="F286" s="15" t="inlineStr">
        <is>
          <t>load</t>
        </is>
      </c>
      <c r="G286" s="15" t="inlineStr">
        <is>
          <t>不适?</t>
        </is>
      </c>
      <c r="H286" s="15" t="inlineStr">
        <is>
          <t>备注</t>
        </is>
      </c>
      <c r="I286" s="15" t="inlineStr">
        <is>
          <t>签名</t>
        </is>
      </c>
    </row>
    <row r="287">
      <c r="A287" s="7" t="n"/>
      <c r="B287" s="9" t="n"/>
      <c r="C287" s="9" t="n"/>
      <c r="D287" s="11">
        <f>IFERROR((C287-B287)*1440,"")</f>
        <v/>
      </c>
      <c r="E287" s="9" t="n"/>
      <c r="F287" s="11">
        <f>IFERROR(E287*D287,"")</f>
        <v/>
      </c>
      <c r="G287" s="9" t="n"/>
      <c r="H287" s="9" t="n"/>
      <c r="I287" s="9" t="n"/>
    </row>
    <row r="288">
      <c r="A288" s="16" t="inlineStr">
        <is>
          <t>跳跃</t>
        </is>
      </c>
      <c r="B288" s="16" t="inlineStr">
        <is>
          <t>类型</t>
        </is>
      </c>
      <c r="C288" s="16" t="inlineStr">
        <is>
          <t>组×次</t>
        </is>
      </c>
      <c r="D288" s="16" t="inlineStr">
        <is>
          <t>负荷kg</t>
        </is>
      </c>
      <c r="E288" s="16" t="inlineStr">
        <is>
          <t>接触</t>
        </is>
      </c>
    </row>
    <row r="289">
      <c r="B289" t="inlineStr">
        <is>
          <t>CMJ</t>
        </is>
      </c>
      <c r="C289" t="inlineStr">
        <is>
          <t>3×3</t>
        </is>
      </c>
      <c r="D289" t="n">
        <v>0</v>
      </c>
      <c r="E289" t="n">
        <v>9</v>
      </c>
    </row>
    <row r="290">
      <c r="B290" t="inlineStr">
        <is>
          <t>箱跳</t>
        </is>
      </c>
      <c r="C290" t="inlineStr">
        <is>
          <t>1×3</t>
        </is>
      </c>
      <c r="D290" t="n">
        <v>0</v>
      </c>
      <c r="E290" t="n">
        <v>3</v>
      </c>
    </row>
    <row r="291">
      <c r="A291" s="17" t="inlineStr">
        <is>
          <t>▶ 暴露量汇总</t>
        </is>
      </c>
      <c r="B291" s="17" t="inlineStr">
        <is>
          <t>说明</t>
        </is>
      </c>
      <c r="C291" s="17" t="inlineStr">
        <is>
          <t>公式/来源</t>
        </is>
      </c>
      <c r="D291" s="17" t="inlineStr">
        <is>
          <t>数值</t>
        </is>
      </c>
    </row>
    <row r="292">
      <c r="A292" s="18" t="inlineStr">
        <is>
          <t>① 无负荷跳跃接触</t>
        </is>
      </c>
      <c r="B292" s="18" t="inlineStr">
        <is>
          <t>CMJ+SJ+箱跳</t>
        </is>
      </c>
      <c r="C292" s="19">
        <f>IFERROR(E289+E290,2)</f>
        <v/>
      </c>
    </row>
    <row r="293">
      <c r="A293" s="18" t="inlineStr">
        <is>
          <t>② 负重跳跃接触</t>
        </is>
      </c>
      <c r="B293" s="18" t="inlineStr">
        <is>
          <t>负重深蹲跳</t>
        </is>
      </c>
      <c r="C293" s="19">
        <f>IFERROR(E289,"")</f>
        <v/>
      </c>
    </row>
    <row r="294">
      <c r="A294" s="18" t="inlineStr">
        <is>
          <t>③ 跳跃总计</t>
        </is>
      </c>
      <c r="B294" s="18" t="inlineStr">
        <is>
          <t>①+②</t>
        </is>
      </c>
      <c r="C294" s="19">
        <f>IFERROR(B292+B293,"")</f>
        <v/>
      </c>
    </row>
    <row r="295">
      <c r="A295" s="18" t="inlineStr">
        <is>
          <t>④ 热身VL</t>
        </is>
      </c>
      <c r="B295" s="18" t="inlineStr">
        <is>
          <t>20×5+50%×3(+70%×2)</t>
        </is>
      </c>
      <c r="C295" s="19">
        <f>IFERROR(20*5+ROUND(V275*0.5,0)*3+ROUND(V{dr}*0.7,0)*2,"-")</f>
        <v/>
      </c>
    </row>
    <row r="296">
      <c r="A296" s="20" t="inlineStr">
        <is>
          <t>⑤ 主项工作组VL ★</t>
        </is>
      </c>
      <c r="B296" s="20" t="inlineStr">
        <is>
          <t>Σ(负荷×次数)</t>
        </is>
      </c>
      <c r="C296" s="21">
        <f>SUMPRODUCT($B$279:$B$284,$R$279:$R$284)</f>
        <v/>
      </c>
    </row>
    <row r="297">
      <c r="A297" s="18" t="inlineStr">
        <is>
          <t>⑥ 主项总VL</t>
        </is>
      </c>
      <c r="B297" s="18" t="inlineStr">
        <is>
          <t>④+⑤</t>
        </is>
      </c>
      <c r="C297" s="19">
        <f>IFERROR(D292+D293,"")</f>
        <v/>
      </c>
    </row>
    <row r="298">
      <c r="A298" s="18" t="inlineStr">
        <is>
          <t>⑦ 辅助VL</t>
        </is>
      </c>
      <c r="B298" s="18" t="inlineStr">
        <is>
          <t>RDL/保加利亚</t>
        </is>
      </c>
      <c r="C298" s="19">
        <f>IFERROR(I285,"")</f>
        <v/>
      </c>
    </row>
    <row r="299">
      <c r="A299" s="18" t="inlineStr">
        <is>
          <t>⑧ 总外部负荷</t>
        </is>
      </c>
      <c r="B299" s="18" t="inlineStr">
        <is>
          <t>⑥+⑦(+负重跳)</t>
        </is>
      </c>
      <c r="C299" s="19">
        <f>IFERROR(F292+G292,"")</f>
        <v/>
      </c>
    </row>
    <row r="300">
      <c r="A300" s="18" t="inlineStr">
        <is>
          <t>⑨ sRPE load</t>
        </is>
      </c>
      <c r="B300" s="18" t="inlineStr">
        <is>
          <t>sRPE×时长</t>
        </is>
      </c>
      <c r="C300" s="19">
        <f>IFERROR(F287,"")</f>
        <v/>
      </c>
    </row>
    <row r="303">
      <c r="A303" s="5" t="inlineStr">
        <is>
          <t>P010 张锦荣  a=1.26 b=-0.006 1RM=120</t>
        </is>
      </c>
    </row>
    <row r="304">
      <c r="A304" s="6" t="inlineStr">
        <is>
          <t>编号</t>
        </is>
      </c>
      <c r="B304" s="6" t="inlineStr">
        <is>
          <t>姓名</t>
        </is>
      </c>
      <c r="C304" s="6" t="inlineStr">
        <is>
          <t>身高</t>
        </is>
      </c>
      <c r="D304" s="6" t="inlineStr">
        <is>
          <t>1RM</t>
        </is>
      </c>
      <c r="E304" s="6" t="inlineStr">
        <is>
          <t>Hooper睡</t>
        </is>
      </c>
      <c r="F304" s="6" t="inlineStr">
        <is>
          <t>Hooper压</t>
        </is>
      </c>
      <c r="G304" s="6" t="inlineStr">
        <is>
          <t>Hooper疲</t>
        </is>
      </c>
      <c r="H304" s="6" t="inlineStr">
        <is>
          <t>Hooper酸</t>
        </is>
      </c>
      <c r="I304" s="6" t="inlineStr">
        <is>
          <t>H总</t>
        </is>
      </c>
      <c r="J304" s="6" t="inlineStr">
        <is>
          <t>不适?</t>
        </is>
      </c>
      <c r="K304" s="6" t="inlineStr">
        <is>
          <t>说明</t>
        </is>
      </c>
      <c r="L304" s="6" t="inlineStr">
        <is>
          <t>CMJ1</t>
        </is>
      </c>
      <c r="M304" s="6" t="inlineStr">
        <is>
          <t>CMJ2</t>
        </is>
      </c>
      <c r="N304" s="6" t="inlineStr">
        <is>
          <t>CMJ3</t>
        </is>
      </c>
      <c r="O304" s="6" t="inlineStr">
        <is>
          <t>CMJμ</t>
        </is>
      </c>
      <c r="P304" s="6" t="inlineStr">
        <is>
          <t>&lt;95%</t>
        </is>
      </c>
      <c r="Q304" s="6" t="inlineStr">
        <is>
          <t>减组</t>
        </is>
      </c>
      <c r="R304" s="6" t="inlineStr">
        <is>
          <t>组数</t>
        </is>
      </c>
      <c r="S304" s="6" t="inlineStr">
        <is>
          <t>a(V0)</t>
        </is>
      </c>
      <c r="T304" s="6" t="inlineStr">
        <is>
          <t>b</t>
        </is>
      </c>
      <c r="U304" s="6" t="inlineStr">
        <is>
          <t>等级</t>
        </is>
      </c>
      <c r="V304" s="6" t="inlineStr">
        <is>
          <t>预测起始</t>
        </is>
      </c>
    </row>
    <row r="305">
      <c r="A305" s="7" t="inlineStr">
        <is>
          <t>P010</t>
        </is>
      </c>
      <c r="B305" s="7" t="inlineStr">
        <is>
          <t>张锦荣</t>
        </is>
      </c>
      <c r="C305" s="7" t="n">
        <v>174</v>
      </c>
      <c r="D305" s="8" t="n">
        <v>120</v>
      </c>
      <c r="E305" s="9" t="n"/>
      <c r="F305" s="9" t="n"/>
      <c r="G305" s="9" t="n"/>
      <c r="H305" s="9" t="n"/>
      <c r="I305" s="7">
        <f>IFERROR(SUM(E305:H305),"")</f>
        <v/>
      </c>
      <c r="J305" s="9" t="n"/>
      <c r="K305" s="9" t="n"/>
      <c r="L305" s="9" t="n"/>
      <c r="M305" s="9" t="n"/>
      <c r="N305" s="9" t="n"/>
      <c r="O305" s="7">
        <f>IFERROR(AVERAGE(L305:N305),"")</f>
        <v/>
      </c>
      <c r="P305" s="7">
        <f>IF(O305="","",IF(O305&lt;50.42,"是⚠","否"))</f>
        <v/>
      </c>
      <c r="Q305" s="7">
        <f>IF(O305="","",IF(O305&lt;50.42,3-1,3))</f>
        <v/>
      </c>
      <c r="R305" s="7" t="n"/>
      <c r="S305" s="8" t="n">
        <v>1.26</v>
      </c>
      <c r="T305" s="8" t="n">
        <v>-0.006</v>
      </c>
      <c r="U305" s="7" t="inlineStr">
        <is>
          <t>B</t>
        </is>
      </c>
      <c r="V305" s="8" t="n">
        <v>117.5</v>
      </c>
    </row>
    <row r="306">
      <c r="A306" s="10" t="inlineStr">
        <is>
          <t>热身校准</t>
        </is>
      </c>
      <c r="B306" s="10" t="inlineStr">
        <is>
          <t>a</t>
        </is>
      </c>
      <c r="C306" s="10" t="inlineStr">
        <is>
          <t>b</t>
        </is>
      </c>
      <c r="D306" s="10" t="inlineStr">
        <is>
          <t>50%热身</t>
        </is>
      </c>
      <c r="E306" s="10" t="inlineStr">
        <is>
          <t>70%热身</t>
        </is>
      </c>
      <c r="F306" s="10" t="inlineStr">
        <is>
          <t>热身负荷</t>
        </is>
      </c>
      <c r="G306" s="10" t="inlineStr">
        <is>
          <t>实测MCV</t>
        </is>
      </c>
      <c r="H306" s="10" t="inlineStr">
        <is>
          <t>预测MCV</t>
        </is>
      </c>
      <c r="I306" s="10" t="inlineStr">
        <is>
          <t>Δv</t>
        </is>
      </c>
      <c r="J306" s="10" t="inlineStr">
        <is>
          <t>调整量</t>
        </is>
      </c>
      <c r="K306" s="10" t="inlineStr">
        <is>
          <t>校准第1组</t>
        </is>
      </c>
    </row>
    <row r="307">
      <c r="A307" s="7" t="n"/>
      <c r="B307" s="11" t="n">
        <v>1.26</v>
      </c>
      <c r="C307" s="11" t="n">
        <v>-0.006</v>
      </c>
      <c r="D307" s="11">
        <f>IFERROR(ROUND(V305*0.5/2.5,0)*2.5,"")</f>
        <v/>
      </c>
      <c r="E307" s="11">
        <f>IFERROR(ROUND(V305*0.7/2.5,0)*2.5,"")</f>
        <v/>
      </c>
      <c r="F307" s="11">
        <f>IFERROR(ROUND(V305*0.6/2.5,0)*2.5,"")</f>
        <v/>
      </c>
      <c r="G307" s="9" t="n"/>
      <c r="H307" s="11">
        <f>IFERROR(B307+C307*F307,"")</f>
        <v/>
      </c>
      <c r="I307" s="11">
        <f>IFERROR(G307-H307,"")</f>
        <v/>
      </c>
      <c r="J307" s="11">
        <f>IFERROR(IF(I307&gt;0.08,5,IF(I307&gt;0.04,2.5,IF(I307&gt;=-0.04,0,IF(I307&gt;=-0.08,-2.5,-5)))),"")</f>
        <v/>
      </c>
      <c r="K307" s="11">
        <f>IFERROR(ROUND(V305+J307,0),"")</f>
        <v/>
      </c>
    </row>
    <row r="308">
      <c r="A308" s="12" t="inlineStr">
        <is>
          <t>组</t>
        </is>
      </c>
      <c r="B308" s="12" t="inlineStr">
        <is>
          <t>负荷</t>
        </is>
      </c>
      <c r="C308" s="12" t="inlineStr">
        <is>
          <t>rep1</t>
        </is>
      </c>
      <c r="D308" s="12" t="inlineStr">
        <is>
          <t>rep2</t>
        </is>
      </c>
      <c r="E308" s="12" t="inlineStr">
        <is>
          <t>rep3</t>
        </is>
      </c>
      <c r="F308" s="12" t="inlineStr">
        <is>
          <t>rep4</t>
        </is>
      </c>
      <c r="G308" s="12" t="inlineStr">
        <is>
          <t>rep5</t>
        </is>
      </c>
      <c r="H308" s="12" t="inlineStr">
        <is>
          <t>rep6</t>
        </is>
      </c>
      <c r="I308" s="12" t="inlineStr">
        <is>
          <t>best</t>
        </is>
      </c>
      <c r="J308" s="12" t="inlineStr">
        <is>
          <t>best#</t>
        </is>
      </c>
      <c r="K308" s="12" t="inlineStr">
        <is>
          <t>VL%</t>
        </is>
      </c>
      <c r="L308" s="12" t="inlineStr">
        <is>
          <t>stop_th</t>
        </is>
      </c>
      <c r="M308" s="12" t="inlineStr">
        <is>
          <t>latest</t>
        </is>
      </c>
      <c r="N308" s="12" t="inlineStr">
        <is>
          <t>VL_flag</t>
        </is>
      </c>
      <c r="O308" s="12" t="inlineStr">
        <is>
          <t>safety</t>
        </is>
      </c>
      <c r="P308" s="12" t="inlineStr">
        <is>
          <t>原因</t>
        </is>
      </c>
      <c r="Q308" s="12" t="inlineStr">
        <is>
          <t>建议</t>
        </is>
      </c>
      <c r="R308" s="12" t="inlineStr">
        <is>
          <t>次数</t>
        </is>
      </c>
    </row>
    <row r="309">
      <c r="A309" s="7" t="n">
        <v>1</v>
      </c>
      <c r="B309" s="9">
        <f>IFERROR(K307,"")</f>
        <v/>
      </c>
      <c r="C309" s="9" t="n"/>
      <c r="D309" s="9" t="n"/>
      <c r="E309" s="9" t="n"/>
      <c r="F309" s="9" t="n"/>
      <c r="G309" s="9" t="n"/>
      <c r="H309" s="9" t="n"/>
      <c r="I309" s="7">
        <f>IFERROR(MAX(C309:H309),"")</f>
        <v/>
      </c>
      <c r="J309" s="7">
        <f>IFERROR(MATCH(I309,C309:H309,0),"")</f>
        <v/>
      </c>
      <c r="K309" s="7" t="n">
        <v>15</v>
      </c>
      <c r="L309" s="7">
        <f>IFERROR(I309*(1-(K309/100)),"")</f>
        <v/>
      </c>
      <c r="M309" s="7">
        <f>IFERROR(LOOKUP(9.99E+307,C309:H309),"")</f>
        <v/>
      </c>
      <c r="N309" s="7">
        <f>IFERROR(IF(M309="","",IF(M309&lt;=N309,"停组🛑","继续✓")),"")</f>
        <v/>
      </c>
      <c r="O309" s="7">
        <f>IFERROR(IF(M309="","",IF(M309&lt;0.15,"SAFETY_STOP","")),"")</f>
        <v/>
      </c>
      <c r="P309" s="7">
        <f>IFERROR(IF(M309="","",IF(M309&lt;0.15,"SAFETY_STOP",IF(M309&lt;=N309,"VL_THRESHOLD",""))),"")</f>
        <v/>
      </c>
      <c r="Q309" s="7">
        <f>IFERROR(IF(I309="","",IF(I309&gt;(0.55+0.05),"+5kg",IF(I309&gt;(0.55+0.02),"+2.5kg",IF(I309&gt;=(0.55-0.05),"保持",IF(I309&gt;=(0.55-0.08),"-2.5kg","-5kg"))))),"")</f>
        <v/>
      </c>
      <c r="R309" s="9" t="n"/>
    </row>
    <row r="310">
      <c r="A310" s="7" t="n">
        <v>2</v>
      </c>
      <c r="B310" s="9" t="n"/>
      <c r="C310" s="9" t="n"/>
      <c r="D310" s="9" t="n"/>
      <c r="E310" s="9" t="n"/>
      <c r="F310" s="9" t="n"/>
      <c r="G310" s="9" t="n"/>
      <c r="H310" s="9" t="n"/>
      <c r="I310" s="7">
        <f>IFERROR(MAX(C310:H310),"")</f>
        <v/>
      </c>
      <c r="J310" s="7">
        <f>IFERROR(MATCH(I310,C310:H310,0),"")</f>
        <v/>
      </c>
      <c r="K310" s="7" t="n">
        <v>15</v>
      </c>
      <c r="L310" s="7">
        <f>IFERROR(I310*(1-(K310/100)),"")</f>
        <v/>
      </c>
      <c r="M310" s="7">
        <f>IFERROR(LOOKUP(9.99E+307,C310:H310),"")</f>
        <v/>
      </c>
      <c r="N310" s="7">
        <f>IFERROR(IF(M310="","",IF(M310&lt;=N310,"停组🛑","继续✓")),"")</f>
        <v/>
      </c>
      <c r="O310" s="7">
        <f>IFERROR(IF(M310="","",IF(M310&lt;0.15,"SAFETY_STOP","")),"")</f>
        <v/>
      </c>
      <c r="P310" s="7">
        <f>IFERROR(IF(M310="","",IF(M310&lt;0.15,"SAFETY_STOP",IF(M310&lt;=N310,"VL_THRESHOLD",""))),"")</f>
        <v/>
      </c>
      <c r="Q310" s="7">
        <f>IFERROR(IF(I310="","",IF(I310&gt;(0.55+0.05),"+5kg",IF(I310&gt;(0.55+0.02),"+2.5kg",IF(I310&gt;=(0.55-0.05),"保持",IF(I310&gt;=(0.55-0.08),"-2.5kg","-5kg"))))),"")</f>
        <v/>
      </c>
      <c r="R310" s="9" t="n"/>
    </row>
    <row r="311">
      <c r="A311" s="7" t="n">
        <v>3</v>
      </c>
      <c r="B311" s="9" t="n"/>
      <c r="C311" s="9" t="n"/>
      <c r="D311" s="9" t="n"/>
      <c r="E311" s="9" t="n"/>
      <c r="F311" s="9" t="n"/>
      <c r="G311" s="9" t="n"/>
      <c r="H311" s="9" t="n"/>
      <c r="I311" s="7">
        <f>IFERROR(MAX(C311:H311),"")</f>
        <v/>
      </c>
      <c r="J311" s="7">
        <f>IFERROR(MATCH(I311,C311:H311,0),"")</f>
        <v/>
      </c>
      <c r="K311" s="7" t="n">
        <v>15</v>
      </c>
      <c r="L311" s="7">
        <f>IFERROR(I311*(1-(K311/100)),"")</f>
        <v/>
      </c>
      <c r="M311" s="7">
        <f>IFERROR(LOOKUP(9.99E+307,C311:H311),"")</f>
        <v/>
      </c>
      <c r="N311" s="7">
        <f>IFERROR(IF(M311="","",IF(M311&lt;=N311,"停组🛑","继续✓")),"")</f>
        <v/>
      </c>
      <c r="O311" s="7">
        <f>IFERROR(IF(M311="","",IF(M311&lt;0.15,"SAFETY_STOP","")),"")</f>
        <v/>
      </c>
      <c r="P311" s="7">
        <f>IFERROR(IF(M311="","",IF(M311&lt;0.15,"SAFETY_STOP",IF(M311&lt;=N311,"VL_THRESHOLD",""))),"")</f>
        <v/>
      </c>
      <c r="Q311" s="7">
        <f>IFERROR(IF(I311="","",IF(I311&gt;(0.55+0.05),"+5kg",IF(I311&gt;(0.55+0.02),"+2.5kg",IF(I311&gt;=(0.55-0.05),"保持",IF(I311&gt;=(0.55-0.08),"-2.5kg","-5kg"))))),"")</f>
        <v/>
      </c>
      <c r="R311" s="9" t="n"/>
    </row>
    <row r="312">
      <c r="A312" s="7" t="n">
        <v>4</v>
      </c>
      <c r="B312" s="9" t="n"/>
      <c r="C312" s="9" t="n"/>
      <c r="D312" s="9" t="n"/>
      <c r="E312" s="9" t="n"/>
      <c r="F312" s="9" t="n"/>
      <c r="G312" s="9" t="n"/>
      <c r="H312" s="9" t="n"/>
      <c r="I312" s="7">
        <f>IFERROR(MAX(C312:H312),"")</f>
        <v/>
      </c>
      <c r="J312" s="7">
        <f>IFERROR(MATCH(I312,C312:H312,0),"")</f>
        <v/>
      </c>
      <c r="K312" s="7" t="n">
        <v>15</v>
      </c>
      <c r="L312" s="7">
        <f>IFERROR(I312*(1-(K312/100)),"")</f>
        <v/>
      </c>
      <c r="M312" s="7">
        <f>IFERROR(LOOKUP(9.99E+307,C312:H312),"")</f>
        <v/>
      </c>
      <c r="N312" s="7">
        <f>IFERROR(IF(M312="","",IF(M312&lt;=N312,"停组🛑","继续✓")),"")</f>
        <v/>
      </c>
      <c r="O312" s="7">
        <f>IFERROR(IF(M312="","",IF(M312&lt;0.15,"SAFETY_STOP","")),"")</f>
        <v/>
      </c>
      <c r="P312" s="7">
        <f>IFERROR(IF(M312="","",IF(M312&lt;0.15,"SAFETY_STOP",IF(M312&lt;=N312,"VL_THRESHOLD",""))),"")</f>
        <v/>
      </c>
      <c r="Q312" s="7">
        <f>IFERROR(IF(I312="","",IF(I312&gt;(0.55+0.05),"+5kg",IF(I312&gt;(0.55+0.02),"+2.5kg",IF(I312&gt;=(0.55-0.05),"保持",IF(I312&gt;=(0.55-0.08),"-2.5kg","-5kg"))))),"")</f>
        <v/>
      </c>
      <c r="R312" s="9" t="n"/>
    </row>
    <row r="313">
      <c r="A313" s="7" t="n">
        <v>5</v>
      </c>
      <c r="B313" s="9" t="n"/>
      <c r="C313" s="9" t="n"/>
      <c r="D313" s="9" t="n"/>
      <c r="E313" s="9" t="n"/>
      <c r="F313" s="9" t="n"/>
      <c r="G313" s="9" t="n"/>
      <c r="H313" s="9" t="n"/>
      <c r="I313" s="7">
        <f>IFERROR(MAX(C313:H313),"")</f>
        <v/>
      </c>
      <c r="J313" s="7">
        <f>IFERROR(MATCH(I313,C313:H313,0),"")</f>
        <v/>
      </c>
      <c r="K313" s="7" t="n">
        <v>15</v>
      </c>
      <c r="L313" s="7">
        <f>IFERROR(I313*(1-(K313/100)),"")</f>
        <v/>
      </c>
      <c r="M313" s="7">
        <f>IFERROR(LOOKUP(9.99E+307,C313:H313),"")</f>
        <v/>
      </c>
      <c r="N313" s="7">
        <f>IFERROR(IF(M313="","",IF(M313&lt;=N313,"停组🛑","继续✓")),"")</f>
        <v/>
      </c>
      <c r="O313" s="7">
        <f>IFERROR(IF(M313="","",IF(M313&lt;0.15,"SAFETY_STOP","")),"")</f>
        <v/>
      </c>
      <c r="P313" s="7">
        <f>IFERROR(IF(M313="","",IF(M313&lt;0.15,"SAFETY_STOP",IF(M313&lt;=N313,"VL_THRESHOLD",""))),"")</f>
        <v/>
      </c>
      <c r="Q313" s="7">
        <f>IFERROR(IF(I313="","",IF(I313&gt;(0.55+0.05),"+5kg",IF(I313&gt;(0.55+0.02),"+2.5kg",IF(I313&gt;=(0.55-0.05),"保持",IF(I313&gt;=(0.55-0.08),"-2.5kg","-5kg"))))),"")</f>
        <v/>
      </c>
      <c r="R313" s="9" t="n"/>
    </row>
    <row r="314">
      <c r="A314" s="7" t="n">
        <v>6</v>
      </c>
      <c r="B314" s="9" t="n"/>
      <c r="C314" s="9" t="n"/>
      <c r="D314" s="9" t="n"/>
      <c r="E314" s="9" t="n"/>
      <c r="F314" s="9" t="n"/>
      <c r="G314" s="9" t="n"/>
      <c r="H314" s="9" t="n"/>
      <c r="I314" s="7">
        <f>IFERROR(MAX(C314:H314),"")</f>
        <v/>
      </c>
      <c r="J314" s="7">
        <f>IFERROR(MATCH(I314,C314:H314,0),"")</f>
        <v/>
      </c>
      <c r="K314" s="7" t="n">
        <v>15</v>
      </c>
      <c r="L314" s="7">
        <f>IFERROR(I314*(1-(K314/100)),"")</f>
        <v/>
      </c>
      <c r="M314" s="7">
        <f>IFERROR(LOOKUP(9.99E+307,C314:H314),"")</f>
        <v/>
      </c>
      <c r="N314" s="7">
        <f>IFERROR(IF(M314="","",IF(M314&lt;=N314,"停组🛑","继续✓")),"")</f>
        <v/>
      </c>
      <c r="O314" s="7">
        <f>IFERROR(IF(M314="","",IF(M314&lt;0.15,"SAFETY_STOP","")),"")</f>
        <v/>
      </c>
      <c r="P314" s="7">
        <f>IFERROR(IF(M314="","",IF(M314&lt;0.15,"SAFETY_STOP",IF(M314&lt;=N314,"VL_THRESHOLD",""))),"")</f>
        <v/>
      </c>
      <c r="Q314" s="7">
        <f>IFERROR(IF(I314="","",IF(I314&gt;(0.55+0.05),"+5kg",IF(I314&gt;(0.55+0.02),"+2.5kg",IF(I314&gt;=(0.55-0.05),"保持",IF(I314&gt;=(0.55-0.08),"-2.5kg","-5kg"))))),"")</f>
        <v/>
      </c>
      <c r="R314" s="9" t="n"/>
    </row>
    <row r="315">
      <c r="A315" s="13" t="inlineStr">
        <is>
          <t>辅助</t>
        </is>
      </c>
      <c r="D315" s="14" t="inlineStr">
        <is>
          <t>RDL</t>
        </is>
      </c>
      <c r="E315" s="14" t="inlineStr">
        <is>
          <t>负荷</t>
        </is>
      </c>
      <c r="F315" s="14" t="inlineStr">
        <is>
          <t>完成</t>
        </is>
      </c>
      <c r="I315" t="inlineStr">
        <is>
          <t>VL</t>
        </is>
      </c>
    </row>
    <row r="316">
      <c r="A316" s="15" t="inlineStr">
        <is>
          <t>训练后</t>
        </is>
      </c>
      <c r="B316" s="15" t="inlineStr">
        <is>
          <t>开始</t>
        </is>
      </c>
      <c r="C316" s="15" t="inlineStr">
        <is>
          <t>结束</t>
        </is>
      </c>
      <c r="D316" s="15" t="inlineStr">
        <is>
          <t>时长min</t>
        </is>
      </c>
      <c r="E316" s="15" t="inlineStr">
        <is>
          <t>sRPE</t>
        </is>
      </c>
      <c r="F316" s="15" t="inlineStr">
        <is>
          <t>load</t>
        </is>
      </c>
      <c r="G316" s="15" t="inlineStr">
        <is>
          <t>不适?</t>
        </is>
      </c>
      <c r="H316" s="15" t="inlineStr">
        <is>
          <t>备注</t>
        </is>
      </c>
      <c r="I316" s="15" t="inlineStr">
        <is>
          <t>签名</t>
        </is>
      </c>
    </row>
    <row r="317">
      <c r="A317" s="7" t="n"/>
      <c r="B317" s="9" t="n"/>
      <c r="C317" s="9" t="n"/>
      <c r="D317" s="11">
        <f>IFERROR((C317-B317)*1440,"")</f>
        <v/>
      </c>
      <c r="E317" s="9" t="n"/>
      <c r="F317" s="11">
        <f>IFERROR(E317*D317,"")</f>
        <v/>
      </c>
      <c r="G317" s="9" t="n"/>
      <c r="H317" s="9" t="n"/>
      <c r="I317" s="9" t="n"/>
    </row>
    <row r="318">
      <c r="A318" s="16" t="inlineStr">
        <is>
          <t>跳跃</t>
        </is>
      </c>
      <c r="B318" s="16" t="inlineStr">
        <is>
          <t>类型</t>
        </is>
      </c>
      <c r="C318" s="16" t="inlineStr">
        <is>
          <t>组×次</t>
        </is>
      </c>
      <c r="D318" s="16" t="inlineStr">
        <is>
          <t>负荷kg</t>
        </is>
      </c>
      <c r="E318" s="16" t="inlineStr">
        <is>
          <t>接触</t>
        </is>
      </c>
    </row>
    <row r="319">
      <c r="B319" t="inlineStr">
        <is>
          <t>CMJ</t>
        </is>
      </c>
      <c r="C319" t="inlineStr">
        <is>
          <t>3×3</t>
        </is>
      </c>
      <c r="D319" t="n">
        <v>0</v>
      </c>
      <c r="E319" t="n">
        <v>9</v>
      </c>
    </row>
    <row r="320">
      <c r="B320" t="inlineStr">
        <is>
          <t>箱跳</t>
        </is>
      </c>
      <c r="C320" t="inlineStr">
        <is>
          <t>1×3</t>
        </is>
      </c>
      <c r="D320" t="n">
        <v>0</v>
      </c>
      <c r="E320" t="n">
        <v>3</v>
      </c>
    </row>
    <row r="321">
      <c r="A321" s="17" t="inlineStr">
        <is>
          <t>▶ 暴露量汇总</t>
        </is>
      </c>
      <c r="B321" s="17" t="inlineStr">
        <is>
          <t>说明</t>
        </is>
      </c>
      <c r="C321" s="17" t="inlineStr">
        <is>
          <t>公式/来源</t>
        </is>
      </c>
      <c r="D321" s="17" t="inlineStr">
        <is>
          <t>数值</t>
        </is>
      </c>
    </row>
    <row r="322">
      <c r="A322" s="18" t="inlineStr">
        <is>
          <t>① 无负荷跳跃接触</t>
        </is>
      </c>
      <c r="B322" s="18" t="inlineStr">
        <is>
          <t>CMJ+SJ+箱跳</t>
        </is>
      </c>
      <c r="C322" s="19">
        <f>IFERROR(E319+E320,2)</f>
        <v/>
      </c>
    </row>
    <row r="323">
      <c r="A323" s="18" t="inlineStr">
        <is>
          <t>② 负重跳跃接触</t>
        </is>
      </c>
      <c r="B323" s="18" t="inlineStr">
        <is>
          <t>负重深蹲跳</t>
        </is>
      </c>
      <c r="C323" s="19">
        <f>IFERROR(E319,"")</f>
        <v/>
      </c>
    </row>
    <row r="324">
      <c r="A324" s="18" t="inlineStr">
        <is>
          <t>③ 跳跃总计</t>
        </is>
      </c>
      <c r="B324" s="18" t="inlineStr">
        <is>
          <t>①+②</t>
        </is>
      </c>
      <c r="C324" s="19">
        <f>IFERROR(B322+B323,"")</f>
        <v/>
      </c>
    </row>
    <row r="325">
      <c r="A325" s="18" t="inlineStr">
        <is>
          <t>④ 热身VL</t>
        </is>
      </c>
      <c r="B325" s="18" t="inlineStr">
        <is>
          <t>20×5+50%×3(+70%×2)</t>
        </is>
      </c>
      <c r="C325" s="19">
        <f>IFERROR(20*5+ROUND(V305*0.5,0)*3+ROUND(V{dr}*0.7,0)*2,"-")</f>
        <v/>
      </c>
    </row>
    <row r="326">
      <c r="A326" s="20" t="inlineStr">
        <is>
          <t>⑤ 主项工作组VL ★</t>
        </is>
      </c>
      <c r="B326" s="20" t="inlineStr">
        <is>
          <t>Σ(负荷×次数)</t>
        </is>
      </c>
      <c r="C326" s="21">
        <f>SUMPRODUCT($B$309:$B$314,$R$309:$R$314)</f>
        <v/>
      </c>
    </row>
    <row r="327">
      <c r="A327" s="18" t="inlineStr">
        <is>
          <t>⑥ 主项总VL</t>
        </is>
      </c>
      <c r="B327" s="18" t="inlineStr">
        <is>
          <t>④+⑤</t>
        </is>
      </c>
      <c r="C327" s="19">
        <f>IFERROR(D322+D323,"")</f>
        <v/>
      </c>
    </row>
    <row r="328">
      <c r="A328" s="18" t="inlineStr">
        <is>
          <t>⑦ 辅助VL</t>
        </is>
      </c>
      <c r="B328" s="18" t="inlineStr">
        <is>
          <t>RDL/保加利亚</t>
        </is>
      </c>
      <c r="C328" s="19">
        <f>IFERROR(I315,"")</f>
        <v/>
      </c>
    </row>
    <row r="329">
      <c r="A329" s="18" t="inlineStr">
        <is>
          <t>⑧ 总外部负荷</t>
        </is>
      </c>
      <c r="B329" s="18" t="inlineStr">
        <is>
          <t>⑥+⑦(+负重跳)</t>
        </is>
      </c>
      <c r="C329" s="19">
        <f>IFERROR(F322+G322,"")</f>
        <v/>
      </c>
    </row>
    <row r="330">
      <c r="A330" s="18" t="inlineStr">
        <is>
          <t>⑨ sRPE load</t>
        </is>
      </c>
      <c r="B330" s="18" t="inlineStr">
        <is>
          <t>sRPE×时长</t>
        </is>
      </c>
      <c r="C330" s="19">
        <f>IFERROR(F317,"")</f>
        <v/>
      </c>
    </row>
    <row r="333">
      <c r="A333" s="5" t="inlineStr">
        <is>
          <t>P009 王宏池  a=1.567 b=-0.0085 1RM=135</t>
        </is>
      </c>
    </row>
    <row r="334">
      <c r="A334" s="6" t="inlineStr">
        <is>
          <t>编号</t>
        </is>
      </c>
      <c r="B334" s="6" t="inlineStr">
        <is>
          <t>姓名</t>
        </is>
      </c>
      <c r="C334" s="6" t="inlineStr">
        <is>
          <t>身高</t>
        </is>
      </c>
      <c r="D334" s="6" t="inlineStr">
        <is>
          <t>1RM</t>
        </is>
      </c>
      <c r="E334" s="6" t="inlineStr">
        <is>
          <t>Hooper睡</t>
        </is>
      </c>
      <c r="F334" s="6" t="inlineStr">
        <is>
          <t>Hooper压</t>
        </is>
      </c>
      <c r="G334" s="6" t="inlineStr">
        <is>
          <t>Hooper疲</t>
        </is>
      </c>
      <c r="H334" s="6" t="inlineStr">
        <is>
          <t>Hooper酸</t>
        </is>
      </c>
      <c r="I334" s="6" t="inlineStr">
        <is>
          <t>H总</t>
        </is>
      </c>
      <c r="J334" s="6" t="inlineStr">
        <is>
          <t>不适?</t>
        </is>
      </c>
      <c r="K334" s="6" t="inlineStr">
        <is>
          <t>说明</t>
        </is>
      </c>
      <c r="L334" s="6" t="inlineStr">
        <is>
          <t>CMJ1</t>
        </is>
      </c>
      <c r="M334" s="6" t="inlineStr">
        <is>
          <t>CMJ2</t>
        </is>
      </c>
      <c r="N334" s="6" t="inlineStr">
        <is>
          <t>CMJ3</t>
        </is>
      </c>
      <c r="O334" s="6" t="inlineStr">
        <is>
          <t>CMJμ</t>
        </is>
      </c>
      <c r="P334" s="6" t="inlineStr">
        <is>
          <t>&lt;95%</t>
        </is>
      </c>
      <c r="Q334" s="6" t="inlineStr">
        <is>
          <t>减组</t>
        </is>
      </c>
      <c r="R334" s="6" t="inlineStr">
        <is>
          <t>组数</t>
        </is>
      </c>
      <c r="S334" s="6" t="inlineStr">
        <is>
          <t>a(V0)</t>
        </is>
      </c>
      <c r="T334" s="6" t="inlineStr">
        <is>
          <t>b</t>
        </is>
      </c>
      <c r="U334" s="6" t="inlineStr">
        <is>
          <t>等级</t>
        </is>
      </c>
      <c r="V334" s="6" t="inlineStr">
        <is>
          <t>预测起始</t>
        </is>
      </c>
    </row>
    <row r="335">
      <c r="A335" s="7" t="inlineStr">
        <is>
          <t>P009</t>
        </is>
      </c>
      <c r="B335" s="7" t="inlineStr">
        <is>
          <t>王宏池</t>
        </is>
      </c>
      <c r="C335" s="7" t="n">
        <v>185</v>
      </c>
      <c r="D335" s="8" t="n">
        <v>135</v>
      </c>
      <c r="E335" s="9" t="n"/>
      <c r="F335" s="9" t="n"/>
      <c r="G335" s="9" t="n"/>
      <c r="H335" s="9" t="n"/>
      <c r="I335" s="7">
        <f>IFERROR(SUM(E335:H335),"")</f>
        <v/>
      </c>
      <c r="J335" s="9" t="n"/>
      <c r="K335" s="9" t="n"/>
      <c r="L335" s="9" t="n"/>
      <c r="M335" s="9" t="n"/>
      <c r="N335" s="9" t="n"/>
      <c r="O335" s="7">
        <f>IFERROR(AVERAGE(L335:N335),"")</f>
        <v/>
      </c>
      <c r="P335" s="7">
        <f>IF(O335="","",IF(O335&lt;54.27,"是⚠","否"))</f>
        <v/>
      </c>
      <c r="Q335" s="7">
        <f>IF(O335="","",IF(O335&lt;54.27,3-1,3))</f>
        <v/>
      </c>
      <c r="R335" s="7" t="n"/>
      <c r="S335" s="8" t="n">
        <v>1.567</v>
      </c>
      <c r="T335" s="8" t="n">
        <v>-0.008500000000000001</v>
      </c>
      <c r="U335" s="7" t="inlineStr">
        <is>
          <t>B</t>
        </is>
      </c>
      <c r="V335" s="8" t="n">
        <v>120</v>
      </c>
    </row>
    <row r="336">
      <c r="A336" s="10" t="inlineStr">
        <is>
          <t>热身校准</t>
        </is>
      </c>
      <c r="B336" s="10" t="inlineStr">
        <is>
          <t>a</t>
        </is>
      </c>
      <c r="C336" s="10" t="inlineStr">
        <is>
          <t>b</t>
        </is>
      </c>
      <c r="D336" s="10" t="inlineStr">
        <is>
          <t>50%热身</t>
        </is>
      </c>
      <c r="E336" s="10" t="inlineStr">
        <is>
          <t>70%热身</t>
        </is>
      </c>
      <c r="F336" s="10" t="inlineStr">
        <is>
          <t>热身负荷</t>
        </is>
      </c>
      <c r="G336" s="10" t="inlineStr">
        <is>
          <t>实测MCV</t>
        </is>
      </c>
      <c r="H336" s="10" t="inlineStr">
        <is>
          <t>预测MCV</t>
        </is>
      </c>
      <c r="I336" s="10" t="inlineStr">
        <is>
          <t>Δv</t>
        </is>
      </c>
      <c r="J336" s="10" t="inlineStr">
        <is>
          <t>调整量</t>
        </is>
      </c>
      <c r="K336" s="10" t="inlineStr">
        <is>
          <t>校准第1组</t>
        </is>
      </c>
    </row>
    <row r="337">
      <c r="A337" s="7" t="n"/>
      <c r="B337" s="11" t="n">
        <v>1.567</v>
      </c>
      <c r="C337" s="11" t="n">
        <v>-0.008500000000000001</v>
      </c>
      <c r="D337" s="11">
        <f>IFERROR(ROUND(V335*0.5/2.5,0)*2.5,"")</f>
        <v/>
      </c>
      <c r="E337" s="11">
        <f>IFERROR(ROUND(V335*0.7/2.5,0)*2.5,"")</f>
        <v/>
      </c>
      <c r="F337" s="11">
        <f>IFERROR(ROUND(V335*0.6/2.5,0)*2.5,"")</f>
        <v/>
      </c>
      <c r="G337" s="9" t="n"/>
      <c r="H337" s="11">
        <f>IFERROR(B337+C337*F337,"")</f>
        <v/>
      </c>
      <c r="I337" s="11">
        <f>IFERROR(G337-H337,"")</f>
        <v/>
      </c>
      <c r="J337" s="11">
        <f>IFERROR(IF(I337&gt;0.08,5,IF(I337&gt;0.04,2.5,IF(I337&gt;=-0.04,0,IF(I337&gt;=-0.08,-2.5,-5)))),"")</f>
        <v/>
      </c>
      <c r="K337" s="11">
        <f>IFERROR(ROUND(V335+J337,0),"")</f>
        <v/>
      </c>
    </row>
    <row r="338">
      <c r="A338" s="12" t="inlineStr">
        <is>
          <t>组</t>
        </is>
      </c>
      <c r="B338" s="12" t="inlineStr">
        <is>
          <t>负荷</t>
        </is>
      </c>
      <c r="C338" s="12" t="inlineStr">
        <is>
          <t>rep1</t>
        </is>
      </c>
      <c r="D338" s="12" t="inlineStr">
        <is>
          <t>rep2</t>
        </is>
      </c>
      <c r="E338" s="12" t="inlineStr">
        <is>
          <t>rep3</t>
        </is>
      </c>
      <c r="F338" s="12" t="inlineStr">
        <is>
          <t>rep4</t>
        </is>
      </c>
      <c r="G338" s="12" t="inlineStr">
        <is>
          <t>rep5</t>
        </is>
      </c>
      <c r="H338" s="12" t="inlineStr">
        <is>
          <t>rep6</t>
        </is>
      </c>
      <c r="I338" s="12" t="inlineStr">
        <is>
          <t>best</t>
        </is>
      </c>
      <c r="J338" s="12" t="inlineStr">
        <is>
          <t>best#</t>
        </is>
      </c>
      <c r="K338" s="12" t="inlineStr">
        <is>
          <t>VL%</t>
        </is>
      </c>
      <c r="L338" s="12" t="inlineStr">
        <is>
          <t>stop_th</t>
        </is>
      </c>
      <c r="M338" s="12" t="inlineStr">
        <is>
          <t>latest</t>
        </is>
      </c>
      <c r="N338" s="12" t="inlineStr">
        <is>
          <t>VL_flag</t>
        </is>
      </c>
      <c r="O338" s="12" t="inlineStr">
        <is>
          <t>safety</t>
        </is>
      </c>
      <c r="P338" s="12" t="inlineStr">
        <is>
          <t>原因</t>
        </is>
      </c>
      <c r="Q338" s="12" t="inlineStr">
        <is>
          <t>建议</t>
        </is>
      </c>
      <c r="R338" s="12" t="inlineStr">
        <is>
          <t>次数</t>
        </is>
      </c>
    </row>
    <row r="339">
      <c r="A339" s="7" t="n">
        <v>1</v>
      </c>
      <c r="B339" s="9">
        <f>IFERROR(K337,"")</f>
        <v/>
      </c>
      <c r="C339" s="9" t="n"/>
      <c r="D339" s="9" t="n"/>
      <c r="E339" s="9" t="n"/>
      <c r="F339" s="9" t="n"/>
      <c r="G339" s="9" t="n"/>
      <c r="H339" s="9" t="n"/>
      <c r="I339" s="7">
        <f>IFERROR(MAX(C339:H339),"")</f>
        <v/>
      </c>
      <c r="J339" s="7">
        <f>IFERROR(MATCH(I339,C339:H339,0),"")</f>
        <v/>
      </c>
      <c r="K339" s="7" t="n">
        <v>15</v>
      </c>
      <c r="L339" s="7">
        <f>IFERROR(I339*(1-(K339/100)),"")</f>
        <v/>
      </c>
      <c r="M339" s="7">
        <f>IFERROR(LOOKUP(9.99E+307,C339:H339),"")</f>
        <v/>
      </c>
      <c r="N339" s="7">
        <f>IFERROR(IF(M339="","",IF(M339&lt;=N339,"停组🛑","继续✓")),"")</f>
        <v/>
      </c>
      <c r="O339" s="7">
        <f>IFERROR(IF(M339="","",IF(M339&lt;0.15,"SAFETY_STOP","")),"")</f>
        <v/>
      </c>
      <c r="P339" s="7">
        <f>IFERROR(IF(M339="","",IF(M339&lt;0.15,"SAFETY_STOP",IF(M339&lt;=N339,"VL_THRESHOLD",""))),"")</f>
        <v/>
      </c>
      <c r="Q339" s="7">
        <f>IFERROR(IF(I339="","",IF(I339&gt;(0.55+0.05),"+5kg",IF(I339&gt;(0.55+0.02),"+2.5kg",IF(I339&gt;=(0.55-0.05),"保持",IF(I339&gt;=(0.55-0.08),"-2.5kg","-5kg"))))),"")</f>
        <v/>
      </c>
      <c r="R339" s="9" t="n"/>
    </row>
    <row r="340">
      <c r="A340" s="7" t="n">
        <v>2</v>
      </c>
      <c r="B340" s="9" t="n"/>
      <c r="C340" s="9" t="n"/>
      <c r="D340" s="9" t="n"/>
      <c r="E340" s="9" t="n"/>
      <c r="F340" s="9" t="n"/>
      <c r="G340" s="9" t="n"/>
      <c r="H340" s="9" t="n"/>
      <c r="I340" s="7">
        <f>IFERROR(MAX(C340:H340),"")</f>
        <v/>
      </c>
      <c r="J340" s="7">
        <f>IFERROR(MATCH(I340,C340:H340,0),"")</f>
        <v/>
      </c>
      <c r="K340" s="7" t="n">
        <v>15</v>
      </c>
      <c r="L340" s="7">
        <f>IFERROR(I340*(1-(K340/100)),"")</f>
        <v/>
      </c>
      <c r="M340" s="7">
        <f>IFERROR(LOOKUP(9.99E+307,C340:H340),"")</f>
        <v/>
      </c>
      <c r="N340" s="7">
        <f>IFERROR(IF(M340="","",IF(M340&lt;=N340,"停组🛑","继续✓")),"")</f>
        <v/>
      </c>
      <c r="O340" s="7">
        <f>IFERROR(IF(M340="","",IF(M340&lt;0.15,"SAFETY_STOP","")),"")</f>
        <v/>
      </c>
      <c r="P340" s="7">
        <f>IFERROR(IF(M340="","",IF(M340&lt;0.15,"SAFETY_STOP",IF(M340&lt;=N340,"VL_THRESHOLD",""))),"")</f>
        <v/>
      </c>
      <c r="Q340" s="7">
        <f>IFERROR(IF(I340="","",IF(I340&gt;(0.55+0.05),"+5kg",IF(I340&gt;(0.55+0.02),"+2.5kg",IF(I340&gt;=(0.55-0.05),"保持",IF(I340&gt;=(0.55-0.08),"-2.5kg","-5kg"))))),"")</f>
        <v/>
      </c>
      <c r="R340" s="9" t="n"/>
    </row>
    <row r="341">
      <c r="A341" s="7" t="n">
        <v>3</v>
      </c>
      <c r="B341" s="9" t="n"/>
      <c r="C341" s="9" t="n"/>
      <c r="D341" s="9" t="n"/>
      <c r="E341" s="9" t="n"/>
      <c r="F341" s="9" t="n"/>
      <c r="G341" s="9" t="n"/>
      <c r="H341" s="9" t="n"/>
      <c r="I341" s="7">
        <f>IFERROR(MAX(C341:H341),"")</f>
        <v/>
      </c>
      <c r="J341" s="7">
        <f>IFERROR(MATCH(I341,C341:H341,0),"")</f>
        <v/>
      </c>
      <c r="K341" s="7" t="n">
        <v>15</v>
      </c>
      <c r="L341" s="7">
        <f>IFERROR(I341*(1-(K341/100)),"")</f>
        <v/>
      </c>
      <c r="M341" s="7">
        <f>IFERROR(LOOKUP(9.99E+307,C341:H341),"")</f>
        <v/>
      </c>
      <c r="N341" s="7">
        <f>IFERROR(IF(M341="","",IF(M341&lt;=N341,"停组🛑","继续✓")),"")</f>
        <v/>
      </c>
      <c r="O341" s="7">
        <f>IFERROR(IF(M341="","",IF(M341&lt;0.15,"SAFETY_STOP","")),"")</f>
        <v/>
      </c>
      <c r="P341" s="7">
        <f>IFERROR(IF(M341="","",IF(M341&lt;0.15,"SAFETY_STOP",IF(M341&lt;=N341,"VL_THRESHOLD",""))),"")</f>
        <v/>
      </c>
      <c r="Q341" s="7">
        <f>IFERROR(IF(I341="","",IF(I341&gt;(0.55+0.05),"+5kg",IF(I341&gt;(0.55+0.02),"+2.5kg",IF(I341&gt;=(0.55-0.05),"保持",IF(I341&gt;=(0.55-0.08),"-2.5kg","-5kg"))))),"")</f>
        <v/>
      </c>
      <c r="R341" s="9" t="n"/>
    </row>
    <row r="342">
      <c r="A342" s="7" t="n">
        <v>4</v>
      </c>
      <c r="B342" s="9" t="n"/>
      <c r="C342" s="9" t="n"/>
      <c r="D342" s="9" t="n"/>
      <c r="E342" s="9" t="n"/>
      <c r="F342" s="9" t="n"/>
      <c r="G342" s="9" t="n"/>
      <c r="H342" s="9" t="n"/>
      <c r="I342" s="7">
        <f>IFERROR(MAX(C342:H342),"")</f>
        <v/>
      </c>
      <c r="J342" s="7">
        <f>IFERROR(MATCH(I342,C342:H342,0),"")</f>
        <v/>
      </c>
      <c r="K342" s="7" t="n">
        <v>15</v>
      </c>
      <c r="L342" s="7">
        <f>IFERROR(I342*(1-(K342/100)),"")</f>
        <v/>
      </c>
      <c r="M342" s="7">
        <f>IFERROR(LOOKUP(9.99E+307,C342:H342),"")</f>
        <v/>
      </c>
      <c r="N342" s="7">
        <f>IFERROR(IF(M342="","",IF(M342&lt;=N342,"停组🛑","继续✓")),"")</f>
        <v/>
      </c>
      <c r="O342" s="7">
        <f>IFERROR(IF(M342="","",IF(M342&lt;0.15,"SAFETY_STOP","")),"")</f>
        <v/>
      </c>
      <c r="P342" s="7">
        <f>IFERROR(IF(M342="","",IF(M342&lt;0.15,"SAFETY_STOP",IF(M342&lt;=N342,"VL_THRESHOLD",""))),"")</f>
        <v/>
      </c>
      <c r="Q342" s="7">
        <f>IFERROR(IF(I342="","",IF(I342&gt;(0.55+0.05),"+5kg",IF(I342&gt;(0.55+0.02),"+2.5kg",IF(I342&gt;=(0.55-0.05),"保持",IF(I342&gt;=(0.55-0.08),"-2.5kg","-5kg"))))),"")</f>
        <v/>
      </c>
      <c r="R342" s="9" t="n"/>
    </row>
    <row r="343">
      <c r="A343" s="7" t="n">
        <v>5</v>
      </c>
      <c r="B343" s="9" t="n"/>
      <c r="C343" s="9" t="n"/>
      <c r="D343" s="9" t="n"/>
      <c r="E343" s="9" t="n"/>
      <c r="F343" s="9" t="n"/>
      <c r="G343" s="9" t="n"/>
      <c r="H343" s="9" t="n"/>
      <c r="I343" s="7">
        <f>IFERROR(MAX(C343:H343),"")</f>
        <v/>
      </c>
      <c r="J343" s="7">
        <f>IFERROR(MATCH(I343,C343:H343,0),"")</f>
        <v/>
      </c>
      <c r="K343" s="7" t="n">
        <v>15</v>
      </c>
      <c r="L343" s="7">
        <f>IFERROR(I343*(1-(K343/100)),"")</f>
        <v/>
      </c>
      <c r="M343" s="7">
        <f>IFERROR(LOOKUP(9.99E+307,C343:H343),"")</f>
        <v/>
      </c>
      <c r="N343" s="7">
        <f>IFERROR(IF(M343="","",IF(M343&lt;=N343,"停组🛑","继续✓")),"")</f>
        <v/>
      </c>
      <c r="O343" s="7">
        <f>IFERROR(IF(M343="","",IF(M343&lt;0.15,"SAFETY_STOP","")),"")</f>
        <v/>
      </c>
      <c r="P343" s="7">
        <f>IFERROR(IF(M343="","",IF(M343&lt;0.15,"SAFETY_STOP",IF(M343&lt;=N343,"VL_THRESHOLD",""))),"")</f>
        <v/>
      </c>
      <c r="Q343" s="7">
        <f>IFERROR(IF(I343="","",IF(I343&gt;(0.55+0.05),"+5kg",IF(I343&gt;(0.55+0.02),"+2.5kg",IF(I343&gt;=(0.55-0.05),"保持",IF(I343&gt;=(0.55-0.08),"-2.5kg","-5kg"))))),"")</f>
        <v/>
      </c>
      <c r="R343" s="9" t="n"/>
    </row>
    <row r="344">
      <c r="A344" s="7" t="n">
        <v>6</v>
      </c>
      <c r="B344" s="9" t="n"/>
      <c r="C344" s="9" t="n"/>
      <c r="D344" s="9" t="n"/>
      <c r="E344" s="9" t="n"/>
      <c r="F344" s="9" t="n"/>
      <c r="G344" s="9" t="n"/>
      <c r="H344" s="9" t="n"/>
      <c r="I344" s="7">
        <f>IFERROR(MAX(C344:H344),"")</f>
        <v/>
      </c>
      <c r="J344" s="7">
        <f>IFERROR(MATCH(I344,C344:H344,0),"")</f>
        <v/>
      </c>
      <c r="K344" s="7" t="n">
        <v>15</v>
      </c>
      <c r="L344" s="7">
        <f>IFERROR(I344*(1-(K344/100)),"")</f>
        <v/>
      </c>
      <c r="M344" s="7">
        <f>IFERROR(LOOKUP(9.99E+307,C344:H344),"")</f>
        <v/>
      </c>
      <c r="N344" s="7">
        <f>IFERROR(IF(M344="","",IF(M344&lt;=N344,"停组🛑","继续✓")),"")</f>
        <v/>
      </c>
      <c r="O344" s="7">
        <f>IFERROR(IF(M344="","",IF(M344&lt;0.15,"SAFETY_STOP","")),"")</f>
        <v/>
      </c>
      <c r="P344" s="7">
        <f>IFERROR(IF(M344="","",IF(M344&lt;0.15,"SAFETY_STOP",IF(M344&lt;=N344,"VL_THRESHOLD",""))),"")</f>
        <v/>
      </c>
      <c r="Q344" s="7">
        <f>IFERROR(IF(I344="","",IF(I344&gt;(0.55+0.05),"+5kg",IF(I344&gt;(0.55+0.02),"+2.5kg",IF(I344&gt;=(0.55-0.05),"保持",IF(I344&gt;=(0.55-0.08),"-2.5kg","-5kg"))))),"")</f>
        <v/>
      </c>
      <c r="R344" s="9" t="n"/>
    </row>
    <row r="345">
      <c r="A345" s="13" t="inlineStr">
        <is>
          <t>辅助</t>
        </is>
      </c>
      <c r="D345" s="14" t="inlineStr">
        <is>
          <t>RDL</t>
        </is>
      </c>
      <c r="E345" s="14" t="inlineStr">
        <is>
          <t>负荷</t>
        </is>
      </c>
      <c r="F345" s="14" t="inlineStr">
        <is>
          <t>完成</t>
        </is>
      </c>
      <c r="I345" t="inlineStr">
        <is>
          <t>VL</t>
        </is>
      </c>
    </row>
    <row r="346">
      <c r="A346" s="15" t="inlineStr">
        <is>
          <t>训练后</t>
        </is>
      </c>
      <c r="B346" s="15" t="inlineStr">
        <is>
          <t>开始</t>
        </is>
      </c>
      <c r="C346" s="15" t="inlineStr">
        <is>
          <t>结束</t>
        </is>
      </c>
      <c r="D346" s="15" t="inlineStr">
        <is>
          <t>时长min</t>
        </is>
      </c>
      <c r="E346" s="15" t="inlineStr">
        <is>
          <t>sRPE</t>
        </is>
      </c>
      <c r="F346" s="15" t="inlineStr">
        <is>
          <t>load</t>
        </is>
      </c>
      <c r="G346" s="15" t="inlineStr">
        <is>
          <t>不适?</t>
        </is>
      </c>
      <c r="H346" s="15" t="inlineStr">
        <is>
          <t>备注</t>
        </is>
      </c>
      <c r="I346" s="15" t="inlineStr">
        <is>
          <t>签名</t>
        </is>
      </c>
    </row>
    <row r="347">
      <c r="A347" s="7" t="n"/>
      <c r="B347" s="9" t="n"/>
      <c r="C347" s="9" t="n"/>
      <c r="D347" s="11">
        <f>IFERROR((C347-B347)*1440,"")</f>
        <v/>
      </c>
      <c r="E347" s="9" t="n"/>
      <c r="F347" s="11">
        <f>IFERROR(E347*D347,"")</f>
        <v/>
      </c>
      <c r="G347" s="9" t="n"/>
      <c r="H347" s="9" t="n"/>
      <c r="I347" s="9" t="n"/>
    </row>
    <row r="348">
      <c r="A348" s="16" t="inlineStr">
        <is>
          <t>跳跃</t>
        </is>
      </c>
      <c r="B348" s="16" t="inlineStr">
        <is>
          <t>类型</t>
        </is>
      </c>
      <c r="C348" s="16" t="inlineStr">
        <is>
          <t>组×次</t>
        </is>
      </c>
      <c r="D348" s="16" t="inlineStr">
        <is>
          <t>负荷kg</t>
        </is>
      </c>
      <c r="E348" s="16" t="inlineStr">
        <is>
          <t>接触</t>
        </is>
      </c>
    </row>
    <row r="349">
      <c r="B349" t="inlineStr">
        <is>
          <t>CMJ</t>
        </is>
      </c>
      <c r="C349" t="inlineStr">
        <is>
          <t>3×3</t>
        </is>
      </c>
      <c r="D349" t="n">
        <v>0</v>
      </c>
      <c r="E349" t="n">
        <v>9</v>
      </c>
    </row>
    <row r="350">
      <c r="B350" t="inlineStr">
        <is>
          <t>箱跳</t>
        </is>
      </c>
      <c r="C350" t="inlineStr">
        <is>
          <t>1×3</t>
        </is>
      </c>
      <c r="D350" t="n">
        <v>0</v>
      </c>
      <c r="E350" t="n">
        <v>3</v>
      </c>
    </row>
    <row r="351">
      <c r="A351" s="17" t="inlineStr">
        <is>
          <t>▶ 暴露量汇总</t>
        </is>
      </c>
      <c r="B351" s="17" t="inlineStr">
        <is>
          <t>说明</t>
        </is>
      </c>
      <c r="C351" s="17" t="inlineStr">
        <is>
          <t>公式/来源</t>
        </is>
      </c>
      <c r="D351" s="17" t="inlineStr">
        <is>
          <t>数值</t>
        </is>
      </c>
    </row>
    <row r="352">
      <c r="A352" s="18" t="inlineStr">
        <is>
          <t>① 无负荷跳跃接触</t>
        </is>
      </c>
      <c r="B352" s="18" t="inlineStr">
        <is>
          <t>CMJ+SJ+箱跳</t>
        </is>
      </c>
      <c r="C352" s="19">
        <f>IFERROR(E349+E350,2)</f>
        <v/>
      </c>
    </row>
    <row r="353">
      <c r="A353" s="18" t="inlineStr">
        <is>
          <t>② 负重跳跃接触</t>
        </is>
      </c>
      <c r="B353" s="18" t="inlineStr">
        <is>
          <t>负重深蹲跳</t>
        </is>
      </c>
      <c r="C353" s="19">
        <f>IFERROR(E349,"")</f>
        <v/>
      </c>
    </row>
    <row r="354">
      <c r="A354" s="18" t="inlineStr">
        <is>
          <t>③ 跳跃总计</t>
        </is>
      </c>
      <c r="B354" s="18" t="inlineStr">
        <is>
          <t>①+②</t>
        </is>
      </c>
      <c r="C354" s="19">
        <f>IFERROR(B352+B353,"")</f>
        <v/>
      </c>
    </row>
    <row r="355">
      <c r="A355" s="18" t="inlineStr">
        <is>
          <t>④ 热身VL</t>
        </is>
      </c>
      <c r="B355" s="18" t="inlineStr">
        <is>
          <t>20×5+50%×3(+70%×2)</t>
        </is>
      </c>
      <c r="C355" s="19">
        <f>IFERROR(20*5+ROUND(V335*0.5,0)*3+ROUND(V{dr}*0.7,0)*2,"-")</f>
        <v/>
      </c>
    </row>
    <row r="356">
      <c r="A356" s="20" t="inlineStr">
        <is>
          <t>⑤ 主项工作组VL ★</t>
        </is>
      </c>
      <c r="B356" s="20" t="inlineStr">
        <is>
          <t>Σ(负荷×次数)</t>
        </is>
      </c>
      <c r="C356" s="21">
        <f>SUMPRODUCT($B$339:$B$344,$R$339:$R$344)</f>
        <v/>
      </c>
    </row>
    <row r="357">
      <c r="A357" s="18" t="inlineStr">
        <is>
          <t>⑥ 主项总VL</t>
        </is>
      </c>
      <c r="B357" s="18" t="inlineStr">
        <is>
          <t>④+⑤</t>
        </is>
      </c>
      <c r="C357" s="19">
        <f>IFERROR(D352+D353,"")</f>
        <v/>
      </c>
    </row>
    <row r="358">
      <c r="A358" s="18" t="inlineStr">
        <is>
          <t>⑦ 辅助VL</t>
        </is>
      </c>
      <c r="B358" s="18" t="inlineStr">
        <is>
          <t>RDL/保加利亚</t>
        </is>
      </c>
      <c r="C358" s="19">
        <f>IFERROR(I345,"")</f>
        <v/>
      </c>
    </row>
    <row r="359">
      <c r="A359" s="18" t="inlineStr">
        <is>
          <t>⑧ 总外部负荷</t>
        </is>
      </c>
      <c r="B359" s="18" t="inlineStr">
        <is>
          <t>⑥+⑦(+负重跳)</t>
        </is>
      </c>
      <c r="C359" s="19">
        <f>IFERROR(F352+G352,"")</f>
        <v/>
      </c>
    </row>
    <row r="360">
      <c r="A360" s="18" t="inlineStr">
        <is>
          <t>⑨ sRPE load</t>
        </is>
      </c>
      <c r="B360" s="18" t="inlineStr">
        <is>
          <t>sRPE×时长</t>
        </is>
      </c>
      <c r="C360" s="19">
        <f>IFERROR(F347,"")</f>
        <v/>
      </c>
    </row>
  </sheetData>
  <mergeCells count="25">
    <mergeCell ref="A213:V213"/>
    <mergeCell ref="A255:C255"/>
    <mergeCell ref="A33:V33"/>
    <mergeCell ref="A75:C75"/>
    <mergeCell ref="A303:V303"/>
    <mergeCell ref="A105:C105"/>
    <mergeCell ref="A285:C285"/>
    <mergeCell ref="A333:V333"/>
    <mergeCell ref="A195:C195"/>
    <mergeCell ref="A63:V63"/>
    <mergeCell ref="A93:V93"/>
    <mergeCell ref="A135:C135"/>
    <mergeCell ref="A165:C165"/>
    <mergeCell ref="A1:V1"/>
    <mergeCell ref="A123:V123"/>
    <mergeCell ref="A153:V153"/>
    <mergeCell ref="A15:C15"/>
    <mergeCell ref="A243:V243"/>
    <mergeCell ref="A183:V183"/>
    <mergeCell ref="A225:C225"/>
    <mergeCell ref="A45:C45"/>
    <mergeCell ref="A273:V273"/>
    <mergeCell ref="A315:C315"/>
    <mergeCell ref="A3:V3"/>
    <mergeCell ref="A345:C3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8" customWidth="1" min="11" max="11"/>
    <col width="12" customWidth="1" min="12" max="12"/>
    <col width="10" customWidth="1" min="13" max="13"/>
    <col width="10" customWidth="1" min="14" max="14"/>
    <col width="12" customWidth="1" min="15" max="15"/>
    <col width="18" customWidth="1" min="16" max="16"/>
    <col width="12" customWidth="1" min="17" max="17"/>
    <col width="10" customWidth="1" min="18" max="18"/>
    <col width="12" customWidth="1" min="19" max="19"/>
    <col width="16" customWidth="1" min="20" max="20"/>
    <col width="14" customWidth="1" min="21" max="21"/>
    <col width="14" customWidth="1" min="22" max="22"/>
  </cols>
  <sheetData>
    <row r="1">
      <c r="A1" s="1" t="inlineStr">
        <is>
          <t>研究二AI组 W4_B (B日) MC=0.70-0.80 VL%=10</t>
        </is>
      </c>
    </row>
    <row r="2">
      <c r="A2" s="2" t="inlineStr">
        <is>
          <t>MC区间</t>
        </is>
      </c>
      <c r="B2" s="3" t="inlineStr">
        <is>
          <t>MC中点</t>
        </is>
      </c>
      <c r="C2" s="3" t="inlineStr">
        <is>
          <t>VL%</t>
        </is>
      </c>
      <c r="D2" s="3" t="inlineStr">
        <is>
          <t>安全停止</t>
        </is>
      </c>
      <c r="E2" s="3" t="inlineStr">
        <is>
          <t>组数</t>
        </is>
      </c>
      <c r="F2" s="3" t="inlineStr">
        <is>
          <t>热身</t>
        </is>
      </c>
      <c r="G2" s="4" t="inlineStr">
        <is>
          <t>B</t>
        </is>
      </c>
    </row>
    <row r="3">
      <c r="A3" s="5" t="inlineStr">
        <is>
          <t>P007 陈鑫  a=1.65 b=-0.0125 1RM=110</t>
        </is>
      </c>
    </row>
    <row r="4">
      <c r="A4" s="6" t="inlineStr">
        <is>
          <t>编号</t>
        </is>
      </c>
      <c r="B4" s="6" t="inlineStr">
        <is>
          <t>姓名</t>
        </is>
      </c>
      <c r="C4" s="6" t="inlineStr">
        <is>
          <t>身高</t>
        </is>
      </c>
      <c r="D4" s="6" t="inlineStr">
        <is>
          <t>1RM</t>
        </is>
      </c>
      <c r="E4" s="6" t="inlineStr">
        <is>
          <t>Hooper睡</t>
        </is>
      </c>
      <c r="F4" s="6" t="inlineStr">
        <is>
          <t>Hooper压</t>
        </is>
      </c>
      <c r="G4" s="6" t="inlineStr">
        <is>
          <t>Hooper疲</t>
        </is>
      </c>
      <c r="H4" s="6" t="inlineStr">
        <is>
          <t>Hooper酸</t>
        </is>
      </c>
      <c r="I4" s="6" t="inlineStr">
        <is>
          <t>H总</t>
        </is>
      </c>
      <c r="J4" s="6" t="inlineStr">
        <is>
          <t>不适?</t>
        </is>
      </c>
      <c r="K4" s="6" t="inlineStr">
        <is>
          <t>说明</t>
        </is>
      </c>
      <c r="L4" s="6" t="inlineStr">
        <is>
          <t>CMJ1</t>
        </is>
      </c>
      <c r="M4" s="6" t="inlineStr">
        <is>
          <t>CMJ2</t>
        </is>
      </c>
      <c r="N4" s="6" t="inlineStr">
        <is>
          <t>CMJ3</t>
        </is>
      </c>
      <c r="O4" s="6" t="inlineStr">
        <is>
          <t>CMJμ</t>
        </is>
      </c>
      <c r="P4" s="6" t="inlineStr">
        <is>
          <t>&lt;95%</t>
        </is>
      </c>
      <c r="Q4" s="6" t="inlineStr">
        <is>
          <t>减组</t>
        </is>
      </c>
      <c r="R4" s="6" t="inlineStr">
        <is>
          <t>组数</t>
        </is>
      </c>
      <c r="S4" s="6" t="inlineStr">
        <is>
          <t>a(V0)</t>
        </is>
      </c>
      <c r="T4" s="6" t="inlineStr">
        <is>
          <t>b</t>
        </is>
      </c>
      <c r="U4" s="6" t="inlineStr">
        <is>
          <t>等级</t>
        </is>
      </c>
      <c r="V4" s="6" t="inlineStr">
        <is>
          <t>预测起始</t>
        </is>
      </c>
    </row>
    <row r="5">
      <c r="A5" s="7" t="inlineStr">
        <is>
          <t>P007</t>
        </is>
      </c>
      <c r="B5" s="7" t="inlineStr">
        <is>
          <t>陈鑫</t>
        </is>
      </c>
      <c r="C5" s="7" t="n">
        <v>173</v>
      </c>
      <c r="D5" s="8" t="n">
        <v>110</v>
      </c>
      <c r="E5" s="9" t="n"/>
      <c r="F5" s="9" t="n"/>
      <c r="G5" s="9" t="n"/>
      <c r="H5" s="9" t="n"/>
      <c r="I5" s="7">
        <f>IFERROR(SUM(E5:H5),"")</f>
        <v/>
      </c>
      <c r="J5" s="9" t="n"/>
      <c r="K5" s="9" t="n"/>
      <c r="L5" s="9" t="n"/>
      <c r="M5" s="9" t="n"/>
      <c r="N5" s="9" t="n"/>
      <c r="O5" s="7">
        <f>IFERROR(AVERAGE(L5:N5),"")</f>
        <v/>
      </c>
      <c r="P5" s="7">
        <f>IF(O5="","",IF(O5&lt;63.01,"是⚠","否"))</f>
        <v/>
      </c>
      <c r="Q5" s="7">
        <f>IF(O5="","",IF(O5&lt;63.01,3-1,3))</f>
        <v/>
      </c>
      <c r="R5" s="7" t="n"/>
      <c r="S5" s="8" t="n">
        <v>1.65</v>
      </c>
      <c r="T5" s="8" t="n">
        <v>-0.0125</v>
      </c>
      <c r="U5" s="7" t="inlineStr">
        <is>
          <t>A</t>
        </is>
      </c>
      <c r="V5" s="8" t="n">
        <v>72.5</v>
      </c>
    </row>
    <row r="6">
      <c r="A6" s="10" t="inlineStr">
        <is>
          <t>热身校准</t>
        </is>
      </c>
      <c r="B6" s="10" t="inlineStr">
        <is>
          <t>a</t>
        </is>
      </c>
      <c r="C6" s="10" t="inlineStr">
        <is>
          <t>b</t>
        </is>
      </c>
      <c r="D6" s="10" t="inlineStr">
        <is>
          <t>50%热身</t>
        </is>
      </c>
      <c r="E6" s="10" t="inlineStr">
        <is>
          <t>70%热身</t>
        </is>
      </c>
      <c r="F6" s="10" t="inlineStr">
        <is>
          <t>热身负荷</t>
        </is>
      </c>
      <c r="G6" s="10" t="inlineStr">
        <is>
          <t>实测MCV</t>
        </is>
      </c>
      <c r="H6" s="10" t="inlineStr">
        <is>
          <t>预测MCV</t>
        </is>
      </c>
      <c r="I6" s="10" t="inlineStr">
        <is>
          <t>Δv</t>
        </is>
      </c>
      <c r="J6" s="10" t="inlineStr">
        <is>
          <t>调整量</t>
        </is>
      </c>
      <c r="K6" s="10" t="inlineStr">
        <is>
          <t>校准第1组</t>
        </is>
      </c>
    </row>
    <row r="7">
      <c r="A7" s="7" t="n"/>
      <c r="B7" s="11" t="n">
        <v>1.65</v>
      </c>
      <c r="C7" s="11" t="n">
        <v>-0.0125</v>
      </c>
      <c r="D7" s="11">
        <f>IFERROR(ROUND(V5*0.5/2.5,0)*2.5,"")</f>
        <v/>
      </c>
      <c r="E7" s="11" t="inlineStr"/>
      <c r="F7" s="11">
        <f>IFERROR(ROUND(V5*0.5/2.5,0)*2.5,"")</f>
        <v/>
      </c>
      <c r="G7" s="9" t="n"/>
      <c r="H7" s="11">
        <f>IFERROR(B7+C7*F7,"")</f>
        <v/>
      </c>
      <c r="I7" s="11">
        <f>IFERROR(G7-H7,"")</f>
        <v/>
      </c>
      <c r="J7" s="11">
        <f>IFERROR(IF(I7&gt;0.08,5,IF(I7&gt;0.04,2.5,IF(I7&gt;=-0.04,0,IF(I7&gt;=-0.08,-2.5,-5)))),"")</f>
        <v/>
      </c>
      <c r="K7" s="11">
        <f>IFERROR(ROUND(V5+J7,0),"")</f>
        <v/>
      </c>
    </row>
    <row r="8">
      <c r="A8" s="12" t="inlineStr">
        <is>
          <t>组</t>
        </is>
      </c>
      <c r="B8" s="12" t="inlineStr">
        <is>
          <t>负荷</t>
        </is>
      </c>
      <c r="C8" s="12" t="inlineStr">
        <is>
          <t>rep1</t>
        </is>
      </c>
      <c r="D8" s="12" t="inlineStr">
        <is>
          <t>rep2</t>
        </is>
      </c>
      <c r="E8" s="12" t="inlineStr">
        <is>
          <t>rep3</t>
        </is>
      </c>
      <c r="F8" s="12" t="inlineStr">
        <is>
          <t>rep4</t>
        </is>
      </c>
      <c r="G8" s="12" t="inlineStr">
        <is>
          <t>rep5</t>
        </is>
      </c>
      <c r="H8" s="12" t="inlineStr">
        <is>
          <t>rep6</t>
        </is>
      </c>
      <c r="I8" s="12" t="inlineStr">
        <is>
          <t>best</t>
        </is>
      </c>
      <c r="J8" s="12" t="inlineStr">
        <is>
          <t>best#</t>
        </is>
      </c>
      <c r="K8" s="12" t="inlineStr">
        <is>
          <t>VL%</t>
        </is>
      </c>
      <c r="L8" s="12" t="inlineStr">
        <is>
          <t>stop_th</t>
        </is>
      </c>
      <c r="M8" s="12" t="inlineStr">
        <is>
          <t>latest</t>
        </is>
      </c>
      <c r="N8" s="12" t="inlineStr">
        <is>
          <t>VL_flag</t>
        </is>
      </c>
      <c r="O8" s="12" t="inlineStr">
        <is>
          <t>safety</t>
        </is>
      </c>
      <c r="P8" s="12" t="inlineStr">
        <is>
          <t>原因</t>
        </is>
      </c>
      <c r="Q8" s="12" t="inlineStr">
        <is>
          <t>建议</t>
        </is>
      </c>
      <c r="R8" s="12" t="inlineStr">
        <is>
          <t>次数</t>
        </is>
      </c>
    </row>
    <row r="9">
      <c r="A9" s="7" t="n">
        <v>1</v>
      </c>
      <c r="B9" s="9">
        <f>IFERROR(K7,"")</f>
        <v/>
      </c>
      <c r="C9" s="9" t="n"/>
      <c r="D9" s="9" t="n"/>
      <c r="E9" s="9" t="n"/>
      <c r="F9" s="9" t="n"/>
      <c r="G9" s="9" t="n"/>
      <c r="H9" s="9" t="n"/>
      <c r="I9" s="7">
        <f>IFERROR(MAX(C9:H9),"")</f>
        <v/>
      </c>
      <c r="J9" s="7">
        <f>IFERROR(MATCH(I9,C9:H9,0),"")</f>
        <v/>
      </c>
      <c r="K9" s="7" t="n">
        <v>10</v>
      </c>
      <c r="L9" s="7">
        <f>IFERROR(I9*(1-(K9/100)),"")</f>
        <v/>
      </c>
      <c r="M9" s="7">
        <f>IFERROR(LOOKUP(9.99E+307,C9:H9),"")</f>
        <v/>
      </c>
      <c r="N9" s="7">
        <f>IFERROR(IF(M9="","",IF(M9&lt;=N9,"停组🛑","继续✓")),"")</f>
        <v/>
      </c>
      <c r="O9" s="7">
        <f>IFERROR(IF(M9="","",IF(M9&lt;0.15,"SAFETY_STOP","")),"")</f>
        <v/>
      </c>
      <c r="P9" s="7">
        <f>IFERROR(IF(M9="","",IF(M9&lt;0.15,"SAFETY_STOP",IF(M9&lt;=N9,"VL_THRESHOLD",""))),"")</f>
        <v/>
      </c>
      <c r="Q9" s="7">
        <f>IFERROR(IF(I9="","",IF(I9&gt;(0.75+0.05),"+5kg",IF(I9&gt;(0.75+0.02),"+2.5kg",IF(I9&gt;=(0.75-0.05),"保持",IF(I9&gt;=(0.75-0.08),"-2.5kg","-5kg"))))),"")</f>
        <v/>
      </c>
      <c r="R9" s="9" t="n"/>
    </row>
    <row r="10">
      <c r="A10" s="7" t="n">
        <v>2</v>
      </c>
      <c r="B10" s="9" t="n"/>
      <c r="C10" s="9" t="n"/>
      <c r="D10" s="9" t="n"/>
      <c r="E10" s="9" t="n"/>
      <c r="F10" s="9" t="n"/>
      <c r="G10" s="9" t="n"/>
      <c r="H10" s="9" t="n"/>
      <c r="I10" s="7">
        <f>IFERROR(MAX(C10:H10),"")</f>
        <v/>
      </c>
      <c r="J10" s="7">
        <f>IFERROR(MATCH(I10,C10:H10,0),"")</f>
        <v/>
      </c>
      <c r="K10" s="7" t="n">
        <v>10</v>
      </c>
      <c r="L10" s="7">
        <f>IFERROR(I10*(1-(K10/100)),"")</f>
        <v/>
      </c>
      <c r="M10" s="7">
        <f>IFERROR(LOOKUP(9.99E+307,C10:H10),"")</f>
        <v/>
      </c>
      <c r="N10" s="7">
        <f>IFERROR(IF(M10="","",IF(M10&lt;=N10,"停组🛑","继续✓")),"")</f>
        <v/>
      </c>
      <c r="O10" s="7">
        <f>IFERROR(IF(M10="","",IF(M10&lt;0.15,"SAFETY_STOP","")),"")</f>
        <v/>
      </c>
      <c r="P10" s="7">
        <f>IFERROR(IF(M10="","",IF(M10&lt;0.15,"SAFETY_STOP",IF(M10&lt;=N10,"VL_THRESHOLD",""))),"")</f>
        <v/>
      </c>
      <c r="Q10" s="7">
        <f>IFERROR(IF(I10="","",IF(I10&gt;(0.75+0.05),"+5kg",IF(I10&gt;(0.75+0.02),"+2.5kg",IF(I10&gt;=(0.75-0.05),"保持",IF(I10&gt;=(0.75-0.08),"-2.5kg","-5kg"))))),"")</f>
        <v/>
      </c>
      <c r="R10" s="9" t="n"/>
    </row>
    <row r="11">
      <c r="A11" s="7" t="n">
        <v>3</v>
      </c>
      <c r="B11" s="9" t="n"/>
      <c r="C11" s="9" t="n"/>
      <c r="D11" s="9" t="n"/>
      <c r="E11" s="9" t="n"/>
      <c r="F11" s="9" t="n"/>
      <c r="G11" s="9" t="n"/>
      <c r="H11" s="9" t="n"/>
      <c r="I11" s="7">
        <f>IFERROR(MAX(C11:H11),"")</f>
        <v/>
      </c>
      <c r="J11" s="7">
        <f>IFERROR(MATCH(I11,C11:H11,0),"")</f>
        <v/>
      </c>
      <c r="K11" s="7" t="n">
        <v>10</v>
      </c>
      <c r="L11" s="7">
        <f>IFERROR(I11*(1-(K11/100)),"")</f>
        <v/>
      </c>
      <c r="M11" s="7">
        <f>IFERROR(LOOKUP(9.99E+307,C11:H11),"")</f>
        <v/>
      </c>
      <c r="N11" s="7">
        <f>IFERROR(IF(M11="","",IF(M11&lt;=N11,"停组🛑","继续✓")),"")</f>
        <v/>
      </c>
      <c r="O11" s="7">
        <f>IFERROR(IF(M11="","",IF(M11&lt;0.15,"SAFETY_STOP","")),"")</f>
        <v/>
      </c>
      <c r="P11" s="7">
        <f>IFERROR(IF(M11="","",IF(M11&lt;0.15,"SAFETY_STOP",IF(M11&lt;=N11,"VL_THRESHOLD",""))),"")</f>
        <v/>
      </c>
      <c r="Q11" s="7">
        <f>IFERROR(IF(I11="","",IF(I11&gt;(0.75+0.05),"+5kg",IF(I11&gt;(0.75+0.02),"+2.5kg",IF(I11&gt;=(0.75-0.05),"保持",IF(I11&gt;=(0.75-0.08),"-2.5kg","-5kg"))))),"")</f>
        <v/>
      </c>
      <c r="R11" s="9" t="n"/>
    </row>
    <row r="12">
      <c r="A12" s="7" t="n">
        <v>4</v>
      </c>
      <c r="B12" s="9" t="n"/>
      <c r="C12" s="9" t="n"/>
      <c r="D12" s="9" t="n"/>
      <c r="E12" s="9" t="n"/>
      <c r="F12" s="9" t="n"/>
      <c r="G12" s="9" t="n"/>
      <c r="H12" s="9" t="n"/>
      <c r="I12" s="7">
        <f>IFERROR(MAX(C12:H12),"")</f>
        <v/>
      </c>
      <c r="J12" s="7">
        <f>IFERROR(MATCH(I12,C12:H12,0),"")</f>
        <v/>
      </c>
      <c r="K12" s="7" t="n">
        <v>10</v>
      </c>
      <c r="L12" s="7">
        <f>IFERROR(I12*(1-(K12/100)),"")</f>
        <v/>
      </c>
      <c r="M12" s="7">
        <f>IFERROR(LOOKUP(9.99E+307,C12:H12),"")</f>
        <v/>
      </c>
      <c r="N12" s="7">
        <f>IFERROR(IF(M12="","",IF(M12&lt;=N12,"停组🛑","继续✓")),"")</f>
        <v/>
      </c>
      <c r="O12" s="7">
        <f>IFERROR(IF(M12="","",IF(M12&lt;0.15,"SAFETY_STOP","")),"")</f>
        <v/>
      </c>
      <c r="P12" s="7">
        <f>IFERROR(IF(M12="","",IF(M12&lt;0.15,"SAFETY_STOP",IF(M12&lt;=N12,"VL_THRESHOLD",""))),"")</f>
        <v/>
      </c>
      <c r="Q12" s="7">
        <f>IFERROR(IF(I12="","",IF(I12&gt;(0.75+0.05),"+5kg",IF(I12&gt;(0.75+0.02),"+2.5kg",IF(I12&gt;=(0.75-0.05),"保持",IF(I12&gt;=(0.75-0.08),"-2.5kg","-5kg"))))),"")</f>
        <v/>
      </c>
      <c r="R12" s="9" t="n"/>
    </row>
    <row r="13">
      <c r="A13" s="7" t="n">
        <v>5</v>
      </c>
      <c r="B13" s="9" t="n"/>
      <c r="C13" s="9" t="n"/>
      <c r="D13" s="9" t="n"/>
      <c r="E13" s="9" t="n"/>
      <c r="F13" s="9" t="n"/>
      <c r="G13" s="9" t="n"/>
      <c r="H13" s="9" t="n"/>
      <c r="I13" s="7">
        <f>IFERROR(MAX(C13:H13),"")</f>
        <v/>
      </c>
      <c r="J13" s="7">
        <f>IFERROR(MATCH(I13,C13:H13,0),"")</f>
        <v/>
      </c>
      <c r="K13" s="7" t="n">
        <v>10</v>
      </c>
      <c r="L13" s="7">
        <f>IFERROR(I13*(1-(K13/100)),"")</f>
        <v/>
      </c>
      <c r="M13" s="7">
        <f>IFERROR(LOOKUP(9.99E+307,C13:H13),"")</f>
        <v/>
      </c>
      <c r="N13" s="7">
        <f>IFERROR(IF(M13="","",IF(M13&lt;=N13,"停组🛑","继续✓")),"")</f>
        <v/>
      </c>
      <c r="O13" s="7">
        <f>IFERROR(IF(M13="","",IF(M13&lt;0.15,"SAFETY_STOP","")),"")</f>
        <v/>
      </c>
      <c r="P13" s="7">
        <f>IFERROR(IF(M13="","",IF(M13&lt;0.15,"SAFETY_STOP",IF(M13&lt;=N13,"VL_THRESHOLD",""))),"")</f>
        <v/>
      </c>
      <c r="Q13" s="7">
        <f>IFERROR(IF(I13="","",IF(I13&gt;(0.75+0.05),"+5kg",IF(I13&gt;(0.75+0.02),"+2.5kg",IF(I13&gt;=(0.75-0.05),"保持",IF(I13&gt;=(0.75-0.08),"-2.5kg","-5kg"))))),"")</f>
        <v/>
      </c>
      <c r="R13" s="9" t="n"/>
    </row>
    <row r="14">
      <c r="A14" s="7" t="n">
        <v>6</v>
      </c>
      <c r="B14" s="9" t="n"/>
      <c r="C14" s="9" t="n"/>
      <c r="D14" s="9" t="n"/>
      <c r="E14" s="9" t="n"/>
      <c r="F14" s="9" t="n"/>
      <c r="G14" s="9" t="n"/>
      <c r="H14" s="9" t="n"/>
      <c r="I14" s="7">
        <f>IFERROR(MAX(C14:H14),"")</f>
        <v/>
      </c>
      <c r="J14" s="7">
        <f>IFERROR(MATCH(I14,C14:H14,0),"")</f>
        <v/>
      </c>
      <c r="K14" s="7" t="n">
        <v>10</v>
      </c>
      <c r="L14" s="7">
        <f>IFERROR(I14*(1-(K14/100)),"")</f>
        <v/>
      </c>
      <c r="M14" s="7">
        <f>IFERROR(LOOKUP(9.99E+307,C14:H14),"")</f>
        <v/>
      </c>
      <c r="N14" s="7">
        <f>IFERROR(IF(M14="","",IF(M14&lt;=N14,"停组🛑","继续✓")),"")</f>
        <v/>
      </c>
      <c r="O14" s="7">
        <f>IFERROR(IF(M14="","",IF(M14&lt;0.15,"SAFETY_STOP","")),"")</f>
        <v/>
      </c>
      <c r="P14" s="7">
        <f>IFERROR(IF(M14="","",IF(M14&lt;0.15,"SAFETY_STOP",IF(M14&lt;=N14,"VL_THRESHOLD",""))),"")</f>
        <v/>
      </c>
      <c r="Q14" s="7">
        <f>IFERROR(IF(I14="","",IF(I14&gt;(0.75+0.05),"+5kg",IF(I14&gt;(0.75+0.02),"+2.5kg",IF(I14&gt;=(0.75-0.05),"保持",IF(I14&gt;=(0.75-0.08),"-2.5kg","-5kg"))))),"")</f>
        <v/>
      </c>
      <c r="R14" s="9" t="n"/>
    </row>
    <row r="15">
      <c r="A15" s="13" t="inlineStr">
        <is>
          <t>辅助</t>
        </is>
      </c>
      <c r="D15" s="14" t="inlineStr">
        <is>
          <t>保加利亚单腿蹲</t>
        </is>
      </c>
      <c r="E15" s="14" t="inlineStr">
        <is>
          <t>负荷</t>
        </is>
      </c>
      <c r="F15" s="14" t="inlineStr">
        <is>
          <t>完成</t>
        </is>
      </c>
      <c r="I15" t="inlineStr">
        <is>
          <t>VL</t>
        </is>
      </c>
    </row>
    <row r="16">
      <c r="A16" s="15" t="inlineStr">
        <is>
          <t>训练后</t>
        </is>
      </c>
      <c r="B16" s="15" t="inlineStr">
        <is>
          <t>开始</t>
        </is>
      </c>
      <c r="C16" s="15" t="inlineStr">
        <is>
          <t>结束</t>
        </is>
      </c>
      <c r="D16" s="15" t="inlineStr">
        <is>
          <t>时长min</t>
        </is>
      </c>
      <c r="E16" s="15" t="inlineStr">
        <is>
          <t>sRPE</t>
        </is>
      </c>
      <c r="F16" s="15" t="inlineStr">
        <is>
          <t>load</t>
        </is>
      </c>
      <c r="G16" s="15" t="inlineStr">
        <is>
          <t>不适?</t>
        </is>
      </c>
      <c r="H16" s="15" t="inlineStr">
        <is>
          <t>备注</t>
        </is>
      </c>
      <c r="I16" s="15" t="inlineStr">
        <is>
          <t>签名</t>
        </is>
      </c>
    </row>
    <row r="17">
      <c r="A17" s="7" t="n"/>
      <c r="B17" s="9" t="n"/>
      <c r="C17" s="9" t="n"/>
      <c r="D17" s="11">
        <f>IFERROR((C17-B17)*1440,"")</f>
        <v/>
      </c>
      <c r="E17" s="9" t="n"/>
      <c r="F17" s="11">
        <f>IFERROR(E17*D17,"")</f>
        <v/>
      </c>
      <c r="G17" s="9" t="n"/>
      <c r="H17" s="9" t="n"/>
      <c r="I17" s="9" t="n"/>
    </row>
    <row r="18">
      <c r="A18" s="16" t="inlineStr">
        <is>
          <t>跳跃</t>
        </is>
      </c>
      <c r="B18" s="16" t="inlineStr">
        <is>
          <t>类型</t>
        </is>
      </c>
      <c r="C18" s="16" t="inlineStr">
        <is>
          <t>组×次</t>
        </is>
      </c>
      <c r="D18" s="16" t="inlineStr">
        <is>
          <t>负荷kg</t>
        </is>
      </c>
      <c r="E18" s="16" t="inlineStr">
        <is>
          <t>接触</t>
        </is>
      </c>
    </row>
    <row r="19">
      <c r="B19" t="inlineStr">
        <is>
          <t>SJ</t>
        </is>
      </c>
      <c r="C19" t="inlineStr">
        <is>
          <t>2×3</t>
        </is>
      </c>
      <c r="D19" t="n">
        <v>0</v>
      </c>
      <c r="E19" t="n">
        <v>6</v>
      </c>
    </row>
    <row r="20">
      <c r="B20" t="inlineStr">
        <is>
          <t>负重跳</t>
        </is>
      </c>
      <c r="C20" t="inlineStr">
        <is>
          <t>2×4</t>
        </is>
      </c>
      <c r="D20" s="14" t="n"/>
      <c r="E20" s="14" t="n"/>
    </row>
    <row r="21">
      <c r="A21" s="17" t="inlineStr">
        <is>
          <t>▶ 暴露量汇总</t>
        </is>
      </c>
      <c r="B21" s="17" t="inlineStr">
        <is>
          <t>说明</t>
        </is>
      </c>
      <c r="C21" s="17" t="inlineStr">
        <is>
          <t>公式/来源</t>
        </is>
      </c>
      <c r="D21" s="17" t="inlineStr">
        <is>
          <t>数值</t>
        </is>
      </c>
    </row>
    <row r="22">
      <c r="A22" s="18" t="inlineStr">
        <is>
          <t>① 无负荷跳跃接触</t>
        </is>
      </c>
      <c r="B22" s="18" t="inlineStr">
        <is>
          <t>CMJ+SJ+箱跳</t>
        </is>
      </c>
      <c r="C22" s="19">
        <f>IFERROR(E19+E20,2)</f>
        <v/>
      </c>
    </row>
    <row r="23">
      <c r="A23" s="18" t="inlineStr">
        <is>
          <t>② 负重跳跃接触</t>
        </is>
      </c>
      <c r="B23" s="18" t="inlineStr">
        <is>
          <t>负重深蹲跳</t>
        </is>
      </c>
      <c r="C23" s="19">
        <f>IFERROR(E20,"")</f>
        <v/>
      </c>
    </row>
    <row r="24">
      <c r="A24" s="18" t="inlineStr">
        <is>
          <t>③ 跳跃总计</t>
        </is>
      </c>
      <c r="B24" s="18" t="inlineStr">
        <is>
          <t>①+②</t>
        </is>
      </c>
      <c r="C24" s="19">
        <f>IFERROR(B22+B23,"")</f>
        <v/>
      </c>
    </row>
    <row r="25">
      <c r="A25" s="18" t="inlineStr">
        <is>
          <t>④ 热身VL</t>
        </is>
      </c>
      <c r="B25" s="18" t="inlineStr">
        <is>
          <t>20×5+50%×3(+70%×2)</t>
        </is>
      </c>
      <c r="C25" s="19">
        <f>IFERROR(20*5+ROUND(V5*0.5,0)*3,"-")</f>
        <v/>
      </c>
    </row>
    <row r="26">
      <c r="A26" s="20" t="inlineStr">
        <is>
          <t>⑤ 主项工作组VL ★</t>
        </is>
      </c>
      <c r="B26" s="20" t="inlineStr">
        <is>
          <t>Σ(负荷×次数)</t>
        </is>
      </c>
      <c r="C26" s="21">
        <f>SUMPRODUCT($B$9:$B$14,$R$9:$R$14)</f>
        <v/>
      </c>
    </row>
    <row r="27">
      <c r="A27" s="18" t="inlineStr">
        <is>
          <t>⑥ 主项总VL</t>
        </is>
      </c>
      <c r="B27" s="18" t="inlineStr">
        <is>
          <t>④+⑤</t>
        </is>
      </c>
      <c r="C27" s="19">
        <f>IFERROR(D22+D23,"")</f>
        <v/>
      </c>
    </row>
    <row r="28">
      <c r="A28" s="18" t="inlineStr">
        <is>
          <t>⑦ 辅助VL</t>
        </is>
      </c>
      <c r="B28" s="18" t="inlineStr">
        <is>
          <t>RDL/保加利亚</t>
        </is>
      </c>
      <c r="C28" s="19">
        <f>IFERROR(I15,"")</f>
        <v/>
      </c>
    </row>
    <row r="29">
      <c r="A29" s="18" t="inlineStr">
        <is>
          <t>⑧ 总外部负荷</t>
        </is>
      </c>
      <c r="B29" s="18" t="inlineStr">
        <is>
          <t>⑥+⑦(+负重跳)</t>
        </is>
      </c>
      <c r="C29" s="19">
        <f>IFERROR(F22+G22,"")</f>
        <v/>
      </c>
    </row>
    <row r="30">
      <c r="A30" s="18" t="inlineStr">
        <is>
          <t>⑨ sRPE load</t>
        </is>
      </c>
      <c r="B30" s="18" t="inlineStr">
        <is>
          <t>sRPE×时长</t>
        </is>
      </c>
      <c r="C30" s="19">
        <f>IFERROR(F17,"")</f>
        <v/>
      </c>
    </row>
    <row r="33">
      <c r="A33" s="5" t="inlineStr">
        <is>
          <t>P005 曾庆华  a=1.775 b=-0.00875 1RM=155</t>
        </is>
      </c>
    </row>
    <row r="34">
      <c r="A34" s="6" t="inlineStr">
        <is>
          <t>编号</t>
        </is>
      </c>
      <c r="B34" s="6" t="inlineStr">
        <is>
          <t>姓名</t>
        </is>
      </c>
      <c r="C34" s="6" t="inlineStr">
        <is>
          <t>身高</t>
        </is>
      </c>
      <c r="D34" s="6" t="inlineStr">
        <is>
          <t>1RM</t>
        </is>
      </c>
      <c r="E34" s="6" t="inlineStr">
        <is>
          <t>Hooper睡</t>
        </is>
      </c>
      <c r="F34" s="6" t="inlineStr">
        <is>
          <t>Hooper压</t>
        </is>
      </c>
      <c r="G34" s="6" t="inlineStr">
        <is>
          <t>Hooper疲</t>
        </is>
      </c>
      <c r="H34" s="6" t="inlineStr">
        <is>
          <t>Hooper酸</t>
        </is>
      </c>
      <c r="I34" s="6" t="inlineStr">
        <is>
          <t>H总</t>
        </is>
      </c>
      <c r="J34" s="6" t="inlineStr">
        <is>
          <t>不适?</t>
        </is>
      </c>
      <c r="K34" s="6" t="inlineStr">
        <is>
          <t>说明</t>
        </is>
      </c>
      <c r="L34" s="6" t="inlineStr">
        <is>
          <t>CMJ1</t>
        </is>
      </c>
      <c r="M34" s="6" t="inlineStr">
        <is>
          <t>CMJ2</t>
        </is>
      </c>
      <c r="N34" s="6" t="inlineStr">
        <is>
          <t>CMJ3</t>
        </is>
      </c>
      <c r="O34" s="6" t="inlineStr">
        <is>
          <t>CMJμ</t>
        </is>
      </c>
      <c r="P34" s="6" t="inlineStr">
        <is>
          <t>&lt;95%</t>
        </is>
      </c>
      <c r="Q34" s="6" t="inlineStr">
        <is>
          <t>减组</t>
        </is>
      </c>
      <c r="R34" s="6" t="inlineStr">
        <is>
          <t>组数</t>
        </is>
      </c>
      <c r="S34" s="6" t="inlineStr">
        <is>
          <t>a(V0)</t>
        </is>
      </c>
      <c r="T34" s="6" t="inlineStr">
        <is>
          <t>b</t>
        </is>
      </c>
      <c r="U34" s="6" t="inlineStr">
        <is>
          <t>等级</t>
        </is>
      </c>
      <c r="V34" s="6" t="inlineStr">
        <is>
          <t>预测起始</t>
        </is>
      </c>
    </row>
    <row r="35">
      <c r="A35" s="7" t="inlineStr">
        <is>
          <t>P005</t>
        </is>
      </c>
      <c r="B35" s="7" t="inlineStr">
        <is>
          <t>曾庆华</t>
        </is>
      </c>
      <c r="C35" s="7" t="n">
        <v>177</v>
      </c>
      <c r="D35" s="8" t="n">
        <v>155</v>
      </c>
      <c r="E35" s="9" t="n"/>
      <c r="F35" s="9" t="n"/>
      <c r="G35" s="9" t="n"/>
      <c r="H35" s="9" t="n"/>
      <c r="I35" s="7">
        <f>IFERROR(SUM(E35:H35),"")</f>
        <v/>
      </c>
      <c r="J35" s="9" t="n"/>
      <c r="K35" s="9" t="n"/>
      <c r="L35" s="9" t="n"/>
      <c r="M35" s="9" t="n"/>
      <c r="N35" s="9" t="n"/>
      <c r="O35" s="7">
        <f>IFERROR(AVERAGE(L35:N35),"")</f>
        <v/>
      </c>
      <c r="P35" s="7">
        <f>IF(O35="","",IF(O35&lt;57.57,"是⚠","否"))</f>
        <v/>
      </c>
      <c r="Q35" s="7">
        <f>IF(O35="","",IF(O35&lt;57.57,3-1,3))</f>
        <v/>
      </c>
      <c r="R35" s="7" t="n"/>
      <c r="S35" s="8" t="n">
        <v>1.775</v>
      </c>
      <c r="T35" s="8" t="n">
        <v>-0.008750000000000001</v>
      </c>
      <c r="U35" s="7" t="inlineStr">
        <is>
          <t>B</t>
        </is>
      </c>
      <c r="V35" s="8" t="n">
        <v>117.5</v>
      </c>
    </row>
    <row r="36">
      <c r="A36" s="10" t="inlineStr">
        <is>
          <t>热身校准</t>
        </is>
      </c>
      <c r="B36" s="10" t="inlineStr">
        <is>
          <t>a</t>
        </is>
      </c>
      <c r="C36" s="10" t="inlineStr">
        <is>
          <t>b</t>
        </is>
      </c>
      <c r="D36" s="10" t="inlineStr">
        <is>
          <t>50%热身</t>
        </is>
      </c>
      <c r="E36" s="10" t="inlineStr">
        <is>
          <t>70%热身</t>
        </is>
      </c>
      <c r="F36" s="10" t="inlineStr">
        <is>
          <t>热身负荷</t>
        </is>
      </c>
      <c r="G36" s="10" t="inlineStr">
        <is>
          <t>实测MCV</t>
        </is>
      </c>
      <c r="H36" s="10" t="inlineStr">
        <is>
          <t>预测MCV</t>
        </is>
      </c>
      <c r="I36" s="10" t="inlineStr">
        <is>
          <t>Δv</t>
        </is>
      </c>
      <c r="J36" s="10" t="inlineStr">
        <is>
          <t>调整量</t>
        </is>
      </c>
      <c r="K36" s="10" t="inlineStr">
        <is>
          <t>校准第1组</t>
        </is>
      </c>
    </row>
    <row r="37">
      <c r="A37" s="7" t="n"/>
      <c r="B37" s="11" t="n">
        <v>1.775</v>
      </c>
      <c r="C37" s="11" t="n">
        <v>-0.008750000000000001</v>
      </c>
      <c r="D37" s="11">
        <f>IFERROR(ROUND(V35*0.5/2.5,0)*2.5,"")</f>
        <v/>
      </c>
      <c r="E37" s="11" t="inlineStr"/>
      <c r="F37" s="11">
        <f>IFERROR(ROUND(V35*0.5/2.5,0)*2.5,"")</f>
        <v/>
      </c>
      <c r="G37" s="9" t="n"/>
      <c r="H37" s="11">
        <f>IFERROR(B37+C37*F37,"")</f>
        <v/>
      </c>
      <c r="I37" s="11">
        <f>IFERROR(G37-H37,"")</f>
        <v/>
      </c>
      <c r="J37" s="11">
        <f>IFERROR(IF(I37&gt;0.08,5,IF(I37&gt;0.04,2.5,IF(I37&gt;=-0.04,0,IF(I37&gt;=-0.08,-2.5,-5)))),"")</f>
        <v/>
      </c>
      <c r="K37" s="11">
        <f>IFERROR(ROUND(V35+J37,0),"")</f>
        <v/>
      </c>
    </row>
    <row r="38">
      <c r="A38" s="12" t="inlineStr">
        <is>
          <t>组</t>
        </is>
      </c>
      <c r="B38" s="12" t="inlineStr">
        <is>
          <t>负荷</t>
        </is>
      </c>
      <c r="C38" s="12" t="inlineStr">
        <is>
          <t>rep1</t>
        </is>
      </c>
      <c r="D38" s="12" t="inlineStr">
        <is>
          <t>rep2</t>
        </is>
      </c>
      <c r="E38" s="12" t="inlineStr">
        <is>
          <t>rep3</t>
        </is>
      </c>
      <c r="F38" s="12" t="inlineStr">
        <is>
          <t>rep4</t>
        </is>
      </c>
      <c r="G38" s="12" t="inlineStr">
        <is>
          <t>rep5</t>
        </is>
      </c>
      <c r="H38" s="12" t="inlineStr">
        <is>
          <t>rep6</t>
        </is>
      </c>
      <c r="I38" s="12" t="inlineStr">
        <is>
          <t>best</t>
        </is>
      </c>
      <c r="J38" s="12" t="inlineStr">
        <is>
          <t>best#</t>
        </is>
      </c>
      <c r="K38" s="12" t="inlineStr">
        <is>
          <t>VL%</t>
        </is>
      </c>
      <c r="L38" s="12" t="inlineStr">
        <is>
          <t>stop_th</t>
        </is>
      </c>
      <c r="M38" s="12" t="inlineStr">
        <is>
          <t>latest</t>
        </is>
      </c>
      <c r="N38" s="12" t="inlineStr">
        <is>
          <t>VL_flag</t>
        </is>
      </c>
      <c r="O38" s="12" t="inlineStr">
        <is>
          <t>safety</t>
        </is>
      </c>
      <c r="P38" s="12" t="inlineStr">
        <is>
          <t>原因</t>
        </is>
      </c>
      <c r="Q38" s="12" t="inlineStr">
        <is>
          <t>建议</t>
        </is>
      </c>
      <c r="R38" s="12" t="inlineStr">
        <is>
          <t>次数</t>
        </is>
      </c>
    </row>
    <row r="39">
      <c r="A39" s="7" t="n">
        <v>1</v>
      </c>
      <c r="B39" s="9">
        <f>IFERROR(K37,"")</f>
        <v/>
      </c>
      <c r="C39" s="9" t="n"/>
      <c r="D39" s="9" t="n"/>
      <c r="E39" s="9" t="n"/>
      <c r="F39" s="9" t="n"/>
      <c r="G39" s="9" t="n"/>
      <c r="H39" s="9" t="n"/>
      <c r="I39" s="7">
        <f>IFERROR(MAX(C39:H39),"")</f>
        <v/>
      </c>
      <c r="J39" s="7">
        <f>IFERROR(MATCH(I39,C39:H39,0),"")</f>
        <v/>
      </c>
      <c r="K39" s="7" t="n">
        <v>10</v>
      </c>
      <c r="L39" s="7">
        <f>IFERROR(I39*(1-(K39/100)),"")</f>
        <v/>
      </c>
      <c r="M39" s="7">
        <f>IFERROR(LOOKUP(9.99E+307,C39:H39),"")</f>
        <v/>
      </c>
      <c r="N39" s="7">
        <f>IFERROR(IF(M39="","",IF(M39&lt;=N39,"停组🛑","继续✓")),"")</f>
        <v/>
      </c>
      <c r="O39" s="7">
        <f>IFERROR(IF(M39="","",IF(M39&lt;0.15,"SAFETY_STOP","")),"")</f>
        <v/>
      </c>
      <c r="P39" s="7">
        <f>IFERROR(IF(M39="","",IF(M39&lt;0.15,"SAFETY_STOP",IF(M39&lt;=N39,"VL_THRESHOLD",""))),"")</f>
        <v/>
      </c>
      <c r="Q39" s="7">
        <f>IFERROR(IF(I39="","",IF(I39&gt;(0.75+0.05),"+5kg",IF(I39&gt;(0.75+0.02),"+2.5kg",IF(I39&gt;=(0.75-0.05),"保持",IF(I39&gt;=(0.75-0.08),"-2.5kg","-5kg"))))),"")</f>
        <v/>
      </c>
      <c r="R39" s="9" t="n"/>
    </row>
    <row r="40">
      <c r="A40" s="7" t="n">
        <v>2</v>
      </c>
      <c r="B40" s="9" t="n"/>
      <c r="C40" s="9" t="n"/>
      <c r="D40" s="9" t="n"/>
      <c r="E40" s="9" t="n"/>
      <c r="F40" s="9" t="n"/>
      <c r="G40" s="9" t="n"/>
      <c r="H40" s="9" t="n"/>
      <c r="I40" s="7">
        <f>IFERROR(MAX(C40:H40),"")</f>
        <v/>
      </c>
      <c r="J40" s="7">
        <f>IFERROR(MATCH(I40,C40:H40,0),"")</f>
        <v/>
      </c>
      <c r="K40" s="7" t="n">
        <v>10</v>
      </c>
      <c r="L40" s="7">
        <f>IFERROR(I40*(1-(K40/100)),"")</f>
        <v/>
      </c>
      <c r="M40" s="7">
        <f>IFERROR(LOOKUP(9.99E+307,C40:H40),"")</f>
        <v/>
      </c>
      <c r="N40" s="7">
        <f>IFERROR(IF(M40="","",IF(M40&lt;=N40,"停组🛑","继续✓")),"")</f>
        <v/>
      </c>
      <c r="O40" s="7">
        <f>IFERROR(IF(M40="","",IF(M40&lt;0.15,"SAFETY_STOP","")),"")</f>
        <v/>
      </c>
      <c r="P40" s="7">
        <f>IFERROR(IF(M40="","",IF(M40&lt;0.15,"SAFETY_STOP",IF(M40&lt;=N40,"VL_THRESHOLD",""))),"")</f>
        <v/>
      </c>
      <c r="Q40" s="7">
        <f>IFERROR(IF(I40="","",IF(I40&gt;(0.75+0.05),"+5kg",IF(I40&gt;(0.75+0.02),"+2.5kg",IF(I40&gt;=(0.75-0.05),"保持",IF(I40&gt;=(0.75-0.08),"-2.5kg","-5kg"))))),"")</f>
        <v/>
      </c>
      <c r="R40" s="9" t="n"/>
    </row>
    <row r="41">
      <c r="A41" s="7" t="n">
        <v>3</v>
      </c>
      <c r="B41" s="9" t="n"/>
      <c r="C41" s="9" t="n"/>
      <c r="D41" s="9" t="n"/>
      <c r="E41" s="9" t="n"/>
      <c r="F41" s="9" t="n"/>
      <c r="G41" s="9" t="n"/>
      <c r="H41" s="9" t="n"/>
      <c r="I41" s="7">
        <f>IFERROR(MAX(C41:H41),"")</f>
        <v/>
      </c>
      <c r="J41" s="7">
        <f>IFERROR(MATCH(I41,C41:H41,0),"")</f>
        <v/>
      </c>
      <c r="K41" s="7" t="n">
        <v>10</v>
      </c>
      <c r="L41" s="7">
        <f>IFERROR(I41*(1-(K41/100)),"")</f>
        <v/>
      </c>
      <c r="M41" s="7">
        <f>IFERROR(LOOKUP(9.99E+307,C41:H41),"")</f>
        <v/>
      </c>
      <c r="N41" s="7">
        <f>IFERROR(IF(M41="","",IF(M41&lt;=N41,"停组🛑","继续✓")),"")</f>
        <v/>
      </c>
      <c r="O41" s="7">
        <f>IFERROR(IF(M41="","",IF(M41&lt;0.15,"SAFETY_STOP","")),"")</f>
        <v/>
      </c>
      <c r="P41" s="7">
        <f>IFERROR(IF(M41="","",IF(M41&lt;0.15,"SAFETY_STOP",IF(M41&lt;=N41,"VL_THRESHOLD",""))),"")</f>
        <v/>
      </c>
      <c r="Q41" s="7">
        <f>IFERROR(IF(I41="","",IF(I41&gt;(0.75+0.05),"+5kg",IF(I41&gt;(0.75+0.02),"+2.5kg",IF(I41&gt;=(0.75-0.05),"保持",IF(I41&gt;=(0.75-0.08),"-2.5kg","-5kg"))))),"")</f>
        <v/>
      </c>
      <c r="R41" s="9" t="n"/>
    </row>
    <row r="42">
      <c r="A42" s="7" t="n">
        <v>4</v>
      </c>
      <c r="B42" s="9" t="n"/>
      <c r="C42" s="9" t="n"/>
      <c r="D42" s="9" t="n"/>
      <c r="E42" s="9" t="n"/>
      <c r="F42" s="9" t="n"/>
      <c r="G42" s="9" t="n"/>
      <c r="H42" s="9" t="n"/>
      <c r="I42" s="7">
        <f>IFERROR(MAX(C42:H42),"")</f>
        <v/>
      </c>
      <c r="J42" s="7">
        <f>IFERROR(MATCH(I42,C42:H42,0),"")</f>
        <v/>
      </c>
      <c r="K42" s="7" t="n">
        <v>10</v>
      </c>
      <c r="L42" s="7">
        <f>IFERROR(I42*(1-(K42/100)),"")</f>
        <v/>
      </c>
      <c r="M42" s="7">
        <f>IFERROR(LOOKUP(9.99E+307,C42:H42),"")</f>
        <v/>
      </c>
      <c r="N42" s="7">
        <f>IFERROR(IF(M42="","",IF(M42&lt;=N42,"停组🛑","继续✓")),"")</f>
        <v/>
      </c>
      <c r="O42" s="7">
        <f>IFERROR(IF(M42="","",IF(M42&lt;0.15,"SAFETY_STOP","")),"")</f>
        <v/>
      </c>
      <c r="P42" s="7">
        <f>IFERROR(IF(M42="","",IF(M42&lt;0.15,"SAFETY_STOP",IF(M42&lt;=N42,"VL_THRESHOLD",""))),"")</f>
        <v/>
      </c>
      <c r="Q42" s="7">
        <f>IFERROR(IF(I42="","",IF(I42&gt;(0.75+0.05),"+5kg",IF(I42&gt;(0.75+0.02),"+2.5kg",IF(I42&gt;=(0.75-0.05),"保持",IF(I42&gt;=(0.75-0.08),"-2.5kg","-5kg"))))),"")</f>
        <v/>
      </c>
      <c r="R42" s="9" t="n"/>
    </row>
    <row r="43">
      <c r="A43" s="7" t="n">
        <v>5</v>
      </c>
      <c r="B43" s="9" t="n"/>
      <c r="C43" s="9" t="n"/>
      <c r="D43" s="9" t="n"/>
      <c r="E43" s="9" t="n"/>
      <c r="F43" s="9" t="n"/>
      <c r="G43" s="9" t="n"/>
      <c r="H43" s="9" t="n"/>
      <c r="I43" s="7">
        <f>IFERROR(MAX(C43:H43),"")</f>
        <v/>
      </c>
      <c r="J43" s="7">
        <f>IFERROR(MATCH(I43,C43:H43,0),"")</f>
        <v/>
      </c>
      <c r="K43" s="7" t="n">
        <v>10</v>
      </c>
      <c r="L43" s="7">
        <f>IFERROR(I43*(1-(K43/100)),"")</f>
        <v/>
      </c>
      <c r="M43" s="7">
        <f>IFERROR(LOOKUP(9.99E+307,C43:H43),"")</f>
        <v/>
      </c>
      <c r="N43" s="7">
        <f>IFERROR(IF(M43="","",IF(M43&lt;=N43,"停组🛑","继续✓")),"")</f>
        <v/>
      </c>
      <c r="O43" s="7">
        <f>IFERROR(IF(M43="","",IF(M43&lt;0.15,"SAFETY_STOP","")),"")</f>
        <v/>
      </c>
      <c r="P43" s="7">
        <f>IFERROR(IF(M43="","",IF(M43&lt;0.15,"SAFETY_STOP",IF(M43&lt;=N43,"VL_THRESHOLD",""))),"")</f>
        <v/>
      </c>
      <c r="Q43" s="7">
        <f>IFERROR(IF(I43="","",IF(I43&gt;(0.75+0.05),"+5kg",IF(I43&gt;(0.75+0.02),"+2.5kg",IF(I43&gt;=(0.75-0.05),"保持",IF(I43&gt;=(0.75-0.08),"-2.5kg","-5kg"))))),"")</f>
        <v/>
      </c>
      <c r="R43" s="9" t="n"/>
    </row>
    <row r="44">
      <c r="A44" s="7" t="n">
        <v>6</v>
      </c>
      <c r="B44" s="9" t="n"/>
      <c r="C44" s="9" t="n"/>
      <c r="D44" s="9" t="n"/>
      <c r="E44" s="9" t="n"/>
      <c r="F44" s="9" t="n"/>
      <c r="G44" s="9" t="n"/>
      <c r="H44" s="9" t="n"/>
      <c r="I44" s="7">
        <f>IFERROR(MAX(C44:H44),"")</f>
        <v/>
      </c>
      <c r="J44" s="7">
        <f>IFERROR(MATCH(I44,C44:H44,0),"")</f>
        <v/>
      </c>
      <c r="K44" s="7" t="n">
        <v>10</v>
      </c>
      <c r="L44" s="7">
        <f>IFERROR(I44*(1-(K44/100)),"")</f>
        <v/>
      </c>
      <c r="M44" s="7">
        <f>IFERROR(LOOKUP(9.99E+307,C44:H44),"")</f>
        <v/>
      </c>
      <c r="N44" s="7">
        <f>IFERROR(IF(M44="","",IF(M44&lt;=N44,"停组🛑","继续✓")),"")</f>
        <v/>
      </c>
      <c r="O44" s="7">
        <f>IFERROR(IF(M44="","",IF(M44&lt;0.15,"SAFETY_STOP","")),"")</f>
        <v/>
      </c>
      <c r="P44" s="7">
        <f>IFERROR(IF(M44="","",IF(M44&lt;0.15,"SAFETY_STOP",IF(M44&lt;=N44,"VL_THRESHOLD",""))),"")</f>
        <v/>
      </c>
      <c r="Q44" s="7">
        <f>IFERROR(IF(I44="","",IF(I44&gt;(0.75+0.05),"+5kg",IF(I44&gt;(0.75+0.02),"+2.5kg",IF(I44&gt;=(0.75-0.05),"保持",IF(I44&gt;=(0.75-0.08),"-2.5kg","-5kg"))))),"")</f>
        <v/>
      </c>
      <c r="R44" s="9" t="n"/>
    </row>
    <row r="45">
      <c r="A45" s="13" t="inlineStr">
        <is>
          <t>辅助</t>
        </is>
      </c>
      <c r="D45" s="14" t="inlineStr">
        <is>
          <t>保加利亚单腿蹲</t>
        </is>
      </c>
      <c r="E45" s="14" t="inlineStr">
        <is>
          <t>负荷</t>
        </is>
      </c>
      <c r="F45" s="14" t="inlineStr">
        <is>
          <t>完成</t>
        </is>
      </c>
      <c r="I45" t="inlineStr">
        <is>
          <t>VL</t>
        </is>
      </c>
    </row>
    <row r="46">
      <c r="A46" s="15" t="inlineStr">
        <is>
          <t>训练后</t>
        </is>
      </c>
      <c r="B46" s="15" t="inlineStr">
        <is>
          <t>开始</t>
        </is>
      </c>
      <c r="C46" s="15" t="inlineStr">
        <is>
          <t>结束</t>
        </is>
      </c>
      <c r="D46" s="15" t="inlineStr">
        <is>
          <t>时长min</t>
        </is>
      </c>
      <c r="E46" s="15" t="inlineStr">
        <is>
          <t>sRPE</t>
        </is>
      </c>
      <c r="F46" s="15" t="inlineStr">
        <is>
          <t>load</t>
        </is>
      </c>
      <c r="G46" s="15" t="inlineStr">
        <is>
          <t>不适?</t>
        </is>
      </c>
      <c r="H46" s="15" t="inlineStr">
        <is>
          <t>备注</t>
        </is>
      </c>
      <c r="I46" s="15" t="inlineStr">
        <is>
          <t>签名</t>
        </is>
      </c>
    </row>
    <row r="47">
      <c r="A47" s="7" t="n"/>
      <c r="B47" s="9" t="n"/>
      <c r="C47" s="9" t="n"/>
      <c r="D47" s="11">
        <f>IFERROR((C47-B47)*1440,"")</f>
        <v/>
      </c>
      <c r="E47" s="9" t="n"/>
      <c r="F47" s="11">
        <f>IFERROR(E47*D47,"")</f>
        <v/>
      </c>
      <c r="G47" s="9" t="n"/>
      <c r="H47" s="9" t="n"/>
      <c r="I47" s="9" t="n"/>
    </row>
    <row r="48">
      <c r="A48" s="16" t="inlineStr">
        <is>
          <t>跳跃</t>
        </is>
      </c>
      <c r="B48" s="16" t="inlineStr">
        <is>
          <t>类型</t>
        </is>
      </c>
      <c r="C48" s="16" t="inlineStr">
        <is>
          <t>组×次</t>
        </is>
      </c>
      <c r="D48" s="16" t="inlineStr">
        <is>
          <t>负荷kg</t>
        </is>
      </c>
      <c r="E48" s="16" t="inlineStr">
        <is>
          <t>接触</t>
        </is>
      </c>
    </row>
    <row r="49">
      <c r="B49" t="inlineStr">
        <is>
          <t>SJ</t>
        </is>
      </c>
      <c r="C49" t="inlineStr">
        <is>
          <t>2×3</t>
        </is>
      </c>
      <c r="D49" t="n">
        <v>0</v>
      </c>
      <c r="E49" t="n">
        <v>6</v>
      </c>
    </row>
    <row r="50">
      <c r="B50" t="inlineStr">
        <is>
          <t>负重跳</t>
        </is>
      </c>
      <c r="C50" t="inlineStr">
        <is>
          <t>2×4</t>
        </is>
      </c>
      <c r="D50" s="14" t="n"/>
      <c r="E50" s="14" t="n"/>
    </row>
    <row r="51">
      <c r="A51" s="17" t="inlineStr">
        <is>
          <t>▶ 暴露量汇总</t>
        </is>
      </c>
      <c r="B51" s="17" t="inlineStr">
        <is>
          <t>说明</t>
        </is>
      </c>
      <c r="C51" s="17" t="inlineStr">
        <is>
          <t>公式/来源</t>
        </is>
      </c>
      <c r="D51" s="17" t="inlineStr">
        <is>
          <t>数值</t>
        </is>
      </c>
    </row>
    <row r="52">
      <c r="A52" s="18" t="inlineStr">
        <is>
          <t>① 无负荷跳跃接触</t>
        </is>
      </c>
      <c r="B52" s="18" t="inlineStr">
        <is>
          <t>CMJ+SJ+箱跳</t>
        </is>
      </c>
      <c r="C52" s="19">
        <f>IFERROR(E49+E50,2)</f>
        <v/>
      </c>
    </row>
    <row r="53">
      <c r="A53" s="18" t="inlineStr">
        <is>
          <t>② 负重跳跃接触</t>
        </is>
      </c>
      <c r="B53" s="18" t="inlineStr">
        <is>
          <t>负重深蹲跳</t>
        </is>
      </c>
      <c r="C53" s="19">
        <f>IFERROR(E50,"")</f>
        <v/>
      </c>
    </row>
    <row r="54">
      <c r="A54" s="18" t="inlineStr">
        <is>
          <t>③ 跳跃总计</t>
        </is>
      </c>
      <c r="B54" s="18" t="inlineStr">
        <is>
          <t>①+②</t>
        </is>
      </c>
      <c r="C54" s="19">
        <f>IFERROR(B52+B53,"")</f>
        <v/>
      </c>
    </row>
    <row r="55">
      <c r="A55" s="18" t="inlineStr">
        <is>
          <t>④ 热身VL</t>
        </is>
      </c>
      <c r="B55" s="18" t="inlineStr">
        <is>
          <t>20×5+50%×3(+70%×2)</t>
        </is>
      </c>
      <c r="C55" s="19">
        <f>IFERROR(20*5+ROUND(V35*0.5,0)*3,"-")</f>
        <v/>
      </c>
    </row>
    <row r="56">
      <c r="A56" s="20" t="inlineStr">
        <is>
          <t>⑤ 主项工作组VL ★</t>
        </is>
      </c>
      <c r="B56" s="20" t="inlineStr">
        <is>
          <t>Σ(负荷×次数)</t>
        </is>
      </c>
      <c r="C56" s="21">
        <f>SUMPRODUCT($B$39:$B$44,$R$39:$R$44)</f>
        <v/>
      </c>
    </row>
    <row r="57">
      <c r="A57" s="18" t="inlineStr">
        <is>
          <t>⑥ 主项总VL</t>
        </is>
      </c>
      <c r="B57" s="18" t="inlineStr">
        <is>
          <t>④+⑤</t>
        </is>
      </c>
      <c r="C57" s="19">
        <f>IFERROR(D52+D53,"")</f>
        <v/>
      </c>
    </row>
    <row r="58">
      <c r="A58" s="18" t="inlineStr">
        <is>
          <t>⑦ 辅助VL</t>
        </is>
      </c>
      <c r="B58" s="18" t="inlineStr">
        <is>
          <t>RDL/保加利亚</t>
        </is>
      </c>
      <c r="C58" s="19">
        <f>IFERROR(I45,"")</f>
        <v/>
      </c>
    </row>
    <row r="59">
      <c r="A59" s="18" t="inlineStr">
        <is>
          <t>⑧ 总外部负荷</t>
        </is>
      </c>
      <c r="B59" s="18" t="inlineStr">
        <is>
          <t>⑥+⑦(+负重跳)</t>
        </is>
      </c>
      <c r="C59" s="19">
        <f>IFERROR(F52+G52,"")</f>
        <v/>
      </c>
    </row>
    <row r="60">
      <c r="A60" s="18" t="inlineStr">
        <is>
          <t>⑨ sRPE load</t>
        </is>
      </c>
      <c r="B60" s="18" t="inlineStr">
        <is>
          <t>sRPE×时长</t>
        </is>
      </c>
      <c r="C60" s="19">
        <f>IFERROR(F47,"")</f>
        <v/>
      </c>
    </row>
    <row r="63">
      <c r="A63" s="5" t="inlineStr">
        <is>
          <t>P002 何天元  a=1.487 b=-0.0054 1RM=150</t>
        </is>
      </c>
    </row>
    <row r="64">
      <c r="A64" s="6" t="inlineStr">
        <is>
          <t>编号</t>
        </is>
      </c>
      <c r="B64" s="6" t="inlineStr">
        <is>
          <t>姓名</t>
        </is>
      </c>
      <c r="C64" s="6" t="inlineStr">
        <is>
          <t>身高</t>
        </is>
      </c>
      <c r="D64" s="6" t="inlineStr">
        <is>
          <t>1RM</t>
        </is>
      </c>
      <c r="E64" s="6" t="inlineStr">
        <is>
          <t>Hooper睡</t>
        </is>
      </c>
      <c r="F64" s="6" t="inlineStr">
        <is>
          <t>Hooper压</t>
        </is>
      </c>
      <c r="G64" s="6" t="inlineStr">
        <is>
          <t>Hooper疲</t>
        </is>
      </c>
      <c r="H64" s="6" t="inlineStr">
        <is>
          <t>Hooper酸</t>
        </is>
      </c>
      <c r="I64" s="6" t="inlineStr">
        <is>
          <t>H总</t>
        </is>
      </c>
      <c r="J64" s="6" t="inlineStr">
        <is>
          <t>不适?</t>
        </is>
      </c>
      <c r="K64" s="6" t="inlineStr">
        <is>
          <t>说明</t>
        </is>
      </c>
      <c r="L64" s="6" t="inlineStr">
        <is>
          <t>CMJ1</t>
        </is>
      </c>
      <c r="M64" s="6" t="inlineStr">
        <is>
          <t>CMJ2</t>
        </is>
      </c>
      <c r="N64" s="6" t="inlineStr">
        <is>
          <t>CMJ3</t>
        </is>
      </c>
      <c r="O64" s="6" t="inlineStr">
        <is>
          <t>CMJμ</t>
        </is>
      </c>
      <c r="P64" s="6" t="inlineStr">
        <is>
          <t>&lt;95%</t>
        </is>
      </c>
      <c r="Q64" s="6" t="inlineStr">
        <is>
          <t>减组</t>
        </is>
      </c>
      <c r="R64" s="6" t="inlineStr">
        <is>
          <t>组数</t>
        </is>
      </c>
      <c r="S64" s="6" t="inlineStr">
        <is>
          <t>a(V0)</t>
        </is>
      </c>
      <c r="T64" s="6" t="inlineStr">
        <is>
          <t>b</t>
        </is>
      </c>
      <c r="U64" s="6" t="inlineStr">
        <is>
          <t>等级</t>
        </is>
      </c>
      <c r="V64" s="6" t="inlineStr">
        <is>
          <t>预测起始</t>
        </is>
      </c>
    </row>
    <row r="65">
      <c r="A65" s="7" t="inlineStr">
        <is>
          <t>P002</t>
        </is>
      </c>
      <c r="B65" s="7" t="inlineStr">
        <is>
          <t>何天元</t>
        </is>
      </c>
      <c r="C65" s="7" t="n">
        <v>178</v>
      </c>
      <c r="D65" s="8" t="n">
        <v>150</v>
      </c>
      <c r="E65" s="9" t="n"/>
      <c r="F65" s="9" t="n"/>
      <c r="G65" s="9" t="n"/>
      <c r="H65" s="9" t="n"/>
      <c r="I65" s="7">
        <f>IFERROR(SUM(E65:H65),"")</f>
        <v/>
      </c>
      <c r="J65" s="9" t="n"/>
      <c r="K65" s="9" t="n"/>
      <c r="L65" s="9" t="n"/>
      <c r="M65" s="9" t="n"/>
      <c r="N65" s="9" t="n"/>
      <c r="O65" s="7">
        <f>IFERROR(AVERAGE(L65:N65),"")</f>
        <v/>
      </c>
      <c r="P65" s="7">
        <f>IF(O65="","",IF(O65&lt;60.54,"是⚠","否"))</f>
        <v/>
      </c>
      <c r="Q65" s="7">
        <f>IF(O65="","",IF(O65&lt;60.54,3-1,3))</f>
        <v/>
      </c>
      <c r="R65" s="7" t="n"/>
      <c r="S65" s="8" t="n">
        <v>1.487</v>
      </c>
      <c r="T65" s="8" t="n">
        <v>-0.0054</v>
      </c>
      <c r="U65" s="7" t="inlineStr">
        <is>
          <t>B</t>
        </is>
      </c>
      <c r="V65" s="8" t="n">
        <v>137.5</v>
      </c>
    </row>
    <row r="66">
      <c r="A66" s="10" t="inlineStr">
        <is>
          <t>热身校准</t>
        </is>
      </c>
      <c r="B66" s="10" t="inlineStr">
        <is>
          <t>a</t>
        </is>
      </c>
      <c r="C66" s="10" t="inlineStr">
        <is>
          <t>b</t>
        </is>
      </c>
      <c r="D66" s="10" t="inlineStr">
        <is>
          <t>50%热身</t>
        </is>
      </c>
      <c r="E66" s="10" t="inlineStr">
        <is>
          <t>70%热身</t>
        </is>
      </c>
      <c r="F66" s="10" t="inlineStr">
        <is>
          <t>热身负荷</t>
        </is>
      </c>
      <c r="G66" s="10" t="inlineStr">
        <is>
          <t>实测MCV</t>
        </is>
      </c>
      <c r="H66" s="10" t="inlineStr">
        <is>
          <t>预测MCV</t>
        </is>
      </c>
      <c r="I66" s="10" t="inlineStr">
        <is>
          <t>Δv</t>
        </is>
      </c>
      <c r="J66" s="10" t="inlineStr">
        <is>
          <t>调整量</t>
        </is>
      </c>
      <c r="K66" s="10" t="inlineStr">
        <is>
          <t>校准第1组</t>
        </is>
      </c>
    </row>
    <row r="67">
      <c r="A67" s="7" t="n"/>
      <c r="B67" s="11" t="n">
        <v>1.487</v>
      </c>
      <c r="C67" s="11" t="n">
        <v>-0.0054</v>
      </c>
      <c r="D67" s="11">
        <f>IFERROR(ROUND(V65*0.5/2.5,0)*2.5,"")</f>
        <v/>
      </c>
      <c r="E67" s="11" t="inlineStr"/>
      <c r="F67" s="11">
        <f>IFERROR(ROUND(V65*0.5/2.5,0)*2.5,"")</f>
        <v/>
      </c>
      <c r="G67" s="9" t="n"/>
      <c r="H67" s="11">
        <f>IFERROR(B67+C67*F67,"")</f>
        <v/>
      </c>
      <c r="I67" s="11">
        <f>IFERROR(G67-H67,"")</f>
        <v/>
      </c>
      <c r="J67" s="11">
        <f>IFERROR(IF(I67&gt;0.08,5,IF(I67&gt;0.04,2.5,IF(I67&gt;=-0.04,0,IF(I67&gt;=-0.08,-2.5,-5)))),"")</f>
        <v/>
      </c>
      <c r="K67" s="11">
        <f>IFERROR(ROUND(V65+J67,0),"")</f>
        <v/>
      </c>
    </row>
    <row r="68">
      <c r="A68" s="12" t="inlineStr">
        <is>
          <t>组</t>
        </is>
      </c>
      <c r="B68" s="12" t="inlineStr">
        <is>
          <t>负荷</t>
        </is>
      </c>
      <c r="C68" s="12" t="inlineStr">
        <is>
          <t>rep1</t>
        </is>
      </c>
      <c r="D68" s="12" t="inlineStr">
        <is>
          <t>rep2</t>
        </is>
      </c>
      <c r="E68" s="12" t="inlineStr">
        <is>
          <t>rep3</t>
        </is>
      </c>
      <c r="F68" s="12" t="inlineStr">
        <is>
          <t>rep4</t>
        </is>
      </c>
      <c r="G68" s="12" t="inlineStr">
        <is>
          <t>rep5</t>
        </is>
      </c>
      <c r="H68" s="12" t="inlineStr">
        <is>
          <t>rep6</t>
        </is>
      </c>
      <c r="I68" s="12" t="inlineStr">
        <is>
          <t>best</t>
        </is>
      </c>
      <c r="J68" s="12" t="inlineStr">
        <is>
          <t>best#</t>
        </is>
      </c>
      <c r="K68" s="12" t="inlineStr">
        <is>
          <t>VL%</t>
        </is>
      </c>
      <c r="L68" s="12" t="inlineStr">
        <is>
          <t>stop_th</t>
        </is>
      </c>
      <c r="M68" s="12" t="inlineStr">
        <is>
          <t>latest</t>
        </is>
      </c>
      <c r="N68" s="12" t="inlineStr">
        <is>
          <t>VL_flag</t>
        </is>
      </c>
      <c r="O68" s="12" t="inlineStr">
        <is>
          <t>safety</t>
        </is>
      </c>
      <c r="P68" s="12" t="inlineStr">
        <is>
          <t>原因</t>
        </is>
      </c>
      <c r="Q68" s="12" t="inlineStr">
        <is>
          <t>建议</t>
        </is>
      </c>
      <c r="R68" s="12" t="inlineStr">
        <is>
          <t>次数</t>
        </is>
      </c>
    </row>
    <row r="69">
      <c r="A69" s="7" t="n">
        <v>1</v>
      </c>
      <c r="B69" s="9">
        <f>IFERROR(K67,"")</f>
        <v/>
      </c>
      <c r="C69" s="9" t="n"/>
      <c r="D69" s="9" t="n"/>
      <c r="E69" s="9" t="n"/>
      <c r="F69" s="9" t="n"/>
      <c r="G69" s="9" t="n"/>
      <c r="H69" s="9" t="n"/>
      <c r="I69" s="7">
        <f>IFERROR(MAX(C69:H69),"")</f>
        <v/>
      </c>
      <c r="J69" s="7">
        <f>IFERROR(MATCH(I69,C69:H69,0),"")</f>
        <v/>
      </c>
      <c r="K69" s="7" t="n">
        <v>10</v>
      </c>
      <c r="L69" s="7">
        <f>IFERROR(I69*(1-(K69/100)),"")</f>
        <v/>
      </c>
      <c r="M69" s="7">
        <f>IFERROR(LOOKUP(9.99E+307,C69:H69),"")</f>
        <v/>
      </c>
      <c r="N69" s="7">
        <f>IFERROR(IF(M69="","",IF(M69&lt;=N69,"停组🛑","继续✓")),"")</f>
        <v/>
      </c>
      <c r="O69" s="7">
        <f>IFERROR(IF(M69="","",IF(M69&lt;0.15,"SAFETY_STOP","")),"")</f>
        <v/>
      </c>
      <c r="P69" s="7">
        <f>IFERROR(IF(M69="","",IF(M69&lt;0.15,"SAFETY_STOP",IF(M69&lt;=N69,"VL_THRESHOLD",""))),"")</f>
        <v/>
      </c>
      <c r="Q69" s="7">
        <f>IFERROR(IF(I69="","",IF(I69&gt;(0.75+0.05),"+5kg",IF(I69&gt;(0.75+0.02),"+2.5kg",IF(I69&gt;=(0.75-0.05),"保持",IF(I69&gt;=(0.75-0.08),"-2.5kg","-5kg"))))),"")</f>
        <v/>
      </c>
      <c r="R69" s="9" t="n"/>
    </row>
    <row r="70">
      <c r="A70" s="7" t="n">
        <v>2</v>
      </c>
      <c r="B70" s="9" t="n"/>
      <c r="C70" s="9" t="n"/>
      <c r="D70" s="9" t="n"/>
      <c r="E70" s="9" t="n"/>
      <c r="F70" s="9" t="n"/>
      <c r="G70" s="9" t="n"/>
      <c r="H70" s="9" t="n"/>
      <c r="I70" s="7">
        <f>IFERROR(MAX(C70:H70),"")</f>
        <v/>
      </c>
      <c r="J70" s="7">
        <f>IFERROR(MATCH(I70,C70:H70,0),"")</f>
        <v/>
      </c>
      <c r="K70" s="7" t="n">
        <v>10</v>
      </c>
      <c r="L70" s="7">
        <f>IFERROR(I70*(1-(K70/100)),"")</f>
        <v/>
      </c>
      <c r="M70" s="7">
        <f>IFERROR(LOOKUP(9.99E+307,C70:H70),"")</f>
        <v/>
      </c>
      <c r="N70" s="7">
        <f>IFERROR(IF(M70="","",IF(M70&lt;=N70,"停组🛑","继续✓")),"")</f>
        <v/>
      </c>
      <c r="O70" s="7">
        <f>IFERROR(IF(M70="","",IF(M70&lt;0.15,"SAFETY_STOP","")),"")</f>
        <v/>
      </c>
      <c r="P70" s="7">
        <f>IFERROR(IF(M70="","",IF(M70&lt;0.15,"SAFETY_STOP",IF(M70&lt;=N70,"VL_THRESHOLD",""))),"")</f>
        <v/>
      </c>
      <c r="Q70" s="7">
        <f>IFERROR(IF(I70="","",IF(I70&gt;(0.75+0.05),"+5kg",IF(I70&gt;(0.75+0.02),"+2.5kg",IF(I70&gt;=(0.75-0.05),"保持",IF(I70&gt;=(0.75-0.08),"-2.5kg","-5kg"))))),"")</f>
        <v/>
      </c>
      <c r="R70" s="9" t="n"/>
    </row>
    <row r="71">
      <c r="A71" s="7" t="n">
        <v>3</v>
      </c>
      <c r="B71" s="9" t="n"/>
      <c r="C71" s="9" t="n"/>
      <c r="D71" s="9" t="n"/>
      <c r="E71" s="9" t="n"/>
      <c r="F71" s="9" t="n"/>
      <c r="G71" s="9" t="n"/>
      <c r="H71" s="9" t="n"/>
      <c r="I71" s="7">
        <f>IFERROR(MAX(C71:H71),"")</f>
        <v/>
      </c>
      <c r="J71" s="7">
        <f>IFERROR(MATCH(I71,C71:H71,0),"")</f>
        <v/>
      </c>
      <c r="K71" s="7" t="n">
        <v>10</v>
      </c>
      <c r="L71" s="7">
        <f>IFERROR(I71*(1-(K71/100)),"")</f>
        <v/>
      </c>
      <c r="M71" s="7">
        <f>IFERROR(LOOKUP(9.99E+307,C71:H71),"")</f>
        <v/>
      </c>
      <c r="N71" s="7">
        <f>IFERROR(IF(M71="","",IF(M71&lt;=N71,"停组🛑","继续✓")),"")</f>
        <v/>
      </c>
      <c r="O71" s="7">
        <f>IFERROR(IF(M71="","",IF(M71&lt;0.15,"SAFETY_STOP","")),"")</f>
        <v/>
      </c>
      <c r="P71" s="7">
        <f>IFERROR(IF(M71="","",IF(M71&lt;0.15,"SAFETY_STOP",IF(M71&lt;=N71,"VL_THRESHOLD",""))),"")</f>
        <v/>
      </c>
      <c r="Q71" s="7">
        <f>IFERROR(IF(I71="","",IF(I71&gt;(0.75+0.05),"+5kg",IF(I71&gt;(0.75+0.02),"+2.5kg",IF(I71&gt;=(0.75-0.05),"保持",IF(I71&gt;=(0.75-0.08),"-2.5kg","-5kg"))))),"")</f>
        <v/>
      </c>
      <c r="R71" s="9" t="n"/>
    </row>
    <row r="72">
      <c r="A72" s="7" t="n">
        <v>4</v>
      </c>
      <c r="B72" s="9" t="n"/>
      <c r="C72" s="9" t="n"/>
      <c r="D72" s="9" t="n"/>
      <c r="E72" s="9" t="n"/>
      <c r="F72" s="9" t="n"/>
      <c r="G72" s="9" t="n"/>
      <c r="H72" s="9" t="n"/>
      <c r="I72" s="7">
        <f>IFERROR(MAX(C72:H72),"")</f>
        <v/>
      </c>
      <c r="J72" s="7">
        <f>IFERROR(MATCH(I72,C72:H72,0),"")</f>
        <v/>
      </c>
      <c r="K72" s="7" t="n">
        <v>10</v>
      </c>
      <c r="L72" s="7">
        <f>IFERROR(I72*(1-(K72/100)),"")</f>
        <v/>
      </c>
      <c r="M72" s="7">
        <f>IFERROR(LOOKUP(9.99E+307,C72:H72),"")</f>
        <v/>
      </c>
      <c r="N72" s="7">
        <f>IFERROR(IF(M72="","",IF(M72&lt;=N72,"停组🛑","继续✓")),"")</f>
        <v/>
      </c>
      <c r="O72" s="7">
        <f>IFERROR(IF(M72="","",IF(M72&lt;0.15,"SAFETY_STOP","")),"")</f>
        <v/>
      </c>
      <c r="P72" s="7">
        <f>IFERROR(IF(M72="","",IF(M72&lt;0.15,"SAFETY_STOP",IF(M72&lt;=N72,"VL_THRESHOLD",""))),"")</f>
        <v/>
      </c>
      <c r="Q72" s="7">
        <f>IFERROR(IF(I72="","",IF(I72&gt;(0.75+0.05),"+5kg",IF(I72&gt;(0.75+0.02),"+2.5kg",IF(I72&gt;=(0.75-0.05),"保持",IF(I72&gt;=(0.75-0.08),"-2.5kg","-5kg"))))),"")</f>
        <v/>
      </c>
      <c r="R72" s="9" t="n"/>
    </row>
    <row r="73">
      <c r="A73" s="7" t="n">
        <v>5</v>
      </c>
      <c r="B73" s="9" t="n"/>
      <c r="C73" s="9" t="n"/>
      <c r="D73" s="9" t="n"/>
      <c r="E73" s="9" t="n"/>
      <c r="F73" s="9" t="n"/>
      <c r="G73" s="9" t="n"/>
      <c r="H73" s="9" t="n"/>
      <c r="I73" s="7">
        <f>IFERROR(MAX(C73:H73),"")</f>
        <v/>
      </c>
      <c r="J73" s="7">
        <f>IFERROR(MATCH(I73,C73:H73,0),"")</f>
        <v/>
      </c>
      <c r="K73" s="7" t="n">
        <v>10</v>
      </c>
      <c r="L73" s="7">
        <f>IFERROR(I73*(1-(K73/100)),"")</f>
        <v/>
      </c>
      <c r="M73" s="7">
        <f>IFERROR(LOOKUP(9.99E+307,C73:H73),"")</f>
        <v/>
      </c>
      <c r="N73" s="7">
        <f>IFERROR(IF(M73="","",IF(M73&lt;=N73,"停组🛑","继续✓")),"")</f>
        <v/>
      </c>
      <c r="O73" s="7">
        <f>IFERROR(IF(M73="","",IF(M73&lt;0.15,"SAFETY_STOP","")),"")</f>
        <v/>
      </c>
      <c r="P73" s="7">
        <f>IFERROR(IF(M73="","",IF(M73&lt;0.15,"SAFETY_STOP",IF(M73&lt;=N73,"VL_THRESHOLD",""))),"")</f>
        <v/>
      </c>
      <c r="Q73" s="7">
        <f>IFERROR(IF(I73="","",IF(I73&gt;(0.75+0.05),"+5kg",IF(I73&gt;(0.75+0.02),"+2.5kg",IF(I73&gt;=(0.75-0.05),"保持",IF(I73&gt;=(0.75-0.08),"-2.5kg","-5kg"))))),"")</f>
        <v/>
      </c>
      <c r="R73" s="9" t="n"/>
    </row>
    <row r="74">
      <c r="A74" s="7" t="n">
        <v>6</v>
      </c>
      <c r="B74" s="9" t="n"/>
      <c r="C74" s="9" t="n"/>
      <c r="D74" s="9" t="n"/>
      <c r="E74" s="9" t="n"/>
      <c r="F74" s="9" t="n"/>
      <c r="G74" s="9" t="n"/>
      <c r="H74" s="9" t="n"/>
      <c r="I74" s="7">
        <f>IFERROR(MAX(C74:H74),"")</f>
        <v/>
      </c>
      <c r="J74" s="7">
        <f>IFERROR(MATCH(I74,C74:H74,0),"")</f>
        <v/>
      </c>
      <c r="K74" s="7" t="n">
        <v>10</v>
      </c>
      <c r="L74" s="7">
        <f>IFERROR(I74*(1-(K74/100)),"")</f>
        <v/>
      </c>
      <c r="M74" s="7">
        <f>IFERROR(LOOKUP(9.99E+307,C74:H74),"")</f>
        <v/>
      </c>
      <c r="N74" s="7">
        <f>IFERROR(IF(M74="","",IF(M74&lt;=N74,"停组🛑","继续✓")),"")</f>
        <v/>
      </c>
      <c r="O74" s="7">
        <f>IFERROR(IF(M74="","",IF(M74&lt;0.15,"SAFETY_STOP","")),"")</f>
        <v/>
      </c>
      <c r="P74" s="7">
        <f>IFERROR(IF(M74="","",IF(M74&lt;0.15,"SAFETY_STOP",IF(M74&lt;=N74,"VL_THRESHOLD",""))),"")</f>
        <v/>
      </c>
      <c r="Q74" s="7">
        <f>IFERROR(IF(I74="","",IF(I74&gt;(0.75+0.05),"+5kg",IF(I74&gt;(0.75+0.02),"+2.5kg",IF(I74&gt;=(0.75-0.05),"保持",IF(I74&gt;=(0.75-0.08),"-2.5kg","-5kg"))))),"")</f>
        <v/>
      </c>
      <c r="R74" s="9" t="n"/>
    </row>
    <row r="75">
      <c r="A75" s="13" t="inlineStr">
        <is>
          <t>辅助</t>
        </is>
      </c>
      <c r="D75" s="14" t="inlineStr">
        <is>
          <t>保加利亚单腿蹲</t>
        </is>
      </c>
      <c r="E75" s="14" t="inlineStr">
        <is>
          <t>负荷</t>
        </is>
      </c>
      <c r="F75" s="14" t="inlineStr">
        <is>
          <t>完成</t>
        </is>
      </c>
      <c r="I75" t="inlineStr">
        <is>
          <t>VL</t>
        </is>
      </c>
    </row>
    <row r="76">
      <c r="A76" s="15" t="inlineStr">
        <is>
          <t>训练后</t>
        </is>
      </c>
      <c r="B76" s="15" t="inlineStr">
        <is>
          <t>开始</t>
        </is>
      </c>
      <c r="C76" s="15" t="inlineStr">
        <is>
          <t>结束</t>
        </is>
      </c>
      <c r="D76" s="15" t="inlineStr">
        <is>
          <t>时长min</t>
        </is>
      </c>
      <c r="E76" s="15" t="inlineStr">
        <is>
          <t>sRPE</t>
        </is>
      </c>
      <c r="F76" s="15" t="inlineStr">
        <is>
          <t>load</t>
        </is>
      </c>
      <c r="G76" s="15" t="inlineStr">
        <is>
          <t>不适?</t>
        </is>
      </c>
      <c r="H76" s="15" t="inlineStr">
        <is>
          <t>备注</t>
        </is>
      </c>
      <c r="I76" s="15" t="inlineStr">
        <is>
          <t>签名</t>
        </is>
      </c>
    </row>
    <row r="77">
      <c r="A77" s="7" t="n"/>
      <c r="B77" s="9" t="n"/>
      <c r="C77" s="9" t="n"/>
      <c r="D77" s="11">
        <f>IFERROR((C77-B77)*1440,"")</f>
        <v/>
      </c>
      <c r="E77" s="9" t="n"/>
      <c r="F77" s="11">
        <f>IFERROR(E77*D77,"")</f>
        <v/>
      </c>
      <c r="G77" s="9" t="n"/>
      <c r="H77" s="9" t="n"/>
      <c r="I77" s="9" t="n"/>
    </row>
    <row r="78">
      <c r="A78" s="16" t="inlineStr">
        <is>
          <t>跳跃</t>
        </is>
      </c>
      <c r="B78" s="16" t="inlineStr">
        <is>
          <t>类型</t>
        </is>
      </c>
      <c r="C78" s="16" t="inlineStr">
        <is>
          <t>组×次</t>
        </is>
      </c>
      <c r="D78" s="16" t="inlineStr">
        <is>
          <t>负荷kg</t>
        </is>
      </c>
      <c r="E78" s="16" t="inlineStr">
        <is>
          <t>接触</t>
        </is>
      </c>
    </row>
    <row r="79">
      <c r="B79" t="inlineStr">
        <is>
          <t>SJ</t>
        </is>
      </c>
      <c r="C79" t="inlineStr">
        <is>
          <t>2×3</t>
        </is>
      </c>
      <c r="D79" t="n">
        <v>0</v>
      </c>
      <c r="E79" t="n">
        <v>6</v>
      </c>
    </row>
    <row r="80">
      <c r="B80" t="inlineStr">
        <is>
          <t>负重跳</t>
        </is>
      </c>
      <c r="C80" t="inlineStr">
        <is>
          <t>2×4</t>
        </is>
      </c>
      <c r="D80" s="14" t="n"/>
      <c r="E80" s="14" t="n"/>
    </row>
    <row r="81">
      <c r="A81" s="17" t="inlineStr">
        <is>
          <t>▶ 暴露量汇总</t>
        </is>
      </c>
      <c r="B81" s="17" t="inlineStr">
        <is>
          <t>说明</t>
        </is>
      </c>
      <c r="C81" s="17" t="inlineStr">
        <is>
          <t>公式/来源</t>
        </is>
      </c>
      <c r="D81" s="17" t="inlineStr">
        <is>
          <t>数值</t>
        </is>
      </c>
    </row>
    <row r="82">
      <c r="A82" s="18" t="inlineStr">
        <is>
          <t>① 无负荷跳跃接触</t>
        </is>
      </c>
      <c r="B82" s="18" t="inlineStr">
        <is>
          <t>CMJ+SJ+箱跳</t>
        </is>
      </c>
      <c r="C82" s="19">
        <f>IFERROR(E79+E80,2)</f>
        <v/>
      </c>
    </row>
    <row r="83">
      <c r="A83" s="18" t="inlineStr">
        <is>
          <t>② 负重跳跃接触</t>
        </is>
      </c>
      <c r="B83" s="18" t="inlineStr">
        <is>
          <t>负重深蹲跳</t>
        </is>
      </c>
      <c r="C83" s="19">
        <f>IFERROR(E80,"")</f>
        <v/>
      </c>
    </row>
    <row r="84">
      <c r="A84" s="18" t="inlineStr">
        <is>
          <t>③ 跳跃总计</t>
        </is>
      </c>
      <c r="B84" s="18" t="inlineStr">
        <is>
          <t>①+②</t>
        </is>
      </c>
      <c r="C84" s="19">
        <f>IFERROR(B82+B83,"")</f>
        <v/>
      </c>
    </row>
    <row r="85">
      <c r="A85" s="18" t="inlineStr">
        <is>
          <t>④ 热身VL</t>
        </is>
      </c>
      <c r="B85" s="18" t="inlineStr">
        <is>
          <t>20×5+50%×3(+70%×2)</t>
        </is>
      </c>
      <c r="C85" s="19">
        <f>IFERROR(20*5+ROUND(V65*0.5,0)*3,"-")</f>
        <v/>
      </c>
    </row>
    <row r="86">
      <c r="A86" s="20" t="inlineStr">
        <is>
          <t>⑤ 主项工作组VL ★</t>
        </is>
      </c>
      <c r="B86" s="20" t="inlineStr">
        <is>
          <t>Σ(负荷×次数)</t>
        </is>
      </c>
      <c r="C86" s="21">
        <f>SUMPRODUCT($B$69:$B$74,$R$69:$R$74)</f>
        <v/>
      </c>
    </row>
    <row r="87">
      <c r="A87" s="18" t="inlineStr">
        <is>
          <t>⑥ 主项总VL</t>
        </is>
      </c>
      <c r="B87" s="18" t="inlineStr">
        <is>
          <t>④+⑤</t>
        </is>
      </c>
      <c r="C87" s="19">
        <f>IFERROR(D82+D83,"")</f>
        <v/>
      </c>
    </row>
    <row r="88">
      <c r="A88" s="18" t="inlineStr">
        <is>
          <t>⑦ 辅助VL</t>
        </is>
      </c>
      <c r="B88" s="18" t="inlineStr">
        <is>
          <t>RDL/保加利亚</t>
        </is>
      </c>
      <c r="C88" s="19">
        <f>IFERROR(I75,"")</f>
        <v/>
      </c>
    </row>
    <row r="89">
      <c r="A89" s="18" t="inlineStr">
        <is>
          <t>⑧ 总外部负荷</t>
        </is>
      </c>
      <c r="B89" s="18" t="inlineStr">
        <is>
          <t>⑥+⑦(+负重跳)</t>
        </is>
      </c>
      <c r="C89" s="19">
        <f>IFERROR(F82+G82,"")</f>
        <v/>
      </c>
    </row>
    <row r="90">
      <c r="A90" s="18" t="inlineStr">
        <is>
          <t>⑨ sRPE load</t>
        </is>
      </c>
      <c r="B90" s="18" t="inlineStr">
        <is>
          <t>sRPE×时长</t>
        </is>
      </c>
      <c r="C90" s="19">
        <f>IFERROR(F77,"")</f>
        <v/>
      </c>
    </row>
    <row r="93">
      <c r="A93" s="5" t="inlineStr">
        <is>
          <t>P006 陈镕垚  a=1.694 b=-0.01015 1RM=145</t>
        </is>
      </c>
    </row>
    <row r="94">
      <c r="A94" s="6" t="inlineStr">
        <is>
          <t>编号</t>
        </is>
      </c>
      <c r="B94" s="6" t="inlineStr">
        <is>
          <t>姓名</t>
        </is>
      </c>
      <c r="C94" s="6" t="inlineStr">
        <is>
          <t>身高</t>
        </is>
      </c>
      <c r="D94" s="6" t="inlineStr">
        <is>
          <t>1RM</t>
        </is>
      </c>
      <c r="E94" s="6" t="inlineStr">
        <is>
          <t>Hooper睡</t>
        </is>
      </c>
      <c r="F94" s="6" t="inlineStr">
        <is>
          <t>Hooper压</t>
        </is>
      </c>
      <c r="G94" s="6" t="inlineStr">
        <is>
          <t>Hooper疲</t>
        </is>
      </c>
      <c r="H94" s="6" t="inlineStr">
        <is>
          <t>Hooper酸</t>
        </is>
      </c>
      <c r="I94" s="6" t="inlineStr">
        <is>
          <t>H总</t>
        </is>
      </c>
      <c r="J94" s="6" t="inlineStr">
        <is>
          <t>不适?</t>
        </is>
      </c>
      <c r="K94" s="6" t="inlineStr">
        <is>
          <t>说明</t>
        </is>
      </c>
      <c r="L94" s="6" t="inlineStr">
        <is>
          <t>CMJ1</t>
        </is>
      </c>
      <c r="M94" s="6" t="inlineStr">
        <is>
          <t>CMJ2</t>
        </is>
      </c>
      <c r="N94" s="6" t="inlineStr">
        <is>
          <t>CMJ3</t>
        </is>
      </c>
      <c r="O94" s="6" t="inlineStr">
        <is>
          <t>CMJμ</t>
        </is>
      </c>
      <c r="P94" s="6" t="inlineStr">
        <is>
          <t>&lt;95%</t>
        </is>
      </c>
      <c r="Q94" s="6" t="inlineStr">
        <is>
          <t>减组</t>
        </is>
      </c>
      <c r="R94" s="6" t="inlineStr">
        <is>
          <t>组数</t>
        </is>
      </c>
      <c r="S94" s="6" t="inlineStr">
        <is>
          <t>a(V0)</t>
        </is>
      </c>
      <c r="T94" s="6" t="inlineStr">
        <is>
          <t>b</t>
        </is>
      </c>
      <c r="U94" s="6" t="inlineStr">
        <is>
          <t>等级</t>
        </is>
      </c>
      <c r="V94" s="6" t="inlineStr">
        <is>
          <t>预测起始</t>
        </is>
      </c>
    </row>
    <row r="95">
      <c r="A95" s="7" t="inlineStr">
        <is>
          <t>P006</t>
        </is>
      </c>
      <c r="B95" s="7" t="inlineStr">
        <is>
          <t>陈镕垚</t>
        </is>
      </c>
      <c r="C95" s="7" t="n">
        <v>181</v>
      </c>
      <c r="D95" s="8" t="n">
        <v>145</v>
      </c>
      <c r="E95" s="9" t="n"/>
      <c r="F95" s="9" t="n"/>
      <c r="G95" s="9" t="n"/>
      <c r="H95" s="9" t="n"/>
      <c r="I95" s="7">
        <f>IFERROR(SUM(E95:H95),"")</f>
        <v/>
      </c>
      <c r="J95" s="9" t="n"/>
      <c r="K95" s="9" t="n"/>
      <c r="L95" s="9" t="n"/>
      <c r="M95" s="9" t="n"/>
      <c r="N95" s="9" t="n"/>
      <c r="O95" s="7">
        <f>IFERROR(AVERAGE(L95:N95),"")</f>
        <v/>
      </c>
      <c r="P95" s="7">
        <f>IF(O95="","",IF(O95&lt;59.06,"是⚠","否"))</f>
        <v/>
      </c>
      <c r="Q95" s="7">
        <f>IF(O95="","",IF(O95&lt;59.06,3-1,3))</f>
        <v/>
      </c>
      <c r="R95" s="7" t="n"/>
      <c r="S95" s="8" t="n">
        <v>1.694</v>
      </c>
      <c r="T95" s="8" t="n">
        <v>-0.01015</v>
      </c>
      <c r="U95" s="7" t="inlineStr">
        <is>
          <t>A</t>
        </is>
      </c>
      <c r="V95" s="8" t="n">
        <v>92.5</v>
      </c>
    </row>
    <row r="96">
      <c r="A96" s="10" t="inlineStr">
        <is>
          <t>热身校准</t>
        </is>
      </c>
      <c r="B96" s="10" t="inlineStr">
        <is>
          <t>a</t>
        </is>
      </c>
      <c r="C96" s="10" t="inlineStr">
        <is>
          <t>b</t>
        </is>
      </c>
      <c r="D96" s="10" t="inlineStr">
        <is>
          <t>50%热身</t>
        </is>
      </c>
      <c r="E96" s="10" t="inlineStr">
        <is>
          <t>70%热身</t>
        </is>
      </c>
      <c r="F96" s="10" t="inlineStr">
        <is>
          <t>热身负荷</t>
        </is>
      </c>
      <c r="G96" s="10" t="inlineStr">
        <is>
          <t>实测MCV</t>
        </is>
      </c>
      <c r="H96" s="10" t="inlineStr">
        <is>
          <t>预测MCV</t>
        </is>
      </c>
      <c r="I96" s="10" t="inlineStr">
        <is>
          <t>Δv</t>
        </is>
      </c>
      <c r="J96" s="10" t="inlineStr">
        <is>
          <t>调整量</t>
        </is>
      </c>
      <c r="K96" s="10" t="inlineStr">
        <is>
          <t>校准第1组</t>
        </is>
      </c>
    </row>
    <row r="97">
      <c r="A97" s="7" t="n"/>
      <c r="B97" s="11" t="n">
        <v>1.694</v>
      </c>
      <c r="C97" s="11" t="n">
        <v>-0.01015</v>
      </c>
      <c r="D97" s="11">
        <f>IFERROR(ROUND(V95*0.5/2.5,0)*2.5,"")</f>
        <v/>
      </c>
      <c r="E97" s="11" t="inlineStr"/>
      <c r="F97" s="11">
        <f>IFERROR(ROUND(V95*0.5/2.5,0)*2.5,"")</f>
        <v/>
      </c>
      <c r="G97" s="9" t="n"/>
      <c r="H97" s="11">
        <f>IFERROR(B97+C97*F97,"")</f>
        <v/>
      </c>
      <c r="I97" s="11">
        <f>IFERROR(G97-H97,"")</f>
        <v/>
      </c>
      <c r="J97" s="11">
        <f>IFERROR(IF(I97&gt;0.08,5,IF(I97&gt;0.04,2.5,IF(I97&gt;=-0.04,0,IF(I97&gt;=-0.08,-2.5,-5)))),"")</f>
        <v/>
      </c>
      <c r="K97" s="11">
        <f>IFERROR(ROUND(V95+J97,0),"")</f>
        <v/>
      </c>
    </row>
    <row r="98">
      <c r="A98" s="12" t="inlineStr">
        <is>
          <t>组</t>
        </is>
      </c>
      <c r="B98" s="12" t="inlineStr">
        <is>
          <t>负荷</t>
        </is>
      </c>
      <c r="C98" s="12" t="inlineStr">
        <is>
          <t>rep1</t>
        </is>
      </c>
      <c r="D98" s="12" t="inlineStr">
        <is>
          <t>rep2</t>
        </is>
      </c>
      <c r="E98" s="12" t="inlineStr">
        <is>
          <t>rep3</t>
        </is>
      </c>
      <c r="F98" s="12" t="inlineStr">
        <is>
          <t>rep4</t>
        </is>
      </c>
      <c r="G98" s="12" t="inlineStr">
        <is>
          <t>rep5</t>
        </is>
      </c>
      <c r="H98" s="12" t="inlineStr">
        <is>
          <t>rep6</t>
        </is>
      </c>
      <c r="I98" s="12" t="inlineStr">
        <is>
          <t>best</t>
        </is>
      </c>
      <c r="J98" s="12" t="inlineStr">
        <is>
          <t>best#</t>
        </is>
      </c>
      <c r="K98" s="12" t="inlineStr">
        <is>
          <t>VL%</t>
        </is>
      </c>
      <c r="L98" s="12" t="inlineStr">
        <is>
          <t>stop_th</t>
        </is>
      </c>
      <c r="M98" s="12" t="inlineStr">
        <is>
          <t>latest</t>
        </is>
      </c>
      <c r="N98" s="12" t="inlineStr">
        <is>
          <t>VL_flag</t>
        </is>
      </c>
      <c r="O98" s="12" t="inlineStr">
        <is>
          <t>safety</t>
        </is>
      </c>
      <c r="P98" s="12" t="inlineStr">
        <is>
          <t>原因</t>
        </is>
      </c>
      <c r="Q98" s="12" t="inlineStr">
        <is>
          <t>建议</t>
        </is>
      </c>
      <c r="R98" s="12" t="inlineStr">
        <is>
          <t>次数</t>
        </is>
      </c>
    </row>
    <row r="99">
      <c r="A99" s="7" t="n">
        <v>1</v>
      </c>
      <c r="B99" s="9">
        <f>IFERROR(K97,"")</f>
        <v/>
      </c>
      <c r="C99" s="9" t="n"/>
      <c r="D99" s="9" t="n"/>
      <c r="E99" s="9" t="n"/>
      <c r="F99" s="9" t="n"/>
      <c r="G99" s="9" t="n"/>
      <c r="H99" s="9" t="n"/>
      <c r="I99" s="7">
        <f>IFERROR(MAX(C99:H99),"")</f>
        <v/>
      </c>
      <c r="J99" s="7">
        <f>IFERROR(MATCH(I99,C99:H99,0),"")</f>
        <v/>
      </c>
      <c r="K99" s="7" t="n">
        <v>10</v>
      </c>
      <c r="L99" s="7">
        <f>IFERROR(I99*(1-(K99/100)),"")</f>
        <v/>
      </c>
      <c r="M99" s="7">
        <f>IFERROR(LOOKUP(9.99E+307,C99:H99),"")</f>
        <v/>
      </c>
      <c r="N99" s="7">
        <f>IFERROR(IF(M99="","",IF(M99&lt;=N99,"停组🛑","继续✓")),"")</f>
        <v/>
      </c>
      <c r="O99" s="7">
        <f>IFERROR(IF(M99="","",IF(M99&lt;0.15,"SAFETY_STOP","")),"")</f>
        <v/>
      </c>
      <c r="P99" s="7">
        <f>IFERROR(IF(M99="","",IF(M99&lt;0.15,"SAFETY_STOP",IF(M99&lt;=N99,"VL_THRESHOLD",""))),"")</f>
        <v/>
      </c>
      <c r="Q99" s="7">
        <f>IFERROR(IF(I99="","",IF(I99&gt;(0.75+0.05),"+5kg",IF(I99&gt;(0.75+0.02),"+2.5kg",IF(I99&gt;=(0.75-0.05),"保持",IF(I99&gt;=(0.75-0.08),"-2.5kg","-5kg"))))),"")</f>
        <v/>
      </c>
      <c r="R99" s="9" t="n"/>
    </row>
    <row r="100">
      <c r="A100" s="7" t="n">
        <v>2</v>
      </c>
      <c r="B100" s="9" t="n"/>
      <c r="C100" s="9" t="n"/>
      <c r="D100" s="9" t="n"/>
      <c r="E100" s="9" t="n"/>
      <c r="F100" s="9" t="n"/>
      <c r="G100" s="9" t="n"/>
      <c r="H100" s="9" t="n"/>
      <c r="I100" s="7">
        <f>IFERROR(MAX(C100:H100),"")</f>
        <v/>
      </c>
      <c r="J100" s="7">
        <f>IFERROR(MATCH(I100,C100:H100,0),"")</f>
        <v/>
      </c>
      <c r="K100" s="7" t="n">
        <v>10</v>
      </c>
      <c r="L100" s="7">
        <f>IFERROR(I100*(1-(K100/100)),"")</f>
        <v/>
      </c>
      <c r="M100" s="7">
        <f>IFERROR(LOOKUP(9.99E+307,C100:H100),"")</f>
        <v/>
      </c>
      <c r="N100" s="7">
        <f>IFERROR(IF(M100="","",IF(M100&lt;=N100,"停组🛑","继续✓")),"")</f>
        <v/>
      </c>
      <c r="O100" s="7">
        <f>IFERROR(IF(M100="","",IF(M100&lt;0.15,"SAFETY_STOP","")),"")</f>
        <v/>
      </c>
      <c r="P100" s="7">
        <f>IFERROR(IF(M100="","",IF(M100&lt;0.15,"SAFETY_STOP",IF(M100&lt;=N100,"VL_THRESHOLD",""))),"")</f>
        <v/>
      </c>
      <c r="Q100" s="7">
        <f>IFERROR(IF(I100="","",IF(I100&gt;(0.75+0.05),"+5kg",IF(I100&gt;(0.75+0.02),"+2.5kg",IF(I100&gt;=(0.75-0.05),"保持",IF(I100&gt;=(0.75-0.08),"-2.5kg","-5kg"))))),"")</f>
        <v/>
      </c>
      <c r="R100" s="9" t="n"/>
    </row>
    <row r="101">
      <c r="A101" s="7" t="n">
        <v>3</v>
      </c>
      <c r="B101" s="9" t="n"/>
      <c r="C101" s="9" t="n"/>
      <c r="D101" s="9" t="n"/>
      <c r="E101" s="9" t="n"/>
      <c r="F101" s="9" t="n"/>
      <c r="G101" s="9" t="n"/>
      <c r="H101" s="9" t="n"/>
      <c r="I101" s="7">
        <f>IFERROR(MAX(C101:H101),"")</f>
        <v/>
      </c>
      <c r="J101" s="7">
        <f>IFERROR(MATCH(I101,C101:H101,0),"")</f>
        <v/>
      </c>
      <c r="K101" s="7" t="n">
        <v>10</v>
      </c>
      <c r="L101" s="7">
        <f>IFERROR(I101*(1-(K101/100)),"")</f>
        <v/>
      </c>
      <c r="M101" s="7">
        <f>IFERROR(LOOKUP(9.99E+307,C101:H101),"")</f>
        <v/>
      </c>
      <c r="N101" s="7">
        <f>IFERROR(IF(M101="","",IF(M101&lt;=N101,"停组🛑","继续✓")),"")</f>
        <v/>
      </c>
      <c r="O101" s="7">
        <f>IFERROR(IF(M101="","",IF(M101&lt;0.15,"SAFETY_STOP","")),"")</f>
        <v/>
      </c>
      <c r="P101" s="7">
        <f>IFERROR(IF(M101="","",IF(M101&lt;0.15,"SAFETY_STOP",IF(M101&lt;=N101,"VL_THRESHOLD",""))),"")</f>
        <v/>
      </c>
      <c r="Q101" s="7">
        <f>IFERROR(IF(I101="","",IF(I101&gt;(0.75+0.05),"+5kg",IF(I101&gt;(0.75+0.02),"+2.5kg",IF(I101&gt;=(0.75-0.05),"保持",IF(I101&gt;=(0.75-0.08),"-2.5kg","-5kg"))))),"")</f>
        <v/>
      </c>
      <c r="R101" s="9" t="n"/>
    </row>
    <row r="102">
      <c r="A102" s="7" t="n">
        <v>4</v>
      </c>
      <c r="B102" s="9" t="n"/>
      <c r="C102" s="9" t="n"/>
      <c r="D102" s="9" t="n"/>
      <c r="E102" s="9" t="n"/>
      <c r="F102" s="9" t="n"/>
      <c r="G102" s="9" t="n"/>
      <c r="H102" s="9" t="n"/>
      <c r="I102" s="7">
        <f>IFERROR(MAX(C102:H102),"")</f>
        <v/>
      </c>
      <c r="J102" s="7">
        <f>IFERROR(MATCH(I102,C102:H102,0),"")</f>
        <v/>
      </c>
      <c r="K102" s="7" t="n">
        <v>10</v>
      </c>
      <c r="L102" s="7">
        <f>IFERROR(I102*(1-(K102/100)),"")</f>
        <v/>
      </c>
      <c r="M102" s="7">
        <f>IFERROR(LOOKUP(9.99E+307,C102:H102),"")</f>
        <v/>
      </c>
      <c r="N102" s="7">
        <f>IFERROR(IF(M102="","",IF(M102&lt;=N102,"停组🛑","继续✓")),"")</f>
        <v/>
      </c>
      <c r="O102" s="7">
        <f>IFERROR(IF(M102="","",IF(M102&lt;0.15,"SAFETY_STOP","")),"")</f>
        <v/>
      </c>
      <c r="P102" s="7">
        <f>IFERROR(IF(M102="","",IF(M102&lt;0.15,"SAFETY_STOP",IF(M102&lt;=N102,"VL_THRESHOLD",""))),"")</f>
        <v/>
      </c>
      <c r="Q102" s="7">
        <f>IFERROR(IF(I102="","",IF(I102&gt;(0.75+0.05),"+5kg",IF(I102&gt;(0.75+0.02),"+2.5kg",IF(I102&gt;=(0.75-0.05),"保持",IF(I102&gt;=(0.75-0.08),"-2.5kg","-5kg"))))),"")</f>
        <v/>
      </c>
      <c r="R102" s="9" t="n"/>
    </row>
    <row r="103">
      <c r="A103" s="7" t="n">
        <v>5</v>
      </c>
      <c r="B103" s="9" t="n"/>
      <c r="C103" s="9" t="n"/>
      <c r="D103" s="9" t="n"/>
      <c r="E103" s="9" t="n"/>
      <c r="F103" s="9" t="n"/>
      <c r="G103" s="9" t="n"/>
      <c r="H103" s="9" t="n"/>
      <c r="I103" s="7">
        <f>IFERROR(MAX(C103:H103),"")</f>
        <v/>
      </c>
      <c r="J103" s="7">
        <f>IFERROR(MATCH(I103,C103:H103,0),"")</f>
        <v/>
      </c>
      <c r="K103" s="7" t="n">
        <v>10</v>
      </c>
      <c r="L103" s="7">
        <f>IFERROR(I103*(1-(K103/100)),"")</f>
        <v/>
      </c>
      <c r="M103" s="7">
        <f>IFERROR(LOOKUP(9.99E+307,C103:H103),"")</f>
        <v/>
      </c>
      <c r="N103" s="7">
        <f>IFERROR(IF(M103="","",IF(M103&lt;=N103,"停组🛑","继续✓")),"")</f>
        <v/>
      </c>
      <c r="O103" s="7">
        <f>IFERROR(IF(M103="","",IF(M103&lt;0.15,"SAFETY_STOP","")),"")</f>
        <v/>
      </c>
      <c r="P103" s="7">
        <f>IFERROR(IF(M103="","",IF(M103&lt;0.15,"SAFETY_STOP",IF(M103&lt;=N103,"VL_THRESHOLD",""))),"")</f>
        <v/>
      </c>
      <c r="Q103" s="7">
        <f>IFERROR(IF(I103="","",IF(I103&gt;(0.75+0.05),"+5kg",IF(I103&gt;(0.75+0.02),"+2.5kg",IF(I103&gt;=(0.75-0.05),"保持",IF(I103&gt;=(0.75-0.08),"-2.5kg","-5kg"))))),"")</f>
        <v/>
      </c>
      <c r="R103" s="9" t="n"/>
    </row>
    <row r="104">
      <c r="A104" s="7" t="n">
        <v>6</v>
      </c>
      <c r="B104" s="9" t="n"/>
      <c r="C104" s="9" t="n"/>
      <c r="D104" s="9" t="n"/>
      <c r="E104" s="9" t="n"/>
      <c r="F104" s="9" t="n"/>
      <c r="G104" s="9" t="n"/>
      <c r="H104" s="9" t="n"/>
      <c r="I104" s="7">
        <f>IFERROR(MAX(C104:H104),"")</f>
        <v/>
      </c>
      <c r="J104" s="7">
        <f>IFERROR(MATCH(I104,C104:H104,0),"")</f>
        <v/>
      </c>
      <c r="K104" s="7" t="n">
        <v>10</v>
      </c>
      <c r="L104" s="7">
        <f>IFERROR(I104*(1-(K104/100)),"")</f>
        <v/>
      </c>
      <c r="M104" s="7">
        <f>IFERROR(LOOKUP(9.99E+307,C104:H104),"")</f>
        <v/>
      </c>
      <c r="N104" s="7">
        <f>IFERROR(IF(M104="","",IF(M104&lt;=N104,"停组🛑","继续✓")),"")</f>
        <v/>
      </c>
      <c r="O104" s="7">
        <f>IFERROR(IF(M104="","",IF(M104&lt;0.15,"SAFETY_STOP","")),"")</f>
        <v/>
      </c>
      <c r="P104" s="7">
        <f>IFERROR(IF(M104="","",IF(M104&lt;0.15,"SAFETY_STOP",IF(M104&lt;=N104,"VL_THRESHOLD",""))),"")</f>
        <v/>
      </c>
      <c r="Q104" s="7">
        <f>IFERROR(IF(I104="","",IF(I104&gt;(0.75+0.05),"+5kg",IF(I104&gt;(0.75+0.02),"+2.5kg",IF(I104&gt;=(0.75-0.05),"保持",IF(I104&gt;=(0.75-0.08),"-2.5kg","-5kg"))))),"")</f>
        <v/>
      </c>
      <c r="R104" s="9" t="n"/>
    </row>
    <row r="105">
      <c r="A105" s="13" t="inlineStr">
        <is>
          <t>辅助</t>
        </is>
      </c>
      <c r="D105" s="14" t="inlineStr">
        <is>
          <t>保加利亚单腿蹲</t>
        </is>
      </c>
      <c r="E105" s="14" t="inlineStr">
        <is>
          <t>负荷</t>
        </is>
      </c>
      <c r="F105" s="14" t="inlineStr">
        <is>
          <t>完成</t>
        </is>
      </c>
      <c r="I105" t="inlineStr">
        <is>
          <t>VL</t>
        </is>
      </c>
    </row>
    <row r="106">
      <c r="A106" s="15" t="inlineStr">
        <is>
          <t>训练后</t>
        </is>
      </c>
      <c r="B106" s="15" t="inlineStr">
        <is>
          <t>开始</t>
        </is>
      </c>
      <c r="C106" s="15" t="inlineStr">
        <is>
          <t>结束</t>
        </is>
      </c>
      <c r="D106" s="15" t="inlineStr">
        <is>
          <t>时长min</t>
        </is>
      </c>
      <c r="E106" s="15" t="inlineStr">
        <is>
          <t>sRPE</t>
        </is>
      </c>
      <c r="F106" s="15" t="inlineStr">
        <is>
          <t>load</t>
        </is>
      </c>
      <c r="G106" s="15" t="inlineStr">
        <is>
          <t>不适?</t>
        </is>
      </c>
      <c r="H106" s="15" t="inlineStr">
        <is>
          <t>备注</t>
        </is>
      </c>
      <c r="I106" s="15" t="inlineStr">
        <is>
          <t>签名</t>
        </is>
      </c>
    </row>
    <row r="107">
      <c r="A107" s="7" t="n"/>
      <c r="B107" s="9" t="n"/>
      <c r="C107" s="9" t="n"/>
      <c r="D107" s="11">
        <f>IFERROR((C107-B107)*1440,"")</f>
        <v/>
      </c>
      <c r="E107" s="9" t="n"/>
      <c r="F107" s="11">
        <f>IFERROR(E107*D107,"")</f>
        <v/>
      </c>
      <c r="G107" s="9" t="n"/>
      <c r="H107" s="9" t="n"/>
      <c r="I107" s="9" t="n"/>
    </row>
    <row r="108">
      <c r="A108" s="16" t="inlineStr">
        <is>
          <t>跳跃</t>
        </is>
      </c>
      <c r="B108" s="16" t="inlineStr">
        <is>
          <t>类型</t>
        </is>
      </c>
      <c r="C108" s="16" t="inlineStr">
        <is>
          <t>组×次</t>
        </is>
      </c>
      <c r="D108" s="16" t="inlineStr">
        <is>
          <t>负荷kg</t>
        </is>
      </c>
      <c r="E108" s="16" t="inlineStr">
        <is>
          <t>接触</t>
        </is>
      </c>
    </row>
    <row r="109">
      <c r="B109" t="inlineStr">
        <is>
          <t>SJ</t>
        </is>
      </c>
      <c r="C109" t="inlineStr">
        <is>
          <t>2×3</t>
        </is>
      </c>
      <c r="D109" t="n">
        <v>0</v>
      </c>
      <c r="E109" t="n">
        <v>6</v>
      </c>
    </row>
    <row r="110">
      <c r="B110" t="inlineStr">
        <is>
          <t>负重跳</t>
        </is>
      </c>
      <c r="C110" t="inlineStr">
        <is>
          <t>2×4</t>
        </is>
      </c>
      <c r="D110" s="14" t="n"/>
      <c r="E110" s="14" t="n"/>
    </row>
    <row r="111">
      <c r="A111" s="17" t="inlineStr">
        <is>
          <t>▶ 暴露量汇总</t>
        </is>
      </c>
      <c r="B111" s="17" t="inlineStr">
        <is>
          <t>说明</t>
        </is>
      </c>
      <c r="C111" s="17" t="inlineStr">
        <is>
          <t>公式/来源</t>
        </is>
      </c>
      <c r="D111" s="17" t="inlineStr">
        <is>
          <t>数值</t>
        </is>
      </c>
    </row>
    <row r="112">
      <c r="A112" s="18" t="inlineStr">
        <is>
          <t>① 无负荷跳跃接触</t>
        </is>
      </c>
      <c r="B112" s="18" t="inlineStr">
        <is>
          <t>CMJ+SJ+箱跳</t>
        </is>
      </c>
      <c r="C112" s="19">
        <f>IFERROR(E109+E110,2)</f>
        <v/>
      </c>
    </row>
    <row r="113">
      <c r="A113" s="18" t="inlineStr">
        <is>
          <t>② 负重跳跃接触</t>
        </is>
      </c>
      <c r="B113" s="18" t="inlineStr">
        <is>
          <t>负重深蹲跳</t>
        </is>
      </c>
      <c r="C113" s="19">
        <f>IFERROR(E110,"")</f>
        <v/>
      </c>
    </row>
    <row r="114">
      <c r="A114" s="18" t="inlineStr">
        <is>
          <t>③ 跳跃总计</t>
        </is>
      </c>
      <c r="B114" s="18" t="inlineStr">
        <is>
          <t>①+②</t>
        </is>
      </c>
      <c r="C114" s="19">
        <f>IFERROR(B112+B113,"")</f>
        <v/>
      </c>
    </row>
    <row r="115">
      <c r="A115" s="18" t="inlineStr">
        <is>
          <t>④ 热身VL</t>
        </is>
      </c>
      <c r="B115" s="18" t="inlineStr">
        <is>
          <t>20×5+50%×3(+70%×2)</t>
        </is>
      </c>
      <c r="C115" s="19">
        <f>IFERROR(20*5+ROUND(V95*0.5,0)*3,"-")</f>
        <v/>
      </c>
    </row>
    <row r="116">
      <c r="A116" s="20" t="inlineStr">
        <is>
          <t>⑤ 主项工作组VL ★</t>
        </is>
      </c>
      <c r="B116" s="20" t="inlineStr">
        <is>
          <t>Σ(负荷×次数)</t>
        </is>
      </c>
      <c r="C116" s="21">
        <f>SUMPRODUCT($B$99:$B$104,$R$99:$R$104)</f>
        <v/>
      </c>
    </row>
    <row r="117">
      <c r="A117" s="18" t="inlineStr">
        <is>
          <t>⑥ 主项总VL</t>
        </is>
      </c>
      <c r="B117" s="18" t="inlineStr">
        <is>
          <t>④+⑤</t>
        </is>
      </c>
      <c r="C117" s="19">
        <f>IFERROR(D112+D113,"")</f>
        <v/>
      </c>
    </row>
    <row r="118">
      <c r="A118" s="18" t="inlineStr">
        <is>
          <t>⑦ 辅助VL</t>
        </is>
      </c>
      <c r="B118" s="18" t="inlineStr">
        <is>
          <t>RDL/保加利亚</t>
        </is>
      </c>
      <c r="C118" s="19">
        <f>IFERROR(I105,"")</f>
        <v/>
      </c>
    </row>
    <row r="119">
      <c r="A119" s="18" t="inlineStr">
        <is>
          <t>⑧ 总外部负荷</t>
        </is>
      </c>
      <c r="B119" s="18" t="inlineStr">
        <is>
          <t>⑥+⑦(+负重跳)</t>
        </is>
      </c>
      <c r="C119" s="19">
        <f>IFERROR(F112+G112,"")</f>
        <v/>
      </c>
    </row>
    <row r="120">
      <c r="A120" s="18" t="inlineStr">
        <is>
          <t>⑨ sRPE load</t>
        </is>
      </c>
      <c r="B120" s="18" t="inlineStr">
        <is>
          <t>sRPE×时长</t>
        </is>
      </c>
      <c r="C120" s="19">
        <f>IFERROR(F107,"")</f>
        <v/>
      </c>
    </row>
    <row r="123">
      <c r="A123" s="5" t="inlineStr">
        <is>
          <t>P015 陈先栋  a=1.77 b=-0.01025 1RM=135</t>
        </is>
      </c>
    </row>
    <row r="124">
      <c r="A124" s="6" t="inlineStr">
        <is>
          <t>编号</t>
        </is>
      </c>
      <c r="B124" s="6" t="inlineStr">
        <is>
          <t>姓名</t>
        </is>
      </c>
      <c r="C124" s="6" t="inlineStr">
        <is>
          <t>身高</t>
        </is>
      </c>
      <c r="D124" s="6" t="inlineStr">
        <is>
          <t>1RM</t>
        </is>
      </c>
      <c r="E124" s="6" t="inlineStr">
        <is>
          <t>Hooper睡</t>
        </is>
      </c>
      <c r="F124" s="6" t="inlineStr">
        <is>
          <t>Hooper压</t>
        </is>
      </c>
      <c r="G124" s="6" t="inlineStr">
        <is>
          <t>Hooper疲</t>
        </is>
      </c>
      <c r="H124" s="6" t="inlineStr">
        <is>
          <t>Hooper酸</t>
        </is>
      </c>
      <c r="I124" s="6" t="inlineStr">
        <is>
          <t>H总</t>
        </is>
      </c>
      <c r="J124" s="6" t="inlineStr">
        <is>
          <t>不适?</t>
        </is>
      </c>
      <c r="K124" s="6" t="inlineStr">
        <is>
          <t>说明</t>
        </is>
      </c>
      <c r="L124" s="6" t="inlineStr">
        <is>
          <t>CMJ1</t>
        </is>
      </c>
      <c r="M124" s="6" t="inlineStr">
        <is>
          <t>CMJ2</t>
        </is>
      </c>
      <c r="N124" s="6" t="inlineStr">
        <is>
          <t>CMJ3</t>
        </is>
      </c>
      <c r="O124" s="6" t="inlineStr">
        <is>
          <t>CMJμ</t>
        </is>
      </c>
      <c r="P124" s="6" t="inlineStr">
        <is>
          <t>&lt;95%</t>
        </is>
      </c>
      <c r="Q124" s="6" t="inlineStr">
        <is>
          <t>减组</t>
        </is>
      </c>
      <c r="R124" s="6" t="inlineStr">
        <is>
          <t>组数</t>
        </is>
      </c>
      <c r="S124" s="6" t="inlineStr">
        <is>
          <t>a(V0)</t>
        </is>
      </c>
      <c r="T124" s="6" t="inlineStr">
        <is>
          <t>b</t>
        </is>
      </c>
      <c r="U124" s="6" t="inlineStr">
        <is>
          <t>等级</t>
        </is>
      </c>
      <c r="V124" s="6" t="inlineStr">
        <is>
          <t>预测起始</t>
        </is>
      </c>
    </row>
    <row r="125">
      <c r="A125" s="7" t="inlineStr">
        <is>
          <t>P015</t>
        </is>
      </c>
      <c r="B125" s="7" t="inlineStr">
        <is>
          <t>陈先栋</t>
        </is>
      </c>
      <c r="C125" s="7" t="n">
        <v>175</v>
      </c>
      <c r="D125" s="8" t="n">
        <v>135</v>
      </c>
      <c r="E125" s="9" t="n"/>
      <c r="F125" s="9" t="n"/>
      <c r="G125" s="9" t="n"/>
      <c r="H125" s="9" t="n"/>
      <c r="I125" s="7">
        <f>IFERROR(SUM(E125:H125),"")</f>
        <v/>
      </c>
      <c r="J125" s="9" t="n"/>
      <c r="K125" s="9" t="n"/>
      <c r="L125" s="9" t="n"/>
      <c r="M125" s="9" t="n"/>
      <c r="N125" s="9" t="n"/>
      <c r="O125" s="7">
        <f>IFERROR(AVERAGE(L125:N125),"")</f>
        <v/>
      </c>
      <c r="P125" s="7">
        <f>IF(O125="","",IF(O125&lt;54.25,"是⚠","否"))</f>
        <v/>
      </c>
      <c r="Q125" s="7">
        <f>IF(O125="","",IF(O125&lt;54.25,3-1,3))</f>
        <v/>
      </c>
      <c r="R125" s="7" t="n"/>
      <c r="S125" s="8" t="n">
        <v>1.77</v>
      </c>
      <c r="T125" s="8" t="n">
        <v>-0.01025</v>
      </c>
      <c r="U125" s="7" t="inlineStr">
        <is>
          <t>C</t>
        </is>
      </c>
      <c r="V125" s="8" t="n">
        <v>100</v>
      </c>
    </row>
    <row r="126">
      <c r="A126" s="10" t="inlineStr">
        <is>
          <t>热身校准</t>
        </is>
      </c>
      <c r="B126" s="10" t="inlineStr">
        <is>
          <t>a</t>
        </is>
      </c>
      <c r="C126" s="10" t="inlineStr">
        <is>
          <t>b</t>
        </is>
      </c>
      <c r="D126" s="10" t="inlineStr">
        <is>
          <t>50%热身</t>
        </is>
      </c>
      <c r="E126" s="10" t="inlineStr">
        <is>
          <t>70%热身</t>
        </is>
      </c>
      <c r="F126" s="10" t="inlineStr">
        <is>
          <t>热身负荷</t>
        </is>
      </c>
      <c r="G126" s="10" t="inlineStr">
        <is>
          <t>实测MCV</t>
        </is>
      </c>
      <c r="H126" s="10" t="inlineStr">
        <is>
          <t>预测MCV</t>
        </is>
      </c>
      <c r="I126" s="10" t="inlineStr">
        <is>
          <t>Δv</t>
        </is>
      </c>
      <c r="J126" s="10" t="inlineStr">
        <is>
          <t>调整量</t>
        </is>
      </c>
      <c r="K126" s="10" t="inlineStr">
        <is>
          <t>校准第1组</t>
        </is>
      </c>
    </row>
    <row r="127">
      <c r="A127" s="7" t="n"/>
      <c r="B127" s="11" t="n">
        <v>1.77</v>
      </c>
      <c r="C127" s="11" t="n">
        <v>-0.01025</v>
      </c>
      <c r="D127" s="11">
        <f>IFERROR(ROUND(V125*0.5/2.5,0)*2.5,"")</f>
        <v/>
      </c>
      <c r="E127" s="11" t="inlineStr"/>
      <c r="F127" s="11">
        <f>IFERROR(ROUND(V125*0.5/2.5,0)*2.5,"")</f>
        <v/>
      </c>
      <c r="G127" s="9" t="n"/>
      <c r="H127" s="11">
        <f>IFERROR(B127+C127*F127,"")</f>
        <v/>
      </c>
      <c r="I127" s="11">
        <f>IFERROR(G127-H127,"")</f>
        <v/>
      </c>
      <c r="J127" s="11">
        <f>IFERROR(IF(I127&gt;0.08,5,IF(I127&gt;0.04,2.5,IF(I127&gt;=-0.04,0,IF(I127&gt;=-0.08,-2.5,-5)))),"")</f>
        <v/>
      </c>
      <c r="K127" s="11">
        <f>IFERROR(ROUND(V125+J127,0),"")</f>
        <v/>
      </c>
    </row>
    <row r="128">
      <c r="A128" s="12" t="inlineStr">
        <is>
          <t>组</t>
        </is>
      </c>
      <c r="B128" s="12" t="inlineStr">
        <is>
          <t>负荷</t>
        </is>
      </c>
      <c r="C128" s="12" t="inlineStr">
        <is>
          <t>rep1</t>
        </is>
      </c>
      <c r="D128" s="12" t="inlineStr">
        <is>
          <t>rep2</t>
        </is>
      </c>
      <c r="E128" s="12" t="inlineStr">
        <is>
          <t>rep3</t>
        </is>
      </c>
      <c r="F128" s="12" t="inlineStr">
        <is>
          <t>rep4</t>
        </is>
      </c>
      <c r="G128" s="12" t="inlineStr">
        <is>
          <t>rep5</t>
        </is>
      </c>
      <c r="H128" s="12" t="inlineStr">
        <is>
          <t>rep6</t>
        </is>
      </c>
      <c r="I128" s="12" t="inlineStr">
        <is>
          <t>best</t>
        </is>
      </c>
      <c r="J128" s="12" t="inlineStr">
        <is>
          <t>best#</t>
        </is>
      </c>
      <c r="K128" s="12" t="inlineStr">
        <is>
          <t>VL%</t>
        </is>
      </c>
      <c r="L128" s="12" t="inlineStr">
        <is>
          <t>stop_th</t>
        </is>
      </c>
      <c r="M128" s="12" t="inlineStr">
        <is>
          <t>latest</t>
        </is>
      </c>
      <c r="N128" s="12" t="inlineStr">
        <is>
          <t>VL_flag</t>
        </is>
      </c>
      <c r="O128" s="12" t="inlineStr">
        <is>
          <t>safety</t>
        </is>
      </c>
      <c r="P128" s="12" t="inlineStr">
        <is>
          <t>原因</t>
        </is>
      </c>
      <c r="Q128" s="12" t="inlineStr">
        <is>
          <t>建议</t>
        </is>
      </c>
      <c r="R128" s="12" t="inlineStr">
        <is>
          <t>次数</t>
        </is>
      </c>
    </row>
    <row r="129">
      <c r="A129" s="7" t="n">
        <v>1</v>
      </c>
      <c r="B129" s="9">
        <f>IFERROR(K127,"")</f>
        <v/>
      </c>
      <c r="C129" s="9" t="n"/>
      <c r="D129" s="9" t="n"/>
      <c r="E129" s="9" t="n"/>
      <c r="F129" s="9" t="n"/>
      <c r="G129" s="9" t="n"/>
      <c r="H129" s="9" t="n"/>
      <c r="I129" s="7">
        <f>IFERROR(MAX(C129:H129),"")</f>
        <v/>
      </c>
      <c r="J129" s="7">
        <f>IFERROR(MATCH(I129,C129:H129,0),"")</f>
        <v/>
      </c>
      <c r="K129" s="7" t="n">
        <v>10</v>
      </c>
      <c r="L129" s="7">
        <f>IFERROR(I129*(1-(K129/100)),"")</f>
        <v/>
      </c>
      <c r="M129" s="7">
        <f>IFERROR(LOOKUP(9.99E+307,C129:H129),"")</f>
        <v/>
      </c>
      <c r="N129" s="7">
        <f>IFERROR(IF(M129="","",IF(M129&lt;=N129,"停组🛑","继续✓")),"")</f>
        <v/>
      </c>
      <c r="O129" s="7">
        <f>IFERROR(IF(M129="","",IF(M129&lt;0.15,"SAFETY_STOP","")),"")</f>
        <v/>
      </c>
      <c r="P129" s="7">
        <f>IFERROR(IF(M129="","",IF(M129&lt;0.15,"SAFETY_STOP",IF(M129&lt;=N129,"VL_THRESHOLD",""))),"")</f>
        <v/>
      </c>
      <c r="Q129" s="7">
        <f>IFERROR(IF(I129="","",IF(I129&gt;(0.75+0.05),"+5kg",IF(I129&gt;(0.75+0.02),"+2.5kg",IF(I129&gt;=(0.75-0.05),"保持",IF(I129&gt;=(0.75-0.08),"-2.5kg","-5kg"))))),"")</f>
        <v/>
      </c>
      <c r="R129" s="9" t="n"/>
    </row>
    <row r="130">
      <c r="A130" s="7" t="n">
        <v>2</v>
      </c>
      <c r="B130" s="9" t="n"/>
      <c r="C130" s="9" t="n"/>
      <c r="D130" s="9" t="n"/>
      <c r="E130" s="9" t="n"/>
      <c r="F130" s="9" t="n"/>
      <c r="G130" s="9" t="n"/>
      <c r="H130" s="9" t="n"/>
      <c r="I130" s="7">
        <f>IFERROR(MAX(C130:H130),"")</f>
        <v/>
      </c>
      <c r="J130" s="7">
        <f>IFERROR(MATCH(I130,C130:H130,0),"")</f>
        <v/>
      </c>
      <c r="K130" s="7" t="n">
        <v>10</v>
      </c>
      <c r="L130" s="7">
        <f>IFERROR(I130*(1-(K130/100)),"")</f>
        <v/>
      </c>
      <c r="M130" s="7">
        <f>IFERROR(LOOKUP(9.99E+307,C130:H130),"")</f>
        <v/>
      </c>
      <c r="N130" s="7">
        <f>IFERROR(IF(M130="","",IF(M130&lt;=N130,"停组🛑","继续✓")),"")</f>
        <v/>
      </c>
      <c r="O130" s="7">
        <f>IFERROR(IF(M130="","",IF(M130&lt;0.15,"SAFETY_STOP","")),"")</f>
        <v/>
      </c>
      <c r="P130" s="7">
        <f>IFERROR(IF(M130="","",IF(M130&lt;0.15,"SAFETY_STOP",IF(M130&lt;=N130,"VL_THRESHOLD",""))),"")</f>
        <v/>
      </c>
      <c r="Q130" s="7">
        <f>IFERROR(IF(I130="","",IF(I130&gt;(0.75+0.05),"+5kg",IF(I130&gt;(0.75+0.02),"+2.5kg",IF(I130&gt;=(0.75-0.05),"保持",IF(I130&gt;=(0.75-0.08),"-2.5kg","-5kg"))))),"")</f>
        <v/>
      </c>
      <c r="R130" s="9" t="n"/>
    </row>
    <row r="131">
      <c r="A131" s="7" t="n">
        <v>3</v>
      </c>
      <c r="B131" s="9" t="n"/>
      <c r="C131" s="9" t="n"/>
      <c r="D131" s="9" t="n"/>
      <c r="E131" s="9" t="n"/>
      <c r="F131" s="9" t="n"/>
      <c r="G131" s="9" t="n"/>
      <c r="H131" s="9" t="n"/>
      <c r="I131" s="7">
        <f>IFERROR(MAX(C131:H131),"")</f>
        <v/>
      </c>
      <c r="J131" s="7">
        <f>IFERROR(MATCH(I131,C131:H131,0),"")</f>
        <v/>
      </c>
      <c r="K131" s="7" t="n">
        <v>10</v>
      </c>
      <c r="L131" s="7">
        <f>IFERROR(I131*(1-(K131/100)),"")</f>
        <v/>
      </c>
      <c r="M131" s="7">
        <f>IFERROR(LOOKUP(9.99E+307,C131:H131),"")</f>
        <v/>
      </c>
      <c r="N131" s="7">
        <f>IFERROR(IF(M131="","",IF(M131&lt;=N131,"停组🛑","继续✓")),"")</f>
        <v/>
      </c>
      <c r="O131" s="7">
        <f>IFERROR(IF(M131="","",IF(M131&lt;0.15,"SAFETY_STOP","")),"")</f>
        <v/>
      </c>
      <c r="P131" s="7">
        <f>IFERROR(IF(M131="","",IF(M131&lt;0.15,"SAFETY_STOP",IF(M131&lt;=N131,"VL_THRESHOLD",""))),"")</f>
        <v/>
      </c>
      <c r="Q131" s="7">
        <f>IFERROR(IF(I131="","",IF(I131&gt;(0.75+0.05),"+5kg",IF(I131&gt;(0.75+0.02),"+2.5kg",IF(I131&gt;=(0.75-0.05),"保持",IF(I131&gt;=(0.75-0.08),"-2.5kg","-5kg"))))),"")</f>
        <v/>
      </c>
      <c r="R131" s="9" t="n"/>
    </row>
    <row r="132">
      <c r="A132" s="7" t="n">
        <v>4</v>
      </c>
      <c r="B132" s="9" t="n"/>
      <c r="C132" s="9" t="n"/>
      <c r="D132" s="9" t="n"/>
      <c r="E132" s="9" t="n"/>
      <c r="F132" s="9" t="n"/>
      <c r="G132" s="9" t="n"/>
      <c r="H132" s="9" t="n"/>
      <c r="I132" s="7">
        <f>IFERROR(MAX(C132:H132),"")</f>
        <v/>
      </c>
      <c r="J132" s="7">
        <f>IFERROR(MATCH(I132,C132:H132,0),"")</f>
        <v/>
      </c>
      <c r="K132" s="7" t="n">
        <v>10</v>
      </c>
      <c r="L132" s="7">
        <f>IFERROR(I132*(1-(K132/100)),"")</f>
        <v/>
      </c>
      <c r="M132" s="7">
        <f>IFERROR(LOOKUP(9.99E+307,C132:H132),"")</f>
        <v/>
      </c>
      <c r="N132" s="7">
        <f>IFERROR(IF(M132="","",IF(M132&lt;=N132,"停组🛑","继续✓")),"")</f>
        <v/>
      </c>
      <c r="O132" s="7">
        <f>IFERROR(IF(M132="","",IF(M132&lt;0.15,"SAFETY_STOP","")),"")</f>
        <v/>
      </c>
      <c r="P132" s="7">
        <f>IFERROR(IF(M132="","",IF(M132&lt;0.15,"SAFETY_STOP",IF(M132&lt;=N132,"VL_THRESHOLD",""))),"")</f>
        <v/>
      </c>
      <c r="Q132" s="7">
        <f>IFERROR(IF(I132="","",IF(I132&gt;(0.75+0.05),"+5kg",IF(I132&gt;(0.75+0.02),"+2.5kg",IF(I132&gt;=(0.75-0.05),"保持",IF(I132&gt;=(0.75-0.08),"-2.5kg","-5kg"))))),"")</f>
        <v/>
      </c>
      <c r="R132" s="9" t="n"/>
    </row>
    <row r="133">
      <c r="A133" s="7" t="n">
        <v>5</v>
      </c>
      <c r="B133" s="9" t="n"/>
      <c r="C133" s="9" t="n"/>
      <c r="D133" s="9" t="n"/>
      <c r="E133" s="9" t="n"/>
      <c r="F133" s="9" t="n"/>
      <c r="G133" s="9" t="n"/>
      <c r="H133" s="9" t="n"/>
      <c r="I133" s="7">
        <f>IFERROR(MAX(C133:H133),"")</f>
        <v/>
      </c>
      <c r="J133" s="7">
        <f>IFERROR(MATCH(I133,C133:H133,0),"")</f>
        <v/>
      </c>
      <c r="K133" s="7" t="n">
        <v>10</v>
      </c>
      <c r="L133" s="7">
        <f>IFERROR(I133*(1-(K133/100)),"")</f>
        <v/>
      </c>
      <c r="M133" s="7">
        <f>IFERROR(LOOKUP(9.99E+307,C133:H133),"")</f>
        <v/>
      </c>
      <c r="N133" s="7">
        <f>IFERROR(IF(M133="","",IF(M133&lt;=N133,"停组🛑","继续✓")),"")</f>
        <v/>
      </c>
      <c r="O133" s="7">
        <f>IFERROR(IF(M133="","",IF(M133&lt;0.15,"SAFETY_STOP","")),"")</f>
        <v/>
      </c>
      <c r="P133" s="7">
        <f>IFERROR(IF(M133="","",IF(M133&lt;0.15,"SAFETY_STOP",IF(M133&lt;=N133,"VL_THRESHOLD",""))),"")</f>
        <v/>
      </c>
      <c r="Q133" s="7">
        <f>IFERROR(IF(I133="","",IF(I133&gt;(0.75+0.05),"+5kg",IF(I133&gt;(0.75+0.02),"+2.5kg",IF(I133&gt;=(0.75-0.05),"保持",IF(I133&gt;=(0.75-0.08),"-2.5kg","-5kg"))))),"")</f>
        <v/>
      </c>
      <c r="R133" s="9" t="n"/>
    </row>
    <row r="134">
      <c r="A134" s="7" t="n">
        <v>6</v>
      </c>
      <c r="B134" s="9" t="n"/>
      <c r="C134" s="9" t="n"/>
      <c r="D134" s="9" t="n"/>
      <c r="E134" s="9" t="n"/>
      <c r="F134" s="9" t="n"/>
      <c r="G134" s="9" t="n"/>
      <c r="H134" s="9" t="n"/>
      <c r="I134" s="7">
        <f>IFERROR(MAX(C134:H134),"")</f>
        <v/>
      </c>
      <c r="J134" s="7">
        <f>IFERROR(MATCH(I134,C134:H134,0),"")</f>
        <v/>
      </c>
      <c r="K134" s="7" t="n">
        <v>10</v>
      </c>
      <c r="L134" s="7">
        <f>IFERROR(I134*(1-(K134/100)),"")</f>
        <v/>
      </c>
      <c r="M134" s="7">
        <f>IFERROR(LOOKUP(9.99E+307,C134:H134),"")</f>
        <v/>
      </c>
      <c r="N134" s="7">
        <f>IFERROR(IF(M134="","",IF(M134&lt;=N134,"停组🛑","继续✓")),"")</f>
        <v/>
      </c>
      <c r="O134" s="7">
        <f>IFERROR(IF(M134="","",IF(M134&lt;0.15,"SAFETY_STOP","")),"")</f>
        <v/>
      </c>
      <c r="P134" s="7">
        <f>IFERROR(IF(M134="","",IF(M134&lt;0.15,"SAFETY_STOP",IF(M134&lt;=N134,"VL_THRESHOLD",""))),"")</f>
        <v/>
      </c>
      <c r="Q134" s="7">
        <f>IFERROR(IF(I134="","",IF(I134&gt;(0.75+0.05),"+5kg",IF(I134&gt;(0.75+0.02),"+2.5kg",IF(I134&gt;=(0.75-0.05),"保持",IF(I134&gt;=(0.75-0.08),"-2.5kg","-5kg"))))),"")</f>
        <v/>
      </c>
      <c r="R134" s="9" t="n"/>
    </row>
    <row r="135">
      <c r="A135" s="13" t="inlineStr">
        <is>
          <t>辅助</t>
        </is>
      </c>
      <c r="D135" s="14" t="inlineStr">
        <is>
          <t>保加利亚单腿蹲</t>
        </is>
      </c>
      <c r="E135" s="14" t="inlineStr">
        <is>
          <t>负荷</t>
        </is>
      </c>
      <c r="F135" s="14" t="inlineStr">
        <is>
          <t>完成</t>
        </is>
      </c>
      <c r="I135" t="inlineStr">
        <is>
          <t>VL</t>
        </is>
      </c>
    </row>
    <row r="136">
      <c r="A136" s="15" t="inlineStr">
        <is>
          <t>训练后</t>
        </is>
      </c>
      <c r="B136" s="15" t="inlineStr">
        <is>
          <t>开始</t>
        </is>
      </c>
      <c r="C136" s="15" t="inlineStr">
        <is>
          <t>结束</t>
        </is>
      </c>
      <c r="D136" s="15" t="inlineStr">
        <is>
          <t>时长min</t>
        </is>
      </c>
      <c r="E136" s="15" t="inlineStr">
        <is>
          <t>sRPE</t>
        </is>
      </c>
      <c r="F136" s="15" t="inlineStr">
        <is>
          <t>load</t>
        </is>
      </c>
      <c r="G136" s="15" t="inlineStr">
        <is>
          <t>不适?</t>
        </is>
      </c>
      <c r="H136" s="15" t="inlineStr">
        <is>
          <t>备注</t>
        </is>
      </c>
      <c r="I136" s="15" t="inlineStr">
        <is>
          <t>签名</t>
        </is>
      </c>
    </row>
    <row r="137">
      <c r="A137" s="7" t="n"/>
      <c r="B137" s="9" t="n"/>
      <c r="C137" s="9" t="n"/>
      <c r="D137" s="11">
        <f>IFERROR((C137-B137)*1440,"")</f>
        <v/>
      </c>
      <c r="E137" s="9" t="n"/>
      <c r="F137" s="11">
        <f>IFERROR(E137*D137,"")</f>
        <v/>
      </c>
      <c r="G137" s="9" t="n"/>
      <c r="H137" s="9" t="n"/>
      <c r="I137" s="9" t="n"/>
    </row>
    <row r="138">
      <c r="A138" s="16" t="inlineStr">
        <is>
          <t>跳跃</t>
        </is>
      </c>
      <c r="B138" s="16" t="inlineStr">
        <is>
          <t>类型</t>
        </is>
      </c>
      <c r="C138" s="16" t="inlineStr">
        <is>
          <t>组×次</t>
        </is>
      </c>
      <c r="D138" s="16" t="inlineStr">
        <is>
          <t>负荷kg</t>
        </is>
      </c>
      <c r="E138" s="16" t="inlineStr">
        <is>
          <t>接触</t>
        </is>
      </c>
    </row>
    <row r="139">
      <c r="B139" t="inlineStr">
        <is>
          <t>SJ</t>
        </is>
      </c>
      <c r="C139" t="inlineStr">
        <is>
          <t>2×3</t>
        </is>
      </c>
      <c r="D139" t="n">
        <v>0</v>
      </c>
      <c r="E139" t="n">
        <v>6</v>
      </c>
    </row>
    <row r="140">
      <c r="B140" t="inlineStr">
        <is>
          <t>负重跳</t>
        </is>
      </c>
      <c r="C140" t="inlineStr">
        <is>
          <t>2×4</t>
        </is>
      </c>
      <c r="D140" s="14" t="n"/>
      <c r="E140" s="14" t="n"/>
    </row>
    <row r="141">
      <c r="A141" s="17" t="inlineStr">
        <is>
          <t>▶ 暴露量汇总</t>
        </is>
      </c>
      <c r="B141" s="17" t="inlineStr">
        <is>
          <t>说明</t>
        </is>
      </c>
      <c r="C141" s="17" t="inlineStr">
        <is>
          <t>公式/来源</t>
        </is>
      </c>
      <c r="D141" s="17" t="inlineStr">
        <is>
          <t>数值</t>
        </is>
      </c>
    </row>
    <row r="142">
      <c r="A142" s="18" t="inlineStr">
        <is>
          <t>① 无负荷跳跃接触</t>
        </is>
      </c>
      <c r="B142" s="18" t="inlineStr">
        <is>
          <t>CMJ+SJ+箱跳</t>
        </is>
      </c>
      <c r="C142" s="19">
        <f>IFERROR(E139+E140,2)</f>
        <v/>
      </c>
    </row>
    <row r="143">
      <c r="A143" s="18" t="inlineStr">
        <is>
          <t>② 负重跳跃接触</t>
        </is>
      </c>
      <c r="B143" s="18" t="inlineStr">
        <is>
          <t>负重深蹲跳</t>
        </is>
      </c>
      <c r="C143" s="19">
        <f>IFERROR(E140,"")</f>
        <v/>
      </c>
    </row>
    <row r="144">
      <c r="A144" s="18" t="inlineStr">
        <is>
          <t>③ 跳跃总计</t>
        </is>
      </c>
      <c r="B144" s="18" t="inlineStr">
        <is>
          <t>①+②</t>
        </is>
      </c>
      <c r="C144" s="19">
        <f>IFERROR(B142+B143,"")</f>
        <v/>
      </c>
    </row>
    <row r="145">
      <c r="A145" s="18" t="inlineStr">
        <is>
          <t>④ 热身VL</t>
        </is>
      </c>
      <c r="B145" s="18" t="inlineStr">
        <is>
          <t>20×5+50%×3(+70%×2)</t>
        </is>
      </c>
      <c r="C145" s="19">
        <f>IFERROR(20*5+ROUND(V125*0.5,0)*3,"-")</f>
        <v/>
      </c>
    </row>
    <row r="146">
      <c r="A146" s="20" t="inlineStr">
        <is>
          <t>⑤ 主项工作组VL ★</t>
        </is>
      </c>
      <c r="B146" s="20" t="inlineStr">
        <is>
          <t>Σ(负荷×次数)</t>
        </is>
      </c>
      <c r="C146" s="21">
        <f>SUMPRODUCT($B$129:$B$134,$R$129:$R$134)</f>
        <v/>
      </c>
    </row>
    <row r="147">
      <c r="A147" s="18" t="inlineStr">
        <is>
          <t>⑥ 主项总VL</t>
        </is>
      </c>
      <c r="B147" s="18" t="inlineStr">
        <is>
          <t>④+⑤</t>
        </is>
      </c>
      <c r="C147" s="19">
        <f>IFERROR(D142+D143,"")</f>
        <v/>
      </c>
    </row>
    <row r="148">
      <c r="A148" s="18" t="inlineStr">
        <is>
          <t>⑦ 辅助VL</t>
        </is>
      </c>
      <c r="B148" s="18" t="inlineStr">
        <is>
          <t>RDL/保加利亚</t>
        </is>
      </c>
      <c r="C148" s="19">
        <f>IFERROR(I135,"")</f>
        <v/>
      </c>
    </row>
    <row r="149">
      <c r="A149" s="18" t="inlineStr">
        <is>
          <t>⑧ 总外部负荷</t>
        </is>
      </c>
      <c r="B149" s="18" t="inlineStr">
        <is>
          <t>⑥+⑦(+负重跳)</t>
        </is>
      </c>
      <c r="C149" s="19">
        <f>IFERROR(F142+G142,"")</f>
        <v/>
      </c>
    </row>
    <row r="150">
      <c r="A150" s="18" t="inlineStr">
        <is>
          <t>⑨ sRPE load</t>
        </is>
      </c>
      <c r="B150" s="18" t="inlineStr">
        <is>
          <t>sRPE×时长</t>
        </is>
      </c>
      <c r="C150" s="19">
        <f>IFERROR(F137,"")</f>
        <v/>
      </c>
    </row>
    <row r="153">
      <c r="A153" s="5" t="inlineStr">
        <is>
          <t>P011 朱怀远  a=1.258 b=-0.00613 1RM=125</t>
        </is>
      </c>
    </row>
    <row r="154">
      <c r="A154" s="6" t="inlineStr">
        <is>
          <t>编号</t>
        </is>
      </c>
      <c r="B154" s="6" t="inlineStr">
        <is>
          <t>姓名</t>
        </is>
      </c>
      <c r="C154" s="6" t="inlineStr">
        <is>
          <t>身高</t>
        </is>
      </c>
      <c r="D154" s="6" t="inlineStr">
        <is>
          <t>1RM</t>
        </is>
      </c>
      <c r="E154" s="6" t="inlineStr">
        <is>
          <t>Hooper睡</t>
        </is>
      </c>
      <c r="F154" s="6" t="inlineStr">
        <is>
          <t>Hooper压</t>
        </is>
      </c>
      <c r="G154" s="6" t="inlineStr">
        <is>
          <t>Hooper疲</t>
        </is>
      </c>
      <c r="H154" s="6" t="inlineStr">
        <is>
          <t>Hooper酸</t>
        </is>
      </c>
      <c r="I154" s="6" t="inlineStr">
        <is>
          <t>H总</t>
        </is>
      </c>
      <c r="J154" s="6" t="inlineStr">
        <is>
          <t>不适?</t>
        </is>
      </c>
      <c r="K154" s="6" t="inlineStr">
        <is>
          <t>说明</t>
        </is>
      </c>
      <c r="L154" s="6" t="inlineStr">
        <is>
          <t>CMJ1</t>
        </is>
      </c>
      <c r="M154" s="6" t="inlineStr">
        <is>
          <t>CMJ2</t>
        </is>
      </c>
      <c r="N154" s="6" t="inlineStr">
        <is>
          <t>CMJ3</t>
        </is>
      </c>
      <c r="O154" s="6" t="inlineStr">
        <is>
          <t>CMJμ</t>
        </is>
      </c>
      <c r="P154" s="6" t="inlineStr">
        <is>
          <t>&lt;95%</t>
        </is>
      </c>
      <c r="Q154" s="6" t="inlineStr">
        <is>
          <t>减组</t>
        </is>
      </c>
      <c r="R154" s="6" t="inlineStr">
        <is>
          <t>组数</t>
        </is>
      </c>
      <c r="S154" s="6" t="inlineStr">
        <is>
          <t>a(V0)</t>
        </is>
      </c>
      <c r="T154" s="6" t="inlineStr">
        <is>
          <t>b</t>
        </is>
      </c>
      <c r="U154" s="6" t="inlineStr">
        <is>
          <t>等级</t>
        </is>
      </c>
      <c r="V154" s="6" t="inlineStr">
        <is>
          <t>预测起始</t>
        </is>
      </c>
    </row>
    <row r="155">
      <c r="A155" s="7" t="inlineStr">
        <is>
          <t>P011</t>
        </is>
      </c>
      <c r="B155" s="7" t="inlineStr">
        <is>
          <t>朱怀远</t>
        </is>
      </c>
      <c r="C155" s="7" t="n">
        <v>165</v>
      </c>
      <c r="D155" s="8" t="n">
        <v>125</v>
      </c>
      <c r="E155" s="9" t="n"/>
      <c r="F155" s="9" t="n"/>
      <c r="G155" s="9" t="n"/>
      <c r="H155" s="9" t="n"/>
      <c r="I155" s="7">
        <f>IFERROR(SUM(E155:H155),"")</f>
        <v/>
      </c>
      <c r="J155" s="9" t="n"/>
      <c r="K155" s="9" t="n"/>
      <c r="L155" s="9" t="n"/>
      <c r="M155" s="9" t="n"/>
      <c r="N155" s="9" t="n"/>
      <c r="O155" s="7">
        <f>IFERROR(AVERAGE(L155:N155),"")</f>
        <v/>
      </c>
      <c r="P155" s="7">
        <f>IF(O155="","",IF(O155&lt;64.98,"是⚠","否"))</f>
        <v/>
      </c>
      <c r="Q155" s="7">
        <f>IF(O155="","",IF(O155&lt;64.98,3-1,3))</f>
        <v/>
      </c>
      <c r="R155" s="7" t="n"/>
      <c r="S155" s="8" t="n">
        <v>1.258</v>
      </c>
      <c r="T155" s="8" t="n">
        <v>-0.00613</v>
      </c>
      <c r="U155" s="7" t="inlineStr">
        <is>
          <t>D</t>
        </is>
      </c>
      <c r="V155" s="8" t="n">
        <v>82.5</v>
      </c>
    </row>
    <row r="156">
      <c r="A156" s="10" t="inlineStr">
        <is>
          <t>热身校准</t>
        </is>
      </c>
      <c r="B156" s="10" t="inlineStr">
        <is>
          <t>a</t>
        </is>
      </c>
      <c r="C156" s="10" t="inlineStr">
        <is>
          <t>b</t>
        </is>
      </c>
      <c r="D156" s="10" t="inlineStr">
        <is>
          <t>50%热身</t>
        </is>
      </c>
      <c r="E156" s="10" t="inlineStr">
        <is>
          <t>70%热身</t>
        </is>
      </c>
      <c r="F156" s="10" t="inlineStr">
        <is>
          <t>热身负荷</t>
        </is>
      </c>
      <c r="G156" s="10" t="inlineStr">
        <is>
          <t>实测MCV</t>
        </is>
      </c>
      <c r="H156" s="10" t="inlineStr">
        <is>
          <t>预测MCV</t>
        </is>
      </c>
      <c r="I156" s="10" t="inlineStr">
        <is>
          <t>Δv</t>
        </is>
      </c>
      <c r="J156" s="10" t="inlineStr">
        <is>
          <t>调整量</t>
        </is>
      </c>
      <c r="K156" s="10" t="inlineStr">
        <is>
          <t>校准第1组</t>
        </is>
      </c>
    </row>
    <row r="157">
      <c r="A157" s="7" t="n"/>
      <c r="B157" s="11" t="n">
        <v>1.258</v>
      </c>
      <c r="C157" s="11" t="n">
        <v>-0.00613</v>
      </c>
      <c r="D157" s="11">
        <f>IFERROR(ROUND(V155*0.5/2.5,0)*2.5,"")</f>
        <v/>
      </c>
      <c r="E157" s="11" t="inlineStr"/>
      <c r="F157" s="11">
        <f>IFERROR(ROUND(V155*0.5/2.5,0)*2.5,"")</f>
        <v/>
      </c>
      <c r="G157" s="9" t="n"/>
      <c r="H157" s="11">
        <f>IFERROR(B157+C157*F157,"")</f>
        <v/>
      </c>
      <c r="I157" s="11">
        <f>IFERROR(G157-H157,"")</f>
        <v/>
      </c>
      <c r="J157" s="11">
        <f>IFERROR(IF(I157&gt;0.08,5,IF(I157&gt;0.04,2.5,IF(I157&gt;=-0.04,0,IF(I157&gt;=-0.08,-2.5,-5)))),"")</f>
        <v/>
      </c>
      <c r="K157" s="11">
        <f>IFERROR(ROUND(V155+J157,0),"")</f>
        <v/>
      </c>
    </row>
    <row r="158">
      <c r="A158" s="12" t="inlineStr">
        <is>
          <t>组</t>
        </is>
      </c>
      <c r="B158" s="12" t="inlineStr">
        <is>
          <t>负荷</t>
        </is>
      </c>
      <c r="C158" s="12" t="inlineStr">
        <is>
          <t>rep1</t>
        </is>
      </c>
      <c r="D158" s="12" t="inlineStr">
        <is>
          <t>rep2</t>
        </is>
      </c>
      <c r="E158" s="12" t="inlineStr">
        <is>
          <t>rep3</t>
        </is>
      </c>
      <c r="F158" s="12" t="inlineStr">
        <is>
          <t>rep4</t>
        </is>
      </c>
      <c r="G158" s="12" t="inlineStr">
        <is>
          <t>rep5</t>
        </is>
      </c>
      <c r="H158" s="12" t="inlineStr">
        <is>
          <t>rep6</t>
        </is>
      </c>
      <c r="I158" s="12" t="inlineStr">
        <is>
          <t>best</t>
        </is>
      </c>
      <c r="J158" s="12" t="inlineStr">
        <is>
          <t>best#</t>
        </is>
      </c>
      <c r="K158" s="12" t="inlineStr">
        <is>
          <t>VL%</t>
        </is>
      </c>
      <c r="L158" s="12" t="inlineStr">
        <is>
          <t>stop_th</t>
        </is>
      </c>
      <c r="M158" s="12" t="inlineStr">
        <is>
          <t>latest</t>
        </is>
      </c>
      <c r="N158" s="12" t="inlineStr">
        <is>
          <t>VL_flag</t>
        </is>
      </c>
      <c r="O158" s="12" t="inlineStr">
        <is>
          <t>safety</t>
        </is>
      </c>
      <c r="P158" s="12" t="inlineStr">
        <is>
          <t>原因</t>
        </is>
      </c>
      <c r="Q158" s="12" t="inlineStr">
        <is>
          <t>建议</t>
        </is>
      </c>
      <c r="R158" s="12" t="inlineStr">
        <is>
          <t>次数</t>
        </is>
      </c>
    </row>
    <row r="159">
      <c r="A159" s="7" t="n">
        <v>1</v>
      </c>
      <c r="B159" s="9">
        <f>IFERROR(K157,"")</f>
        <v/>
      </c>
      <c r="C159" s="9" t="n"/>
      <c r="D159" s="9" t="n"/>
      <c r="E159" s="9" t="n"/>
      <c r="F159" s="9" t="n"/>
      <c r="G159" s="9" t="n"/>
      <c r="H159" s="9" t="n"/>
      <c r="I159" s="7">
        <f>IFERROR(MAX(C159:H159),"")</f>
        <v/>
      </c>
      <c r="J159" s="7">
        <f>IFERROR(MATCH(I159,C159:H159,0),"")</f>
        <v/>
      </c>
      <c r="K159" s="7" t="n">
        <v>10</v>
      </c>
      <c r="L159" s="7">
        <f>IFERROR(I159*(1-(K159/100)),"")</f>
        <v/>
      </c>
      <c r="M159" s="7">
        <f>IFERROR(LOOKUP(9.99E+307,C159:H159),"")</f>
        <v/>
      </c>
      <c r="N159" s="7">
        <f>IFERROR(IF(M159="","",IF(M159&lt;=N159,"停组🛑","继续✓")),"")</f>
        <v/>
      </c>
      <c r="O159" s="7">
        <f>IFERROR(IF(M159="","",IF(M159&lt;0.15,"SAFETY_STOP","")),"")</f>
        <v/>
      </c>
      <c r="P159" s="7">
        <f>IFERROR(IF(M159="","",IF(M159&lt;0.15,"SAFETY_STOP",IF(M159&lt;=N159,"VL_THRESHOLD",""))),"")</f>
        <v/>
      </c>
      <c r="Q159" s="7">
        <f>IFERROR(IF(I159="","",IF(I159&gt;(0.75+0.05),"+5kg",IF(I159&gt;(0.75+0.02),"+2.5kg",IF(I159&gt;=(0.75-0.05),"保持",IF(I159&gt;=(0.75-0.08),"-2.5kg","-5kg"))))),"")</f>
        <v/>
      </c>
      <c r="R159" s="9" t="n"/>
    </row>
    <row r="160">
      <c r="A160" s="7" t="n">
        <v>2</v>
      </c>
      <c r="B160" s="9" t="n"/>
      <c r="C160" s="9" t="n"/>
      <c r="D160" s="9" t="n"/>
      <c r="E160" s="9" t="n"/>
      <c r="F160" s="9" t="n"/>
      <c r="G160" s="9" t="n"/>
      <c r="H160" s="9" t="n"/>
      <c r="I160" s="7">
        <f>IFERROR(MAX(C160:H160),"")</f>
        <v/>
      </c>
      <c r="J160" s="7">
        <f>IFERROR(MATCH(I160,C160:H160,0),"")</f>
        <v/>
      </c>
      <c r="K160" s="7" t="n">
        <v>10</v>
      </c>
      <c r="L160" s="7">
        <f>IFERROR(I160*(1-(K160/100)),"")</f>
        <v/>
      </c>
      <c r="M160" s="7">
        <f>IFERROR(LOOKUP(9.99E+307,C160:H160),"")</f>
        <v/>
      </c>
      <c r="N160" s="7">
        <f>IFERROR(IF(M160="","",IF(M160&lt;=N160,"停组🛑","继续✓")),"")</f>
        <v/>
      </c>
      <c r="O160" s="7">
        <f>IFERROR(IF(M160="","",IF(M160&lt;0.15,"SAFETY_STOP","")),"")</f>
        <v/>
      </c>
      <c r="P160" s="7">
        <f>IFERROR(IF(M160="","",IF(M160&lt;0.15,"SAFETY_STOP",IF(M160&lt;=N160,"VL_THRESHOLD",""))),"")</f>
        <v/>
      </c>
      <c r="Q160" s="7">
        <f>IFERROR(IF(I160="","",IF(I160&gt;(0.75+0.05),"+5kg",IF(I160&gt;(0.75+0.02),"+2.5kg",IF(I160&gt;=(0.75-0.05),"保持",IF(I160&gt;=(0.75-0.08),"-2.5kg","-5kg"))))),"")</f>
        <v/>
      </c>
      <c r="R160" s="9" t="n"/>
    </row>
    <row r="161">
      <c r="A161" s="7" t="n">
        <v>3</v>
      </c>
      <c r="B161" s="9" t="n"/>
      <c r="C161" s="9" t="n"/>
      <c r="D161" s="9" t="n"/>
      <c r="E161" s="9" t="n"/>
      <c r="F161" s="9" t="n"/>
      <c r="G161" s="9" t="n"/>
      <c r="H161" s="9" t="n"/>
      <c r="I161" s="7">
        <f>IFERROR(MAX(C161:H161),"")</f>
        <v/>
      </c>
      <c r="J161" s="7">
        <f>IFERROR(MATCH(I161,C161:H161,0),"")</f>
        <v/>
      </c>
      <c r="K161" s="7" t="n">
        <v>10</v>
      </c>
      <c r="L161" s="7">
        <f>IFERROR(I161*(1-(K161/100)),"")</f>
        <v/>
      </c>
      <c r="M161" s="7">
        <f>IFERROR(LOOKUP(9.99E+307,C161:H161),"")</f>
        <v/>
      </c>
      <c r="N161" s="7">
        <f>IFERROR(IF(M161="","",IF(M161&lt;=N161,"停组🛑","继续✓")),"")</f>
        <v/>
      </c>
      <c r="O161" s="7">
        <f>IFERROR(IF(M161="","",IF(M161&lt;0.15,"SAFETY_STOP","")),"")</f>
        <v/>
      </c>
      <c r="P161" s="7">
        <f>IFERROR(IF(M161="","",IF(M161&lt;0.15,"SAFETY_STOP",IF(M161&lt;=N161,"VL_THRESHOLD",""))),"")</f>
        <v/>
      </c>
      <c r="Q161" s="7">
        <f>IFERROR(IF(I161="","",IF(I161&gt;(0.75+0.05),"+5kg",IF(I161&gt;(0.75+0.02),"+2.5kg",IF(I161&gt;=(0.75-0.05),"保持",IF(I161&gt;=(0.75-0.08),"-2.5kg","-5kg"))))),"")</f>
        <v/>
      </c>
      <c r="R161" s="9" t="n"/>
    </row>
    <row r="162">
      <c r="A162" s="7" t="n">
        <v>4</v>
      </c>
      <c r="B162" s="9" t="n"/>
      <c r="C162" s="9" t="n"/>
      <c r="D162" s="9" t="n"/>
      <c r="E162" s="9" t="n"/>
      <c r="F162" s="9" t="n"/>
      <c r="G162" s="9" t="n"/>
      <c r="H162" s="9" t="n"/>
      <c r="I162" s="7">
        <f>IFERROR(MAX(C162:H162),"")</f>
        <v/>
      </c>
      <c r="J162" s="7">
        <f>IFERROR(MATCH(I162,C162:H162,0),"")</f>
        <v/>
      </c>
      <c r="K162" s="7" t="n">
        <v>10</v>
      </c>
      <c r="L162" s="7">
        <f>IFERROR(I162*(1-(K162/100)),"")</f>
        <v/>
      </c>
      <c r="M162" s="7">
        <f>IFERROR(LOOKUP(9.99E+307,C162:H162),"")</f>
        <v/>
      </c>
      <c r="N162" s="7">
        <f>IFERROR(IF(M162="","",IF(M162&lt;=N162,"停组🛑","继续✓")),"")</f>
        <v/>
      </c>
      <c r="O162" s="7">
        <f>IFERROR(IF(M162="","",IF(M162&lt;0.15,"SAFETY_STOP","")),"")</f>
        <v/>
      </c>
      <c r="P162" s="7">
        <f>IFERROR(IF(M162="","",IF(M162&lt;0.15,"SAFETY_STOP",IF(M162&lt;=N162,"VL_THRESHOLD",""))),"")</f>
        <v/>
      </c>
      <c r="Q162" s="7">
        <f>IFERROR(IF(I162="","",IF(I162&gt;(0.75+0.05),"+5kg",IF(I162&gt;(0.75+0.02),"+2.5kg",IF(I162&gt;=(0.75-0.05),"保持",IF(I162&gt;=(0.75-0.08),"-2.5kg","-5kg"))))),"")</f>
        <v/>
      </c>
      <c r="R162" s="9" t="n"/>
    </row>
    <row r="163">
      <c r="A163" s="7" t="n">
        <v>5</v>
      </c>
      <c r="B163" s="9" t="n"/>
      <c r="C163" s="9" t="n"/>
      <c r="D163" s="9" t="n"/>
      <c r="E163" s="9" t="n"/>
      <c r="F163" s="9" t="n"/>
      <c r="G163" s="9" t="n"/>
      <c r="H163" s="9" t="n"/>
      <c r="I163" s="7">
        <f>IFERROR(MAX(C163:H163),"")</f>
        <v/>
      </c>
      <c r="J163" s="7">
        <f>IFERROR(MATCH(I163,C163:H163,0),"")</f>
        <v/>
      </c>
      <c r="K163" s="7" t="n">
        <v>10</v>
      </c>
      <c r="L163" s="7">
        <f>IFERROR(I163*(1-(K163/100)),"")</f>
        <v/>
      </c>
      <c r="M163" s="7">
        <f>IFERROR(LOOKUP(9.99E+307,C163:H163),"")</f>
        <v/>
      </c>
      <c r="N163" s="7">
        <f>IFERROR(IF(M163="","",IF(M163&lt;=N163,"停组🛑","继续✓")),"")</f>
        <v/>
      </c>
      <c r="O163" s="7">
        <f>IFERROR(IF(M163="","",IF(M163&lt;0.15,"SAFETY_STOP","")),"")</f>
        <v/>
      </c>
      <c r="P163" s="7">
        <f>IFERROR(IF(M163="","",IF(M163&lt;0.15,"SAFETY_STOP",IF(M163&lt;=N163,"VL_THRESHOLD",""))),"")</f>
        <v/>
      </c>
      <c r="Q163" s="7">
        <f>IFERROR(IF(I163="","",IF(I163&gt;(0.75+0.05),"+5kg",IF(I163&gt;(0.75+0.02),"+2.5kg",IF(I163&gt;=(0.75-0.05),"保持",IF(I163&gt;=(0.75-0.08),"-2.5kg","-5kg"))))),"")</f>
        <v/>
      </c>
      <c r="R163" s="9" t="n"/>
    </row>
    <row r="164">
      <c r="A164" s="7" t="n">
        <v>6</v>
      </c>
      <c r="B164" s="9" t="n"/>
      <c r="C164" s="9" t="n"/>
      <c r="D164" s="9" t="n"/>
      <c r="E164" s="9" t="n"/>
      <c r="F164" s="9" t="n"/>
      <c r="G164" s="9" t="n"/>
      <c r="H164" s="9" t="n"/>
      <c r="I164" s="7">
        <f>IFERROR(MAX(C164:H164),"")</f>
        <v/>
      </c>
      <c r="J164" s="7">
        <f>IFERROR(MATCH(I164,C164:H164,0),"")</f>
        <v/>
      </c>
      <c r="K164" s="7" t="n">
        <v>10</v>
      </c>
      <c r="L164" s="7">
        <f>IFERROR(I164*(1-(K164/100)),"")</f>
        <v/>
      </c>
      <c r="M164" s="7">
        <f>IFERROR(LOOKUP(9.99E+307,C164:H164),"")</f>
        <v/>
      </c>
      <c r="N164" s="7">
        <f>IFERROR(IF(M164="","",IF(M164&lt;=N164,"停组🛑","继续✓")),"")</f>
        <v/>
      </c>
      <c r="O164" s="7">
        <f>IFERROR(IF(M164="","",IF(M164&lt;0.15,"SAFETY_STOP","")),"")</f>
        <v/>
      </c>
      <c r="P164" s="7">
        <f>IFERROR(IF(M164="","",IF(M164&lt;0.15,"SAFETY_STOP",IF(M164&lt;=N164,"VL_THRESHOLD",""))),"")</f>
        <v/>
      </c>
      <c r="Q164" s="7">
        <f>IFERROR(IF(I164="","",IF(I164&gt;(0.75+0.05),"+5kg",IF(I164&gt;(0.75+0.02),"+2.5kg",IF(I164&gt;=(0.75-0.05),"保持",IF(I164&gt;=(0.75-0.08),"-2.5kg","-5kg"))))),"")</f>
        <v/>
      </c>
      <c r="R164" s="9" t="n"/>
    </row>
    <row r="165">
      <c r="A165" s="13" t="inlineStr">
        <is>
          <t>辅助</t>
        </is>
      </c>
      <c r="D165" s="14" t="inlineStr">
        <is>
          <t>保加利亚单腿蹲</t>
        </is>
      </c>
      <c r="E165" s="14" t="inlineStr">
        <is>
          <t>负荷</t>
        </is>
      </c>
      <c r="F165" s="14" t="inlineStr">
        <is>
          <t>完成</t>
        </is>
      </c>
      <c r="I165" t="inlineStr">
        <is>
          <t>VL</t>
        </is>
      </c>
    </row>
    <row r="166">
      <c r="A166" s="15" t="inlineStr">
        <is>
          <t>训练后</t>
        </is>
      </c>
      <c r="B166" s="15" t="inlineStr">
        <is>
          <t>开始</t>
        </is>
      </c>
      <c r="C166" s="15" t="inlineStr">
        <is>
          <t>结束</t>
        </is>
      </c>
      <c r="D166" s="15" t="inlineStr">
        <is>
          <t>时长min</t>
        </is>
      </c>
      <c r="E166" s="15" t="inlineStr">
        <is>
          <t>sRPE</t>
        </is>
      </c>
      <c r="F166" s="15" t="inlineStr">
        <is>
          <t>load</t>
        </is>
      </c>
      <c r="G166" s="15" t="inlineStr">
        <is>
          <t>不适?</t>
        </is>
      </c>
      <c r="H166" s="15" t="inlineStr">
        <is>
          <t>备注</t>
        </is>
      </c>
      <c r="I166" s="15" t="inlineStr">
        <is>
          <t>签名</t>
        </is>
      </c>
    </row>
    <row r="167">
      <c r="A167" s="7" t="n"/>
      <c r="B167" s="9" t="n"/>
      <c r="C167" s="9" t="n"/>
      <c r="D167" s="11">
        <f>IFERROR((C167-B167)*1440,"")</f>
        <v/>
      </c>
      <c r="E167" s="9" t="n"/>
      <c r="F167" s="11">
        <f>IFERROR(E167*D167,"")</f>
        <v/>
      </c>
      <c r="G167" s="9" t="n"/>
      <c r="H167" s="9" t="n"/>
      <c r="I167" s="9" t="n"/>
    </row>
    <row r="168">
      <c r="A168" s="16" t="inlineStr">
        <is>
          <t>跳跃</t>
        </is>
      </c>
      <c r="B168" s="16" t="inlineStr">
        <is>
          <t>类型</t>
        </is>
      </c>
      <c r="C168" s="16" t="inlineStr">
        <is>
          <t>组×次</t>
        </is>
      </c>
      <c r="D168" s="16" t="inlineStr">
        <is>
          <t>负荷kg</t>
        </is>
      </c>
      <c r="E168" s="16" t="inlineStr">
        <is>
          <t>接触</t>
        </is>
      </c>
    </row>
    <row r="169">
      <c r="B169" t="inlineStr">
        <is>
          <t>SJ</t>
        </is>
      </c>
      <c r="C169" t="inlineStr">
        <is>
          <t>2×3</t>
        </is>
      </c>
      <c r="D169" t="n">
        <v>0</v>
      </c>
      <c r="E169" t="n">
        <v>6</v>
      </c>
    </row>
    <row r="170">
      <c r="B170" t="inlineStr">
        <is>
          <t>负重跳</t>
        </is>
      </c>
      <c r="C170" t="inlineStr">
        <is>
          <t>2×4</t>
        </is>
      </c>
      <c r="D170" s="14" t="n"/>
      <c r="E170" s="14" t="n"/>
    </row>
    <row r="171">
      <c r="A171" s="17" t="inlineStr">
        <is>
          <t>▶ 暴露量汇总</t>
        </is>
      </c>
      <c r="B171" s="17" t="inlineStr">
        <is>
          <t>说明</t>
        </is>
      </c>
      <c r="C171" s="17" t="inlineStr">
        <is>
          <t>公式/来源</t>
        </is>
      </c>
      <c r="D171" s="17" t="inlineStr">
        <is>
          <t>数值</t>
        </is>
      </c>
    </row>
    <row r="172">
      <c r="A172" s="18" t="inlineStr">
        <is>
          <t>① 无负荷跳跃接触</t>
        </is>
      </c>
      <c r="B172" s="18" t="inlineStr">
        <is>
          <t>CMJ+SJ+箱跳</t>
        </is>
      </c>
      <c r="C172" s="19">
        <f>IFERROR(E169+E170,2)</f>
        <v/>
      </c>
    </row>
    <row r="173">
      <c r="A173" s="18" t="inlineStr">
        <is>
          <t>② 负重跳跃接触</t>
        </is>
      </c>
      <c r="B173" s="18" t="inlineStr">
        <is>
          <t>负重深蹲跳</t>
        </is>
      </c>
      <c r="C173" s="19">
        <f>IFERROR(E170,"")</f>
        <v/>
      </c>
    </row>
    <row r="174">
      <c r="A174" s="18" t="inlineStr">
        <is>
          <t>③ 跳跃总计</t>
        </is>
      </c>
      <c r="B174" s="18" t="inlineStr">
        <is>
          <t>①+②</t>
        </is>
      </c>
      <c r="C174" s="19">
        <f>IFERROR(B172+B173,"")</f>
        <v/>
      </c>
    </row>
    <row r="175">
      <c r="A175" s="18" t="inlineStr">
        <is>
          <t>④ 热身VL</t>
        </is>
      </c>
      <c r="B175" s="18" t="inlineStr">
        <is>
          <t>20×5+50%×3(+70%×2)</t>
        </is>
      </c>
      <c r="C175" s="19">
        <f>IFERROR(20*5+ROUND(V155*0.5,0)*3,"-")</f>
        <v/>
      </c>
    </row>
    <row r="176">
      <c r="A176" s="20" t="inlineStr">
        <is>
          <t>⑤ 主项工作组VL ★</t>
        </is>
      </c>
      <c r="B176" s="20" t="inlineStr">
        <is>
          <t>Σ(负荷×次数)</t>
        </is>
      </c>
      <c r="C176" s="21">
        <f>SUMPRODUCT($B$159:$B$164,$R$159:$R$164)</f>
        <v/>
      </c>
    </row>
    <row r="177">
      <c r="A177" s="18" t="inlineStr">
        <is>
          <t>⑥ 主项总VL</t>
        </is>
      </c>
      <c r="B177" s="18" t="inlineStr">
        <is>
          <t>④+⑤</t>
        </is>
      </c>
      <c r="C177" s="19">
        <f>IFERROR(D172+D173,"")</f>
        <v/>
      </c>
    </row>
    <row r="178">
      <c r="A178" s="18" t="inlineStr">
        <is>
          <t>⑦ 辅助VL</t>
        </is>
      </c>
      <c r="B178" s="18" t="inlineStr">
        <is>
          <t>RDL/保加利亚</t>
        </is>
      </c>
      <c r="C178" s="19">
        <f>IFERROR(I165,"")</f>
        <v/>
      </c>
    </row>
    <row r="179">
      <c r="A179" s="18" t="inlineStr">
        <is>
          <t>⑧ 总外部负荷</t>
        </is>
      </c>
      <c r="B179" s="18" t="inlineStr">
        <is>
          <t>⑥+⑦(+负重跳)</t>
        </is>
      </c>
      <c r="C179" s="19">
        <f>IFERROR(F172+G172,"")</f>
        <v/>
      </c>
    </row>
    <row r="180">
      <c r="A180" s="18" t="inlineStr">
        <is>
          <t>⑨ sRPE load</t>
        </is>
      </c>
      <c r="B180" s="18" t="inlineStr">
        <is>
          <t>sRPE×时长</t>
        </is>
      </c>
      <c r="C180" s="19">
        <f>IFERROR(F167,"")</f>
        <v/>
      </c>
    </row>
    <row r="183">
      <c r="A183" s="5" t="inlineStr">
        <is>
          <t>P016 杜遥  a=1.54 b=-0.0085 1RM=135</t>
        </is>
      </c>
    </row>
    <row r="184">
      <c r="A184" s="6" t="inlineStr">
        <is>
          <t>编号</t>
        </is>
      </c>
      <c r="B184" s="6" t="inlineStr">
        <is>
          <t>姓名</t>
        </is>
      </c>
      <c r="C184" s="6" t="inlineStr">
        <is>
          <t>身高</t>
        </is>
      </c>
      <c r="D184" s="6" t="inlineStr">
        <is>
          <t>1RM</t>
        </is>
      </c>
      <c r="E184" s="6" t="inlineStr">
        <is>
          <t>Hooper睡</t>
        </is>
      </c>
      <c r="F184" s="6" t="inlineStr">
        <is>
          <t>Hooper压</t>
        </is>
      </c>
      <c r="G184" s="6" t="inlineStr">
        <is>
          <t>Hooper疲</t>
        </is>
      </c>
      <c r="H184" s="6" t="inlineStr">
        <is>
          <t>Hooper酸</t>
        </is>
      </c>
      <c r="I184" s="6" t="inlineStr">
        <is>
          <t>H总</t>
        </is>
      </c>
      <c r="J184" s="6" t="inlineStr">
        <is>
          <t>不适?</t>
        </is>
      </c>
      <c r="K184" s="6" t="inlineStr">
        <is>
          <t>说明</t>
        </is>
      </c>
      <c r="L184" s="6" t="inlineStr">
        <is>
          <t>CMJ1</t>
        </is>
      </c>
      <c r="M184" s="6" t="inlineStr">
        <is>
          <t>CMJ2</t>
        </is>
      </c>
      <c r="N184" s="6" t="inlineStr">
        <is>
          <t>CMJ3</t>
        </is>
      </c>
      <c r="O184" s="6" t="inlineStr">
        <is>
          <t>CMJμ</t>
        </is>
      </c>
      <c r="P184" s="6" t="inlineStr">
        <is>
          <t>&lt;95%</t>
        </is>
      </c>
      <c r="Q184" s="6" t="inlineStr">
        <is>
          <t>减组</t>
        </is>
      </c>
      <c r="R184" s="6" t="inlineStr">
        <is>
          <t>组数</t>
        </is>
      </c>
      <c r="S184" s="6" t="inlineStr">
        <is>
          <t>a(V0)</t>
        </is>
      </c>
      <c r="T184" s="6" t="inlineStr">
        <is>
          <t>b</t>
        </is>
      </c>
      <c r="U184" s="6" t="inlineStr">
        <is>
          <t>等级</t>
        </is>
      </c>
      <c r="V184" s="6" t="inlineStr">
        <is>
          <t>预测起始</t>
        </is>
      </c>
    </row>
    <row r="185">
      <c r="A185" s="7" t="inlineStr">
        <is>
          <t>P016</t>
        </is>
      </c>
      <c r="B185" s="7" t="inlineStr">
        <is>
          <t>杜遥</t>
        </is>
      </c>
      <c r="C185" s="7" t="n">
        <v>180</v>
      </c>
      <c r="D185" s="8" t="n">
        <v>135</v>
      </c>
      <c r="E185" s="9" t="n"/>
      <c r="F185" s="9" t="n"/>
      <c r="G185" s="9" t="n"/>
      <c r="H185" s="9" t="n"/>
      <c r="I185" s="7">
        <f>IFERROR(SUM(E185:H185),"")</f>
        <v/>
      </c>
      <c r="J185" s="9" t="n"/>
      <c r="K185" s="9" t="n"/>
      <c r="L185" s="9" t="n"/>
      <c r="M185" s="9" t="n"/>
      <c r="N185" s="9" t="n"/>
      <c r="O185" s="7">
        <f>IFERROR(AVERAGE(L185:N185),"")</f>
        <v/>
      </c>
      <c r="P185" s="7">
        <f>IF(O185="","",IF(O185&lt;49.75,"是⚠","否"))</f>
        <v/>
      </c>
      <c r="Q185" s="7">
        <f>IF(O185="","",IF(O185&lt;49.75,3-1,3))</f>
        <v/>
      </c>
      <c r="R185" s="7" t="n"/>
      <c r="S185" s="8" t="n">
        <v>1.54</v>
      </c>
      <c r="T185" s="8" t="n">
        <v>-0.008500000000000001</v>
      </c>
      <c r="U185" s="7" t="inlineStr">
        <is>
          <t>B</t>
        </is>
      </c>
      <c r="V185" s="8" t="n">
        <v>92.5</v>
      </c>
    </row>
    <row r="186">
      <c r="A186" s="10" t="inlineStr">
        <is>
          <t>热身校准</t>
        </is>
      </c>
      <c r="B186" s="10" t="inlineStr">
        <is>
          <t>a</t>
        </is>
      </c>
      <c r="C186" s="10" t="inlineStr">
        <is>
          <t>b</t>
        </is>
      </c>
      <c r="D186" s="10" t="inlineStr">
        <is>
          <t>50%热身</t>
        </is>
      </c>
      <c r="E186" s="10" t="inlineStr">
        <is>
          <t>70%热身</t>
        </is>
      </c>
      <c r="F186" s="10" t="inlineStr">
        <is>
          <t>热身负荷</t>
        </is>
      </c>
      <c r="G186" s="10" t="inlineStr">
        <is>
          <t>实测MCV</t>
        </is>
      </c>
      <c r="H186" s="10" t="inlineStr">
        <is>
          <t>预测MCV</t>
        </is>
      </c>
      <c r="I186" s="10" t="inlineStr">
        <is>
          <t>Δv</t>
        </is>
      </c>
      <c r="J186" s="10" t="inlineStr">
        <is>
          <t>调整量</t>
        </is>
      </c>
      <c r="K186" s="10" t="inlineStr">
        <is>
          <t>校准第1组</t>
        </is>
      </c>
    </row>
    <row r="187">
      <c r="A187" s="7" t="n"/>
      <c r="B187" s="11" t="n">
        <v>1.54</v>
      </c>
      <c r="C187" s="11" t="n">
        <v>-0.008500000000000001</v>
      </c>
      <c r="D187" s="11">
        <f>IFERROR(ROUND(V185*0.5/2.5,0)*2.5,"")</f>
        <v/>
      </c>
      <c r="E187" s="11" t="inlineStr"/>
      <c r="F187" s="11">
        <f>IFERROR(ROUND(V185*0.5/2.5,0)*2.5,"")</f>
        <v/>
      </c>
      <c r="G187" s="9" t="n"/>
      <c r="H187" s="11">
        <f>IFERROR(B187+C187*F187,"")</f>
        <v/>
      </c>
      <c r="I187" s="11">
        <f>IFERROR(G187-H187,"")</f>
        <v/>
      </c>
      <c r="J187" s="11">
        <f>IFERROR(IF(I187&gt;0.08,5,IF(I187&gt;0.04,2.5,IF(I187&gt;=-0.04,0,IF(I187&gt;=-0.08,-2.5,-5)))),"")</f>
        <v/>
      </c>
      <c r="K187" s="11">
        <f>IFERROR(ROUND(V185+J187,0),"")</f>
        <v/>
      </c>
    </row>
    <row r="188">
      <c r="A188" s="12" t="inlineStr">
        <is>
          <t>组</t>
        </is>
      </c>
      <c r="B188" s="12" t="inlineStr">
        <is>
          <t>负荷</t>
        </is>
      </c>
      <c r="C188" s="12" t="inlineStr">
        <is>
          <t>rep1</t>
        </is>
      </c>
      <c r="D188" s="12" t="inlineStr">
        <is>
          <t>rep2</t>
        </is>
      </c>
      <c r="E188" s="12" t="inlineStr">
        <is>
          <t>rep3</t>
        </is>
      </c>
      <c r="F188" s="12" t="inlineStr">
        <is>
          <t>rep4</t>
        </is>
      </c>
      <c r="G188" s="12" t="inlineStr">
        <is>
          <t>rep5</t>
        </is>
      </c>
      <c r="H188" s="12" t="inlineStr">
        <is>
          <t>rep6</t>
        </is>
      </c>
      <c r="I188" s="12" t="inlineStr">
        <is>
          <t>best</t>
        </is>
      </c>
      <c r="J188" s="12" t="inlineStr">
        <is>
          <t>best#</t>
        </is>
      </c>
      <c r="K188" s="12" t="inlineStr">
        <is>
          <t>VL%</t>
        </is>
      </c>
      <c r="L188" s="12" t="inlineStr">
        <is>
          <t>stop_th</t>
        </is>
      </c>
      <c r="M188" s="12" t="inlineStr">
        <is>
          <t>latest</t>
        </is>
      </c>
      <c r="N188" s="12" t="inlineStr">
        <is>
          <t>VL_flag</t>
        </is>
      </c>
      <c r="O188" s="12" t="inlineStr">
        <is>
          <t>safety</t>
        </is>
      </c>
      <c r="P188" s="12" t="inlineStr">
        <is>
          <t>原因</t>
        </is>
      </c>
      <c r="Q188" s="12" t="inlineStr">
        <is>
          <t>建议</t>
        </is>
      </c>
      <c r="R188" s="12" t="inlineStr">
        <is>
          <t>次数</t>
        </is>
      </c>
    </row>
    <row r="189">
      <c r="A189" s="7" t="n">
        <v>1</v>
      </c>
      <c r="B189" s="9">
        <f>IFERROR(K187,"")</f>
        <v/>
      </c>
      <c r="C189" s="9" t="n"/>
      <c r="D189" s="9" t="n"/>
      <c r="E189" s="9" t="n"/>
      <c r="F189" s="9" t="n"/>
      <c r="G189" s="9" t="n"/>
      <c r="H189" s="9" t="n"/>
      <c r="I189" s="7">
        <f>IFERROR(MAX(C189:H189),"")</f>
        <v/>
      </c>
      <c r="J189" s="7">
        <f>IFERROR(MATCH(I189,C189:H189,0),"")</f>
        <v/>
      </c>
      <c r="K189" s="7" t="n">
        <v>10</v>
      </c>
      <c r="L189" s="7">
        <f>IFERROR(I189*(1-(K189/100)),"")</f>
        <v/>
      </c>
      <c r="M189" s="7">
        <f>IFERROR(LOOKUP(9.99E+307,C189:H189),"")</f>
        <v/>
      </c>
      <c r="N189" s="7">
        <f>IFERROR(IF(M189="","",IF(M189&lt;=N189,"停组🛑","继续✓")),"")</f>
        <v/>
      </c>
      <c r="O189" s="7">
        <f>IFERROR(IF(M189="","",IF(M189&lt;0.15,"SAFETY_STOP","")),"")</f>
        <v/>
      </c>
      <c r="P189" s="7">
        <f>IFERROR(IF(M189="","",IF(M189&lt;0.15,"SAFETY_STOP",IF(M189&lt;=N189,"VL_THRESHOLD",""))),"")</f>
        <v/>
      </c>
      <c r="Q189" s="7">
        <f>IFERROR(IF(I189="","",IF(I189&gt;(0.75+0.05),"+5kg",IF(I189&gt;(0.75+0.02),"+2.5kg",IF(I189&gt;=(0.75-0.05),"保持",IF(I189&gt;=(0.75-0.08),"-2.5kg","-5kg"))))),"")</f>
        <v/>
      </c>
      <c r="R189" s="9" t="n"/>
    </row>
    <row r="190">
      <c r="A190" s="7" t="n">
        <v>2</v>
      </c>
      <c r="B190" s="9" t="n"/>
      <c r="C190" s="9" t="n"/>
      <c r="D190" s="9" t="n"/>
      <c r="E190" s="9" t="n"/>
      <c r="F190" s="9" t="n"/>
      <c r="G190" s="9" t="n"/>
      <c r="H190" s="9" t="n"/>
      <c r="I190" s="7">
        <f>IFERROR(MAX(C190:H190),"")</f>
        <v/>
      </c>
      <c r="J190" s="7">
        <f>IFERROR(MATCH(I190,C190:H190,0),"")</f>
        <v/>
      </c>
      <c r="K190" s="7" t="n">
        <v>10</v>
      </c>
      <c r="L190" s="7">
        <f>IFERROR(I190*(1-(K190/100)),"")</f>
        <v/>
      </c>
      <c r="M190" s="7">
        <f>IFERROR(LOOKUP(9.99E+307,C190:H190),"")</f>
        <v/>
      </c>
      <c r="N190" s="7">
        <f>IFERROR(IF(M190="","",IF(M190&lt;=N190,"停组🛑","继续✓")),"")</f>
        <v/>
      </c>
      <c r="O190" s="7">
        <f>IFERROR(IF(M190="","",IF(M190&lt;0.15,"SAFETY_STOP","")),"")</f>
        <v/>
      </c>
      <c r="P190" s="7">
        <f>IFERROR(IF(M190="","",IF(M190&lt;0.15,"SAFETY_STOP",IF(M190&lt;=N190,"VL_THRESHOLD",""))),"")</f>
        <v/>
      </c>
      <c r="Q190" s="7">
        <f>IFERROR(IF(I190="","",IF(I190&gt;(0.75+0.05),"+5kg",IF(I190&gt;(0.75+0.02),"+2.5kg",IF(I190&gt;=(0.75-0.05),"保持",IF(I190&gt;=(0.75-0.08),"-2.5kg","-5kg"))))),"")</f>
        <v/>
      </c>
      <c r="R190" s="9" t="n"/>
    </row>
    <row r="191">
      <c r="A191" s="7" t="n">
        <v>3</v>
      </c>
      <c r="B191" s="9" t="n"/>
      <c r="C191" s="9" t="n"/>
      <c r="D191" s="9" t="n"/>
      <c r="E191" s="9" t="n"/>
      <c r="F191" s="9" t="n"/>
      <c r="G191" s="9" t="n"/>
      <c r="H191" s="9" t="n"/>
      <c r="I191" s="7">
        <f>IFERROR(MAX(C191:H191),"")</f>
        <v/>
      </c>
      <c r="J191" s="7">
        <f>IFERROR(MATCH(I191,C191:H191,0),"")</f>
        <v/>
      </c>
      <c r="K191" s="7" t="n">
        <v>10</v>
      </c>
      <c r="L191" s="7">
        <f>IFERROR(I191*(1-(K191/100)),"")</f>
        <v/>
      </c>
      <c r="M191" s="7">
        <f>IFERROR(LOOKUP(9.99E+307,C191:H191),"")</f>
        <v/>
      </c>
      <c r="N191" s="7">
        <f>IFERROR(IF(M191="","",IF(M191&lt;=N191,"停组🛑","继续✓")),"")</f>
        <v/>
      </c>
      <c r="O191" s="7">
        <f>IFERROR(IF(M191="","",IF(M191&lt;0.15,"SAFETY_STOP","")),"")</f>
        <v/>
      </c>
      <c r="P191" s="7">
        <f>IFERROR(IF(M191="","",IF(M191&lt;0.15,"SAFETY_STOP",IF(M191&lt;=N191,"VL_THRESHOLD",""))),"")</f>
        <v/>
      </c>
      <c r="Q191" s="7">
        <f>IFERROR(IF(I191="","",IF(I191&gt;(0.75+0.05),"+5kg",IF(I191&gt;(0.75+0.02),"+2.5kg",IF(I191&gt;=(0.75-0.05),"保持",IF(I191&gt;=(0.75-0.08),"-2.5kg","-5kg"))))),"")</f>
        <v/>
      </c>
      <c r="R191" s="9" t="n"/>
    </row>
    <row r="192">
      <c r="A192" s="7" t="n">
        <v>4</v>
      </c>
      <c r="B192" s="9" t="n"/>
      <c r="C192" s="9" t="n"/>
      <c r="D192" s="9" t="n"/>
      <c r="E192" s="9" t="n"/>
      <c r="F192" s="9" t="n"/>
      <c r="G192" s="9" t="n"/>
      <c r="H192" s="9" t="n"/>
      <c r="I192" s="7">
        <f>IFERROR(MAX(C192:H192),"")</f>
        <v/>
      </c>
      <c r="J192" s="7">
        <f>IFERROR(MATCH(I192,C192:H192,0),"")</f>
        <v/>
      </c>
      <c r="K192" s="7" t="n">
        <v>10</v>
      </c>
      <c r="L192" s="7">
        <f>IFERROR(I192*(1-(K192/100)),"")</f>
        <v/>
      </c>
      <c r="M192" s="7">
        <f>IFERROR(LOOKUP(9.99E+307,C192:H192),"")</f>
        <v/>
      </c>
      <c r="N192" s="7">
        <f>IFERROR(IF(M192="","",IF(M192&lt;=N192,"停组🛑","继续✓")),"")</f>
        <v/>
      </c>
      <c r="O192" s="7">
        <f>IFERROR(IF(M192="","",IF(M192&lt;0.15,"SAFETY_STOP","")),"")</f>
        <v/>
      </c>
      <c r="P192" s="7">
        <f>IFERROR(IF(M192="","",IF(M192&lt;0.15,"SAFETY_STOP",IF(M192&lt;=N192,"VL_THRESHOLD",""))),"")</f>
        <v/>
      </c>
      <c r="Q192" s="7">
        <f>IFERROR(IF(I192="","",IF(I192&gt;(0.75+0.05),"+5kg",IF(I192&gt;(0.75+0.02),"+2.5kg",IF(I192&gt;=(0.75-0.05),"保持",IF(I192&gt;=(0.75-0.08),"-2.5kg","-5kg"))))),"")</f>
        <v/>
      </c>
      <c r="R192" s="9" t="n"/>
    </row>
    <row r="193">
      <c r="A193" s="7" t="n">
        <v>5</v>
      </c>
      <c r="B193" s="9" t="n"/>
      <c r="C193" s="9" t="n"/>
      <c r="D193" s="9" t="n"/>
      <c r="E193" s="9" t="n"/>
      <c r="F193" s="9" t="n"/>
      <c r="G193" s="9" t="n"/>
      <c r="H193" s="9" t="n"/>
      <c r="I193" s="7">
        <f>IFERROR(MAX(C193:H193),"")</f>
        <v/>
      </c>
      <c r="J193" s="7">
        <f>IFERROR(MATCH(I193,C193:H193,0),"")</f>
        <v/>
      </c>
      <c r="K193" s="7" t="n">
        <v>10</v>
      </c>
      <c r="L193" s="7">
        <f>IFERROR(I193*(1-(K193/100)),"")</f>
        <v/>
      </c>
      <c r="M193" s="7">
        <f>IFERROR(LOOKUP(9.99E+307,C193:H193),"")</f>
        <v/>
      </c>
      <c r="N193" s="7">
        <f>IFERROR(IF(M193="","",IF(M193&lt;=N193,"停组🛑","继续✓")),"")</f>
        <v/>
      </c>
      <c r="O193" s="7">
        <f>IFERROR(IF(M193="","",IF(M193&lt;0.15,"SAFETY_STOP","")),"")</f>
        <v/>
      </c>
      <c r="P193" s="7">
        <f>IFERROR(IF(M193="","",IF(M193&lt;0.15,"SAFETY_STOP",IF(M193&lt;=N193,"VL_THRESHOLD",""))),"")</f>
        <v/>
      </c>
      <c r="Q193" s="7">
        <f>IFERROR(IF(I193="","",IF(I193&gt;(0.75+0.05),"+5kg",IF(I193&gt;(0.75+0.02),"+2.5kg",IF(I193&gt;=(0.75-0.05),"保持",IF(I193&gt;=(0.75-0.08),"-2.5kg","-5kg"))))),"")</f>
        <v/>
      </c>
      <c r="R193" s="9" t="n"/>
    </row>
    <row r="194">
      <c r="A194" s="7" t="n">
        <v>6</v>
      </c>
      <c r="B194" s="9" t="n"/>
      <c r="C194" s="9" t="n"/>
      <c r="D194" s="9" t="n"/>
      <c r="E194" s="9" t="n"/>
      <c r="F194" s="9" t="n"/>
      <c r="G194" s="9" t="n"/>
      <c r="H194" s="9" t="n"/>
      <c r="I194" s="7">
        <f>IFERROR(MAX(C194:H194),"")</f>
        <v/>
      </c>
      <c r="J194" s="7">
        <f>IFERROR(MATCH(I194,C194:H194,0),"")</f>
        <v/>
      </c>
      <c r="K194" s="7" t="n">
        <v>10</v>
      </c>
      <c r="L194" s="7">
        <f>IFERROR(I194*(1-(K194/100)),"")</f>
        <v/>
      </c>
      <c r="M194" s="7">
        <f>IFERROR(LOOKUP(9.99E+307,C194:H194),"")</f>
        <v/>
      </c>
      <c r="N194" s="7">
        <f>IFERROR(IF(M194="","",IF(M194&lt;=N194,"停组🛑","继续✓")),"")</f>
        <v/>
      </c>
      <c r="O194" s="7">
        <f>IFERROR(IF(M194="","",IF(M194&lt;0.15,"SAFETY_STOP","")),"")</f>
        <v/>
      </c>
      <c r="P194" s="7">
        <f>IFERROR(IF(M194="","",IF(M194&lt;0.15,"SAFETY_STOP",IF(M194&lt;=N194,"VL_THRESHOLD",""))),"")</f>
        <v/>
      </c>
      <c r="Q194" s="7">
        <f>IFERROR(IF(I194="","",IF(I194&gt;(0.75+0.05),"+5kg",IF(I194&gt;(0.75+0.02),"+2.5kg",IF(I194&gt;=(0.75-0.05),"保持",IF(I194&gt;=(0.75-0.08),"-2.5kg","-5kg"))))),"")</f>
        <v/>
      </c>
      <c r="R194" s="9" t="n"/>
    </row>
    <row r="195">
      <c r="A195" s="13" t="inlineStr">
        <is>
          <t>辅助</t>
        </is>
      </c>
      <c r="D195" s="14" t="inlineStr">
        <is>
          <t>保加利亚单腿蹲</t>
        </is>
      </c>
      <c r="E195" s="14" t="inlineStr">
        <is>
          <t>负荷</t>
        </is>
      </c>
      <c r="F195" s="14" t="inlineStr">
        <is>
          <t>完成</t>
        </is>
      </c>
      <c r="I195" t="inlineStr">
        <is>
          <t>VL</t>
        </is>
      </c>
    </row>
    <row r="196">
      <c r="A196" s="15" t="inlineStr">
        <is>
          <t>训练后</t>
        </is>
      </c>
      <c r="B196" s="15" t="inlineStr">
        <is>
          <t>开始</t>
        </is>
      </c>
      <c r="C196" s="15" t="inlineStr">
        <is>
          <t>结束</t>
        </is>
      </c>
      <c r="D196" s="15" t="inlineStr">
        <is>
          <t>时长min</t>
        </is>
      </c>
      <c r="E196" s="15" t="inlineStr">
        <is>
          <t>sRPE</t>
        </is>
      </c>
      <c r="F196" s="15" t="inlineStr">
        <is>
          <t>load</t>
        </is>
      </c>
      <c r="G196" s="15" t="inlineStr">
        <is>
          <t>不适?</t>
        </is>
      </c>
      <c r="H196" s="15" t="inlineStr">
        <is>
          <t>备注</t>
        </is>
      </c>
      <c r="I196" s="15" t="inlineStr">
        <is>
          <t>签名</t>
        </is>
      </c>
    </row>
    <row r="197">
      <c r="A197" s="7" t="n"/>
      <c r="B197" s="9" t="n"/>
      <c r="C197" s="9" t="n"/>
      <c r="D197" s="11">
        <f>IFERROR((C197-B197)*1440,"")</f>
        <v/>
      </c>
      <c r="E197" s="9" t="n"/>
      <c r="F197" s="11">
        <f>IFERROR(E197*D197,"")</f>
        <v/>
      </c>
      <c r="G197" s="9" t="n"/>
      <c r="H197" s="9" t="n"/>
      <c r="I197" s="9" t="n"/>
    </row>
    <row r="198">
      <c r="A198" s="16" t="inlineStr">
        <is>
          <t>跳跃</t>
        </is>
      </c>
      <c r="B198" s="16" t="inlineStr">
        <is>
          <t>类型</t>
        </is>
      </c>
      <c r="C198" s="16" t="inlineStr">
        <is>
          <t>组×次</t>
        </is>
      </c>
      <c r="D198" s="16" t="inlineStr">
        <is>
          <t>负荷kg</t>
        </is>
      </c>
      <c r="E198" s="16" t="inlineStr">
        <is>
          <t>接触</t>
        </is>
      </c>
    </row>
    <row r="199">
      <c r="B199" t="inlineStr">
        <is>
          <t>SJ</t>
        </is>
      </c>
      <c r="C199" t="inlineStr">
        <is>
          <t>2×3</t>
        </is>
      </c>
      <c r="D199" t="n">
        <v>0</v>
      </c>
      <c r="E199" t="n">
        <v>6</v>
      </c>
    </row>
    <row r="200">
      <c r="B200" t="inlineStr">
        <is>
          <t>负重跳</t>
        </is>
      </c>
      <c r="C200" t="inlineStr">
        <is>
          <t>2×4</t>
        </is>
      </c>
      <c r="D200" s="14" t="n"/>
      <c r="E200" s="14" t="n"/>
    </row>
    <row r="201">
      <c r="A201" s="17" t="inlineStr">
        <is>
          <t>▶ 暴露量汇总</t>
        </is>
      </c>
      <c r="B201" s="17" t="inlineStr">
        <is>
          <t>说明</t>
        </is>
      </c>
      <c r="C201" s="17" t="inlineStr">
        <is>
          <t>公式/来源</t>
        </is>
      </c>
      <c r="D201" s="17" t="inlineStr">
        <is>
          <t>数值</t>
        </is>
      </c>
    </row>
    <row r="202">
      <c r="A202" s="18" t="inlineStr">
        <is>
          <t>① 无负荷跳跃接触</t>
        </is>
      </c>
      <c r="B202" s="18" t="inlineStr">
        <is>
          <t>CMJ+SJ+箱跳</t>
        </is>
      </c>
      <c r="C202" s="19">
        <f>IFERROR(E199+E200,2)</f>
        <v/>
      </c>
    </row>
    <row r="203">
      <c r="A203" s="18" t="inlineStr">
        <is>
          <t>② 负重跳跃接触</t>
        </is>
      </c>
      <c r="B203" s="18" t="inlineStr">
        <is>
          <t>负重深蹲跳</t>
        </is>
      </c>
      <c r="C203" s="19">
        <f>IFERROR(E200,"")</f>
        <v/>
      </c>
    </row>
    <row r="204">
      <c r="A204" s="18" t="inlineStr">
        <is>
          <t>③ 跳跃总计</t>
        </is>
      </c>
      <c r="B204" s="18" t="inlineStr">
        <is>
          <t>①+②</t>
        </is>
      </c>
      <c r="C204" s="19">
        <f>IFERROR(B202+B203,"")</f>
        <v/>
      </c>
    </row>
    <row r="205">
      <c r="A205" s="18" t="inlineStr">
        <is>
          <t>④ 热身VL</t>
        </is>
      </c>
      <c r="B205" s="18" t="inlineStr">
        <is>
          <t>20×5+50%×3(+70%×2)</t>
        </is>
      </c>
      <c r="C205" s="19">
        <f>IFERROR(20*5+ROUND(V185*0.5,0)*3,"-")</f>
        <v/>
      </c>
    </row>
    <row r="206">
      <c r="A206" s="20" t="inlineStr">
        <is>
          <t>⑤ 主项工作组VL ★</t>
        </is>
      </c>
      <c r="B206" s="20" t="inlineStr">
        <is>
          <t>Σ(负荷×次数)</t>
        </is>
      </c>
      <c r="C206" s="21">
        <f>SUMPRODUCT($B$189:$B$194,$R$189:$R$194)</f>
        <v/>
      </c>
    </row>
    <row r="207">
      <c r="A207" s="18" t="inlineStr">
        <is>
          <t>⑥ 主项总VL</t>
        </is>
      </c>
      <c r="B207" s="18" t="inlineStr">
        <is>
          <t>④+⑤</t>
        </is>
      </c>
      <c r="C207" s="19">
        <f>IFERROR(D202+D203,"")</f>
        <v/>
      </c>
    </row>
    <row r="208">
      <c r="A208" s="18" t="inlineStr">
        <is>
          <t>⑦ 辅助VL</t>
        </is>
      </c>
      <c r="B208" s="18" t="inlineStr">
        <is>
          <t>RDL/保加利亚</t>
        </is>
      </c>
      <c r="C208" s="19">
        <f>IFERROR(I195,"")</f>
        <v/>
      </c>
    </row>
    <row r="209">
      <c r="A209" s="18" t="inlineStr">
        <is>
          <t>⑧ 总外部负荷</t>
        </is>
      </c>
      <c r="B209" s="18" t="inlineStr">
        <is>
          <t>⑥+⑦(+负重跳)</t>
        </is>
      </c>
      <c r="C209" s="19">
        <f>IFERROR(F202+G202,"")</f>
        <v/>
      </c>
    </row>
    <row r="210">
      <c r="A210" s="18" t="inlineStr">
        <is>
          <t>⑨ sRPE load</t>
        </is>
      </c>
      <c r="B210" s="18" t="inlineStr">
        <is>
          <t>sRPE×时长</t>
        </is>
      </c>
      <c r="C210" s="19">
        <f>IFERROR(F197,"")</f>
        <v/>
      </c>
    </row>
    <row r="213">
      <c r="A213" s="5" t="inlineStr">
        <is>
          <t>P025 范芳忠  a=1.77 b=-0.0105 1RM=135</t>
        </is>
      </c>
    </row>
    <row r="214">
      <c r="A214" s="6" t="inlineStr">
        <is>
          <t>编号</t>
        </is>
      </c>
      <c r="B214" s="6" t="inlineStr">
        <is>
          <t>姓名</t>
        </is>
      </c>
      <c r="C214" s="6" t="inlineStr">
        <is>
          <t>身高</t>
        </is>
      </c>
      <c r="D214" s="6" t="inlineStr">
        <is>
          <t>1RM</t>
        </is>
      </c>
      <c r="E214" s="6" t="inlineStr">
        <is>
          <t>Hooper睡</t>
        </is>
      </c>
      <c r="F214" s="6" t="inlineStr">
        <is>
          <t>Hooper压</t>
        </is>
      </c>
      <c r="G214" s="6" t="inlineStr">
        <is>
          <t>Hooper疲</t>
        </is>
      </c>
      <c r="H214" s="6" t="inlineStr">
        <is>
          <t>Hooper酸</t>
        </is>
      </c>
      <c r="I214" s="6" t="inlineStr">
        <is>
          <t>H总</t>
        </is>
      </c>
      <c r="J214" s="6" t="inlineStr">
        <is>
          <t>不适?</t>
        </is>
      </c>
      <c r="K214" s="6" t="inlineStr">
        <is>
          <t>说明</t>
        </is>
      </c>
      <c r="L214" s="6" t="inlineStr">
        <is>
          <t>CMJ1</t>
        </is>
      </c>
      <c r="M214" s="6" t="inlineStr">
        <is>
          <t>CMJ2</t>
        </is>
      </c>
      <c r="N214" s="6" t="inlineStr">
        <is>
          <t>CMJ3</t>
        </is>
      </c>
      <c r="O214" s="6" t="inlineStr">
        <is>
          <t>CMJμ</t>
        </is>
      </c>
      <c r="P214" s="6" t="inlineStr">
        <is>
          <t>&lt;95%</t>
        </is>
      </c>
      <c r="Q214" s="6" t="inlineStr">
        <is>
          <t>减组</t>
        </is>
      </c>
      <c r="R214" s="6" t="inlineStr">
        <is>
          <t>组数</t>
        </is>
      </c>
      <c r="S214" s="6" t="inlineStr">
        <is>
          <t>a(V0)</t>
        </is>
      </c>
      <c r="T214" s="6" t="inlineStr">
        <is>
          <t>b</t>
        </is>
      </c>
      <c r="U214" s="6" t="inlineStr">
        <is>
          <t>等级</t>
        </is>
      </c>
      <c r="V214" s="6" t="inlineStr">
        <is>
          <t>预测起始</t>
        </is>
      </c>
    </row>
    <row r="215">
      <c r="A215" s="7" t="inlineStr">
        <is>
          <t>P025</t>
        </is>
      </c>
      <c r="B215" s="7" t="inlineStr">
        <is>
          <t>范芳忠</t>
        </is>
      </c>
      <c r="C215" s="7" t="n">
        <v>178</v>
      </c>
      <c r="D215" s="8" t="n">
        <v>135</v>
      </c>
      <c r="E215" s="9" t="n"/>
      <c r="F215" s="9" t="n"/>
      <c r="G215" s="9" t="n"/>
      <c r="H215" s="9" t="n"/>
      <c r="I215" s="7">
        <f>IFERROR(SUM(E215:H215),"")</f>
        <v/>
      </c>
      <c r="J215" s="9" t="n"/>
      <c r="K215" s="9" t="n"/>
      <c r="L215" s="9" t="n"/>
      <c r="M215" s="9" t="n"/>
      <c r="N215" s="9" t="n"/>
      <c r="O215" s="7">
        <f>IFERROR(AVERAGE(L215:N215),"")</f>
        <v/>
      </c>
      <c r="P215" s="7">
        <f>IF(O215="","",IF(O215&lt;58.43,"是⚠","否"))</f>
        <v/>
      </c>
      <c r="Q215" s="7">
        <f>IF(O215="","",IF(O215&lt;58.43,3-1,3))</f>
        <v/>
      </c>
      <c r="R215" s="7" t="n"/>
      <c r="S215" s="8" t="n">
        <v>1.77</v>
      </c>
      <c r="T215" s="8" t="n">
        <v>-0.0105</v>
      </c>
      <c r="U215" s="7" t="inlineStr">
        <is>
          <t>A</t>
        </is>
      </c>
      <c r="V215" s="8" t="n">
        <v>97.5</v>
      </c>
    </row>
    <row r="216">
      <c r="A216" s="10" t="inlineStr">
        <is>
          <t>热身校准</t>
        </is>
      </c>
      <c r="B216" s="10" t="inlineStr">
        <is>
          <t>a</t>
        </is>
      </c>
      <c r="C216" s="10" t="inlineStr">
        <is>
          <t>b</t>
        </is>
      </c>
      <c r="D216" s="10" t="inlineStr">
        <is>
          <t>50%热身</t>
        </is>
      </c>
      <c r="E216" s="10" t="inlineStr">
        <is>
          <t>70%热身</t>
        </is>
      </c>
      <c r="F216" s="10" t="inlineStr">
        <is>
          <t>热身负荷</t>
        </is>
      </c>
      <c r="G216" s="10" t="inlineStr">
        <is>
          <t>实测MCV</t>
        </is>
      </c>
      <c r="H216" s="10" t="inlineStr">
        <is>
          <t>预测MCV</t>
        </is>
      </c>
      <c r="I216" s="10" t="inlineStr">
        <is>
          <t>Δv</t>
        </is>
      </c>
      <c r="J216" s="10" t="inlineStr">
        <is>
          <t>调整量</t>
        </is>
      </c>
      <c r="K216" s="10" t="inlineStr">
        <is>
          <t>校准第1组</t>
        </is>
      </c>
    </row>
    <row r="217">
      <c r="A217" s="7" t="n"/>
      <c r="B217" s="11" t="n">
        <v>1.77</v>
      </c>
      <c r="C217" s="11" t="n">
        <v>-0.0105</v>
      </c>
      <c r="D217" s="11">
        <f>IFERROR(ROUND(V215*0.5/2.5,0)*2.5,"")</f>
        <v/>
      </c>
      <c r="E217" s="11" t="inlineStr"/>
      <c r="F217" s="11">
        <f>IFERROR(ROUND(V215*0.5/2.5,0)*2.5,"")</f>
        <v/>
      </c>
      <c r="G217" s="9" t="n"/>
      <c r="H217" s="11">
        <f>IFERROR(B217+C217*F217,"")</f>
        <v/>
      </c>
      <c r="I217" s="11">
        <f>IFERROR(G217-H217,"")</f>
        <v/>
      </c>
      <c r="J217" s="11">
        <f>IFERROR(IF(I217&gt;0.08,5,IF(I217&gt;0.04,2.5,IF(I217&gt;=-0.04,0,IF(I217&gt;=-0.08,-2.5,-5)))),"")</f>
        <v/>
      </c>
      <c r="K217" s="11">
        <f>IFERROR(ROUND(V215+J217,0),"")</f>
        <v/>
      </c>
    </row>
    <row r="218">
      <c r="A218" s="12" t="inlineStr">
        <is>
          <t>组</t>
        </is>
      </c>
      <c r="B218" s="12" t="inlineStr">
        <is>
          <t>负荷</t>
        </is>
      </c>
      <c r="C218" s="12" t="inlineStr">
        <is>
          <t>rep1</t>
        </is>
      </c>
      <c r="D218" s="12" t="inlineStr">
        <is>
          <t>rep2</t>
        </is>
      </c>
      <c r="E218" s="12" t="inlineStr">
        <is>
          <t>rep3</t>
        </is>
      </c>
      <c r="F218" s="12" t="inlineStr">
        <is>
          <t>rep4</t>
        </is>
      </c>
      <c r="G218" s="12" t="inlineStr">
        <is>
          <t>rep5</t>
        </is>
      </c>
      <c r="H218" s="12" t="inlineStr">
        <is>
          <t>rep6</t>
        </is>
      </c>
      <c r="I218" s="12" t="inlineStr">
        <is>
          <t>best</t>
        </is>
      </c>
      <c r="J218" s="12" t="inlineStr">
        <is>
          <t>best#</t>
        </is>
      </c>
      <c r="K218" s="12" t="inlineStr">
        <is>
          <t>VL%</t>
        </is>
      </c>
      <c r="L218" s="12" t="inlineStr">
        <is>
          <t>stop_th</t>
        </is>
      </c>
      <c r="M218" s="12" t="inlineStr">
        <is>
          <t>latest</t>
        </is>
      </c>
      <c r="N218" s="12" t="inlineStr">
        <is>
          <t>VL_flag</t>
        </is>
      </c>
      <c r="O218" s="12" t="inlineStr">
        <is>
          <t>safety</t>
        </is>
      </c>
      <c r="P218" s="12" t="inlineStr">
        <is>
          <t>原因</t>
        </is>
      </c>
      <c r="Q218" s="12" t="inlineStr">
        <is>
          <t>建议</t>
        </is>
      </c>
      <c r="R218" s="12" t="inlineStr">
        <is>
          <t>次数</t>
        </is>
      </c>
    </row>
    <row r="219">
      <c r="A219" s="7" t="n">
        <v>1</v>
      </c>
      <c r="B219" s="9">
        <f>IFERROR(K217,"")</f>
        <v/>
      </c>
      <c r="C219" s="9" t="n"/>
      <c r="D219" s="9" t="n"/>
      <c r="E219" s="9" t="n"/>
      <c r="F219" s="9" t="n"/>
      <c r="G219" s="9" t="n"/>
      <c r="H219" s="9" t="n"/>
      <c r="I219" s="7">
        <f>IFERROR(MAX(C219:H219),"")</f>
        <v/>
      </c>
      <c r="J219" s="7">
        <f>IFERROR(MATCH(I219,C219:H219,0),"")</f>
        <v/>
      </c>
      <c r="K219" s="7" t="n">
        <v>10</v>
      </c>
      <c r="L219" s="7">
        <f>IFERROR(I219*(1-(K219/100)),"")</f>
        <v/>
      </c>
      <c r="M219" s="7">
        <f>IFERROR(LOOKUP(9.99E+307,C219:H219),"")</f>
        <v/>
      </c>
      <c r="N219" s="7">
        <f>IFERROR(IF(M219="","",IF(M219&lt;=N219,"停组🛑","继续✓")),"")</f>
        <v/>
      </c>
      <c r="O219" s="7">
        <f>IFERROR(IF(M219="","",IF(M219&lt;0.15,"SAFETY_STOP","")),"")</f>
        <v/>
      </c>
      <c r="P219" s="7">
        <f>IFERROR(IF(M219="","",IF(M219&lt;0.15,"SAFETY_STOP",IF(M219&lt;=N219,"VL_THRESHOLD",""))),"")</f>
        <v/>
      </c>
      <c r="Q219" s="7">
        <f>IFERROR(IF(I219="","",IF(I219&gt;(0.75+0.05),"+5kg",IF(I219&gt;(0.75+0.02),"+2.5kg",IF(I219&gt;=(0.75-0.05),"保持",IF(I219&gt;=(0.75-0.08),"-2.5kg","-5kg"))))),"")</f>
        <v/>
      </c>
      <c r="R219" s="9" t="n"/>
    </row>
    <row r="220">
      <c r="A220" s="7" t="n">
        <v>2</v>
      </c>
      <c r="B220" s="9" t="n"/>
      <c r="C220" s="9" t="n"/>
      <c r="D220" s="9" t="n"/>
      <c r="E220" s="9" t="n"/>
      <c r="F220" s="9" t="n"/>
      <c r="G220" s="9" t="n"/>
      <c r="H220" s="9" t="n"/>
      <c r="I220" s="7">
        <f>IFERROR(MAX(C220:H220),"")</f>
        <v/>
      </c>
      <c r="J220" s="7">
        <f>IFERROR(MATCH(I220,C220:H220,0),"")</f>
        <v/>
      </c>
      <c r="K220" s="7" t="n">
        <v>10</v>
      </c>
      <c r="L220" s="7">
        <f>IFERROR(I220*(1-(K220/100)),"")</f>
        <v/>
      </c>
      <c r="M220" s="7">
        <f>IFERROR(LOOKUP(9.99E+307,C220:H220),"")</f>
        <v/>
      </c>
      <c r="N220" s="7">
        <f>IFERROR(IF(M220="","",IF(M220&lt;=N220,"停组🛑","继续✓")),"")</f>
        <v/>
      </c>
      <c r="O220" s="7">
        <f>IFERROR(IF(M220="","",IF(M220&lt;0.15,"SAFETY_STOP","")),"")</f>
        <v/>
      </c>
      <c r="P220" s="7">
        <f>IFERROR(IF(M220="","",IF(M220&lt;0.15,"SAFETY_STOP",IF(M220&lt;=N220,"VL_THRESHOLD",""))),"")</f>
        <v/>
      </c>
      <c r="Q220" s="7">
        <f>IFERROR(IF(I220="","",IF(I220&gt;(0.75+0.05),"+5kg",IF(I220&gt;(0.75+0.02),"+2.5kg",IF(I220&gt;=(0.75-0.05),"保持",IF(I220&gt;=(0.75-0.08),"-2.5kg","-5kg"))))),"")</f>
        <v/>
      </c>
      <c r="R220" s="9" t="n"/>
    </row>
    <row r="221">
      <c r="A221" s="7" t="n">
        <v>3</v>
      </c>
      <c r="B221" s="9" t="n"/>
      <c r="C221" s="9" t="n"/>
      <c r="D221" s="9" t="n"/>
      <c r="E221" s="9" t="n"/>
      <c r="F221" s="9" t="n"/>
      <c r="G221" s="9" t="n"/>
      <c r="H221" s="9" t="n"/>
      <c r="I221" s="7">
        <f>IFERROR(MAX(C221:H221),"")</f>
        <v/>
      </c>
      <c r="J221" s="7">
        <f>IFERROR(MATCH(I221,C221:H221,0),"")</f>
        <v/>
      </c>
      <c r="K221" s="7" t="n">
        <v>10</v>
      </c>
      <c r="L221" s="7">
        <f>IFERROR(I221*(1-(K221/100)),"")</f>
        <v/>
      </c>
      <c r="M221" s="7">
        <f>IFERROR(LOOKUP(9.99E+307,C221:H221),"")</f>
        <v/>
      </c>
      <c r="N221" s="7">
        <f>IFERROR(IF(M221="","",IF(M221&lt;=N221,"停组🛑","继续✓")),"")</f>
        <v/>
      </c>
      <c r="O221" s="7">
        <f>IFERROR(IF(M221="","",IF(M221&lt;0.15,"SAFETY_STOP","")),"")</f>
        <v/>
      </c>
      <c r="P221" s="7">
        <f>IFERROR(IF(M221="","",IF(M221&lt;0.15,"SAFETY_STOP",IF(M221&lt;=N221,"VL_THRESHOLD",""))),"")</f>
        <v/>
      </c>
      <c r="Q221" s="7">
        <f>IFERROR(IF(I221="","",IF(I221&gt;(0.75+0.05),"+5kg",IF(I221&gt;(0.75+0.02),"+2.5kg",IF(I221&gt;=(0.75-0.05),"保持",IF(I221&gt;=(0.75-0.08),"-2.5kg","-5kg"))))),"")</f>
        <v/>
      </c>
      <c r="R221" s="9" t="n"/>
    </row>
    <row r="222">
      <c r="A222" s="7" t="n">
        <v>4</v>
      </c>
      <c r="B222" s="9" t="n"/>
      <c r="C222" s="9" t="n"/>
      <c r="D222" s="9" t="n"/>
      <c r="E222" s="9" t="n"/>
      <c r="F222" s="9" t="n"/>
      <c r="G222" s="9" t="n"/>
      <c r="H222" s="9" t="n"/>
      <c r="I222" s="7">
        <f>IFERROR(MAX(C222:H222),"")</f>
        <v/>
      </c>
      <c r="J222" s="7">
        <f>IFERROR(MATCH(I222,C222:H222,0),"")</f>
        <v/>
      </c>
      <c r="K222" s="7" t="n">
        <v>10</v>
      </c>
      <c r="L222" s="7">
        <f>IFERROR(I222*(1-(K222/100)),"")</f>
        <v/>
      </c>
      <c r="M222" s="7">
        <f>IFERROR(LOOKUP(9.99E+307,C222:H222),"")</f>
        <v/>
      </c>
      <c r="N222" s="7">
        <f>IFERROR(IF(M222="","",IF(M222&lt;=N222,"停组🛑","继续✓")),"")</f>
        <v/>
      </c>
      <c r="O222" s="7">
        <f>IFERROR(IF(M222="","",IF(M222&lt;0.15,"SAFETY_STOP","")),"")</f>
        <v/>
      </c>
      <c r="P222" s="7">
        <f>IFERROR(IF(M222="","",IF(M222&lt;0.15,"SAFETY_STOP",IF(M222&lt;=N222,"VL_THRESHOLD",""))),"")</f>
        <v/>
      </c>
      <c r="Q222" s="7">
        <f>IFERROR(IF(I222="","",IF(I222&gt;(0.75+0.05),"+5kg",IF(I222&gt;(0.75+0.02),"+2.5kg",IF(I222&gt;=(0.75-0.05),"保持",IF(I222&gt;=(0.75-0.08),"-2.5kg","-5kg"))))),"")</f>
        <v/>
      </c>
      <c r="R222" s="9" t="n"/>
    </row>
    <row r="223">
      <c r="A223" s="7" t="n">
        <v>5</v>
      </c>
      <c r="B223" s="9" t="n"/>
      <c r="C223" s="9" t="n"/>
      <c r="D223" s="9" t="n"/>
      <c r="E223" s="9" t="n"/>
      <c r="F223" s="9" t="n"/>
      <c r="G223" s="9" t="n"/>
      <c r="H223" s="9" t="n"/>
      <c r="I223" s="7">
        <f>IFERROR(MAX(C223:H223),"")</f>
        <v/>
      </c>
      <c r="J223" s="7">
        <f>IFERROR(MATCH(I223,C223:H223,0),"")</f>
        <v/>
      </c>
      <c r="K223" s="7" t="n">
        <v>10</v>
      </c>
      <c r="L223" s="7">
        <f>IFERROR(I223*(1-(K223/100)),"")</f>
        <v/>
      </c>
      <c r="M223" s="7">
        <f>IFERROR(LOOKUP(9.99E+307,C223:H223),"")</f>
        <v/>
      </c>
      <c r="N223" s="7">
        <f>IFERROR(IF(M223="","",IF(M223&lt;=N223,"停组🛑","继续✓")),"")</f>
        <v/>
      </c>
      <c r="O223" s="7">
        <f>IFERROR(IF(M223="","",IF(M223&lt;0.15,"SAFETY_STOP","")),"")</f>
        <v/>
      </c>
      <c r="P223" s="7">
        <f>IFERROR(IF(M223="","",IF(M223&lt;0.15,"SAFETY_STOP",IF(M223&lt;=N223,"VL_THRESHOLD",""))),"")</f>
        <v/>
      </c>
      <c r="Q223" s="7">
        <f>IFERROR(IF(I223="","",IF(I223&gt;(0.75+0.05),"+5kg",IF(I223&gt;(0.75+0.02),"+2.5kg",IF(I223&gt;=(0.75-0.05),"保持",IF(I223&gt;=(0.75-0.08),"-2.5kg","-5kg"))))),"")</f>
        <v/>
      </c>
      <c r="R223" s="9" t="n"/>
    </row>
    <row r="224">
      <c r="A224" s="7" t="n">
        <v>6</v>
      </c>
      <c r="B224" s="9" t="n"/>
      <c r="C224" s="9" t="n"/>
      <c r="D224" s="9" t="n"/>
      <c r="E224" s="9" t="n"/>
      <c r="F224" s="9" t="n"/>
      <c r="G224" s="9" t="n"/>
      <c r="H224" s="9" t="n"/>
      <c r="I224" s="7">
        <f>IFERROR(MAX(C224:H224),"")</f>
        <v/>
      </c>
      <c r="J224" s="7">
        <f>IFERROR(MATCH(I224,C224:H224,0),"")</f>
        <v/>
      </c>
      <c r="K224" s="7" t="n">
        <v>10</v>
      </c>
      <c r="L224" s="7">
        <f>IFERROR(I224*(1-(K224/100)),"")</f>
        <v/>
      </c>
      <c r="M224" s="7">
        <f>IFERROR(LOOKUP(9.99E+307,C224:H224),"")</f>
        <v/>
      </c>
      <c r="N224" s="7">
        <f>IFERROR(IF(M224="","",IF(M224&lt;=N224,"停组🛑","继续✓")),"")</f>
        <v/>
      </c>
      <c r="O224" s="7">
        <f>IFERROR(IF(M224="","",IF(M224&lt;0.15,"SAFETY_STOP","")),"")</f>
        <v/>
      </c>
      <c r="P224" s="7">
        <f>IFERROR(IF(M224="","",IF(M224&lt;0.15,"SAFETY_STOP",IF(M224&lt;=N224,"VL_THRESHOLD",""))),"")</f>
        <v/>
      </c>
      <c r="Q224" s="7">
        <f>IFERROR(IF(I224="","",IF(I224&gt;(0.75+0.05),"+5kg",IF(I224&gt;(0.75+0.02),"+2.5kg",IF(I224&gt;=(0.75-0.05),"保持",IF(I224&gt;=(0.75-0.08),"-2.5kg","-5kg"))))),"")</f>
        <v/>
      </c>
      <c r="R224" s="9" t="n"/>
    </row>
    <row r="225">
      <c r="A225" s="13" t="inlineStr">
        <is>
          <t>辅助</t>
        </is>
      </c>
      <c r="D225" s="14" t="inlineStr">
        <is>
          <t>保加利亚单腿蹲</t>
        </is>
      </c>
      <c r="E225" s="14" t="inlineStr">
        <is>
          <t>负荷</t>
        </is>
      </c>
      <c r="F225" s="14" t="inlineStr">
        <is>
          <t>完成</t>
        </is>
      </c>
      <c r="I225" t="inlineStr">
        <is>
          <t>VL</t>
        </is>
      </c>
    </row>
    <row r="226">
      <c r="A226" s="15" t="inlineStr">
        <is>
          <t>训练后</t>
        </is>
      </c>
      <c r="B226" s="15" t="inlineStr">
        <is>
          <t>开始</t>
        </is>
      </c>
      <c r="C226" s="15" t="inlineStr">
        <is>
          <t>结束</t>
        </is>
      </c>
      <c r="D226" s="15" t="inlineStr">
        <is>
          <t>时长min</t>
        </is>
      </c>
      <c r="E226" s="15" t="inlineStr">
        <is>
          <t>sRPE</t>
        </is>
      </c>
      <c r="F226" s="15" t="inlineStr">
        <is>
          <t>load</t>
        </is>
      </c>
      <c r="G226" s="15" t="inlineStr">
        <is>
          <t>不适?</t>
        </is>
      </c>
      <c r="H226" s="15" t="inlineStr">
        <is>
          <t>备注</t>
        </is>
      </c>
      <c r="I226" s="15" t="inlineStr">
        <is>
          <t>签名</t>
        </is>
      </c>
    </row>
    <row r="227">
      <c r="A227" s="7" t="n"/>
      <c r="B227" s="9" t="n"/>
      <c r="C227" s="9" t="n"/>
      <c r="D227" s="11">
        <f>IFERROR((C227-B227)*1440,"")</f>
        <v/>
      </c>
      <c r="E227" s="9" t="n"/>
      <c r="F227" s="11">
        <f>IFERROR(E227*D227,"")</f>
        <v/>
      </c>
      <c r="G227" s="9" t="n"/>
      <c r="H227" s="9" t="n"/>
      <c r="I227" s="9" t="n"/>
    </row>
    <row r="228">
      <c r="A228" s="16" t="inlineStr">
        <is>
          <t>跳跃</t>
        </is>
      </c>
      <c r="B228" s="16" t="inlineStr">
        <is>
          <t>类型</t>
        </is>
      </c>
      <c r="C228" s="16" t="inlineStr">
        <is>
          <t>组×次</t>
        </is>
      </c>
      <c r="D228" s="16" t="inlineStr">
        <is>
          <t>负荷kg</t>
        </is>
      </c>
      <c r="E228" s="16" t="inlineStr">
        <is>
          <t>接触</t>
        </is>
      </c>
    </row>
    <row r="229">
      <c r="B229" t="inlineStr">
        <is>
          <t>SJ</t>
        </is>
      </c>
      <c r="C229" t="inlineStr">
        <is>
          <t>2×3</t>
        </is>
      </c>
      <c r="D229" t="n">
        <v>0</v>
      </c>
      <c r="E229" t="n">
        <v>6</v>
      </c>
    </row>
    <row r="230">
      <c r="B230" t="inlineStr">
        <is>
          <t>负重跳</t>
        </is>
      </c>
      <c r="C230" t="inlineStr">
        <is>
          <t>2×4</t>
        </is>
      </c>
      <c r="D230" s="14" t="n"/>
      <c r="E230" s="14" t="n"/>
    </row>
    <row r="231">
      <c r="A231" s="17" t="inlineStr">
        <is>
          <t>▶ 暴露量汇总</t>
        </is>
      </c>
      <c r="B231" s="17" t="inlineStr">
        <is>
          <t>说明</t>
        </is>
      </c>
      <c r="C231" s="17" t="inlineStr">
        <is>
          <t>公式/来源</t>
        </is>
      </c>
      <c r="D231" s="17" t="inlineStr">
        <is>
          <t>数值</t>
        </is>
      </c>
    </row>
    <row r="232">
      <c r="A232" s="18" t="inlineStr">
        <is>
          <t>① 无负荷跳跃接触</t>
        </is>
      </c>
      <c r="B232" s="18" t="inlineStr">
        <is>
          <t>CMJ+SJ+箱跳</t>
        </is>
      </c>
      <c r="C232" s="19">
        <f>IFERROR(E229+E230,2)</f>
        <v/>
      </c>
    </row>
    <row r="233">
      <c r="A233" s="18" t="inlineStr">
        <is>
          <t>② 负重跳跃接触</t>
        </is>
      </c>
      <c r="B233" s="18" t="inlineStr">
        <is>
          <t>负重深蹲跳</t>
        </is>
      </c>
      <c r="C233" s="19">
        <f>IFERROR(E230,"")</f>
        <v/>
      </c>
    </row>
    <row r="234">
      <c r="A234" s="18" t="inlineStr">
        <is>
          <t>③ 跳跃总计</t>
        </is>
      </c>
      <c r="B234" s="18" t="inlineStr">
        <is>
          <t>①+②</t>
        </is>
      </c>
      <c r="C234" s="19">
        <f>IFERROR(B232+B233,"")</f>
        <v/>
      </c>
    </row>
    <row r="235">
      <c r="A235" s="18" t="inlineStr">
        <is>
          <t>④ 热身VL</t>
        </is>
      </c>
      <c r="B235" s="18" t="inlineStr">
        <is>
          <t>20×5+50%×3(+70%×2)</t>
        </is>
      </c>
      <c r="C235" s="19">
        <f>IFERROR(20*5+ROUND(V215*0.5,0)*3,"-")</f>
        <v/>
      </c>
    </row>
    <row r="236">
      <c r="A236" s="20" t="inlineStr">
        <is>
          <t>⑤ 主项工作组VL ★</t>
        </is>
      </c>
      <c r="B236" s="20" t="inlineStr">
        <is>
          <t>Σ(负荷×次数)</t>
        </is>
      </c>
      <c r="C236" s="21">
        <f>SUMPRODUCT($B$219:$B$224,$R$219:$R$224)</f>
        <v/>
      </c>
    </row>
    <row r="237">
      <c r="A237" s="18" t="inlineStr">
        <is>
          <t>⑥ 主项总VL</t>
        </is>
      </c>
      <c r="B237" s="18" t="inlineStr">
        <is>
          <t>④+⑤</t>
        </is>
      </c>
      <c r="C237" s="19">
        <f>IFERROR(D232+D233,"")</f>
        <v/>
      </c>
    </row>
    <row r="238">
      <c r="A238" s="18" t="inlineStr">
        <is>
          <t>⑦ 辅助VL</t>
        </is>
      </c>
      <c r="B238" s="18" t="inlineStr">
        <is>
          <t>RDL/保加利亚</t>
        </is>
      </c>
      <c r="C238" s="19">
        <f>IFERROR(I225,"")</f>
        <v/>
      </c>
    </row>
    <row r="239">
      <c r="A239" s="18" t="inlineStr">
        <is>
          <t>⑧ 总外部负荷</t>
        </is>
      </c>
      <c r="B239" s="18" t="inlineStr">
        <is>
          <t>⑥+⑦(+负重跳)</t>
        </is>
      </c>
      <c r="C239" s="19">
        <f>IFERROR(F232+G232,"")</f>
        <v/>
      </c>
    </row>
    <row r="240">
      <c r="A240" s="18" t="inlineStr">
        <is>
          <t>⑨ sRPE load</t>
        </is>
      </c>
      <c r="B240" s="18" t="inlineStr">
        <is>
          <t>sRPE×时长</t>
        </is>
      </c>
      <c r="C240" s="19">
        <f>IFERROR(F227,"")</f>
        <v/>
      </c>
    </row>
    <row r="243">
      <c r="A243" s="5" t="inlineStr">
        <is>
          <t>P018 孟维宇  a=1.71 b=-0.0105 1RM=122.5</t>
        </is>
      </c>
    </row>
    <row r="244">
      <c r="A244" s="6" t="inlineStr">
        <is>
          <t>编号</t>
        </is>
      </c>
      <c r="B244" s="6" t="inlineStr">
        <is>
          <t>姓名</t>
        </is>
      </c>
      <c r="C244" s="6" t="inlineStr">
        <is>
          <t>身高</t>
        </is>
      </c>
      <c r="D244" s="6" t="inlineStr">
        <is>
          <t>1RM</t>
        </is>
      </c>
      <c r="E244" s="6" t="inlineStr">
        <is>
          <t>Hooper睡</t>
        </is>
      </c>
      <c r="F244" s="6" t="inlineStr">
        <is>
          <t>Hooper压</t>
        </is>
      </c>
      <c r="G244" s="6" t="inlineStr">
        <is>
          <t>Hooper疲</t>
        </is>
      </c>
      <c r="H244" s="6" t="inlineStr">
        <is>
          <t>Hooper酸</t>
        </is>
      </c>
      <c r="I244" s="6" t="inlineStr">
        <is>
          <t>H总</t>
        </is>
      </c>
      <c r="J244" s="6" t="inlineStr">
        <is>
          <t>不适?</t>
        </is>
      </c>
      <c r="K244" s="6" t="inlineStr">
        <is>
          <t>说明</t>
        </is>
      </c>
      <c r="L244" s="6" t="inlineStr">
        <is>
          <t>CMJ1</t>
        </is>
      </c>
      <c r="M244" s="6" t="inlineStr">
        <is>
          <t>CMJ2</t>
        </is>
      </c>
      <c r="N244" s="6" t="inlineStr">
        <is>
          <t>CMJ3</t>
        </is>
      </c>
      <c r="O244" s="6" t="inlineStr">
        <is>
          <t>CMJμ</t>
        </is>
      </c>
      <c r="P244" s="6" t="inlineStr">
        <is>
          <t>&lt;95%</t>
        </is>
      </c>
      <c r="Q244" s="6" t="inlineStr">
        <is>
          <t>减组</t>
        </is>
      </c>
      <c r="R244" s="6" t="inlineStr">
        <is>
          <t>组数</t>
        </is>
      </c>
      <c r="S244" s="6" t="inlineStr">
        <is>
          <t>a(V0)</t>
        </is>
      </c>
      <c r="T244" s="6" t="inlineStr">
        <is>
          <t>b</t>
        </is>
      </c>
      <c r="U244" s="6" t="inlineStr">
        <is>
          <t>等级</t>
        </is>
      </c>
      <c r="V244" s="6" t="inlineStr">
        <is>
          <t>预测起始</t>
        </is>
      </c>
    </row>
    <row r="245">
      <c r="A245" s="7" t="inlineStr">
        <is>
          <t>P018</t>
        </is>
      </c>
      <c r="B245" s="7" t="inlineStr">
        <is>
          <t>孟维宇</t>
        </is>
      </c>
      <c r="C245" s="7" t="n">
        <v>173</v>
      </c>
      <c r="D245" s="8" t="n">
        <v>122.5</v>
      </c>
      <c r="E245" s="9" t="n"/>
      <c r="F245" s="9" t="n"/>
      <c r="G245" s="9" t="n"/>
      <c r="H245" s="9" t="n"/>
      <c r="I245" s="7">
        <f>IFERROR(SUM(E245:H245),"")</f>
        <v/>
      </c>
      <c r="J245" s="9" t="n"/>
      <c r="K245" s="9" t="n"/>
      <c r="L245" s="9" t="n"/>
      <c r="M245" s="9" t="n"/>
      <c r="N245" s="9" t="n"/>
      <c r="O245" s="7">
        <f>IFERROR(AVERAGE(L245:N245),"")</f>
        <v/>
      </c>
      <c r="P245" s="7">
        <f>IF(O245="","",IF(O245&lt;52.6,"是⚠","否"))</f>
        <v/>
      </c>
      <c r="Q245" s="7">
        <f>IF(O245="","",IF(O245&lt;52.6,3-1,3))</f>
        <v/>
      </c>
      <c r="R245" s="7" t="n"/>
      <c r="S245" s="8" t="n">
        <v>1.71</v>
      </c>
      <c r="T245" s="8" t="n">
        <v>-0.0105</v>
      </c>
      <c r="U245" s="7" t="inlineStr">
        <is>
          <t>B</t>
        </is>
      </c>
      <c r="V245" s="8" t="n">
        <v>92.5</v>
      </c>
    </row>
    <row r="246">
      <c r="A246" s="10" t="inlineStr">
        <is>
          <t>热身校准</t>
        </is>
      </c>
      <c r="B246" s="10" t="inlineStr">
        <is>
          <t>a</t>
        </is>
      </c>
      <c r="C246" s="10" t="inlineStr">
        <is>
          <t>b</t>
        </is>
      </c>
      <c r="D246" s="10" t="inlineStr">
        <is>
          <t>50%热身</t>
        </is>
      </c>
      <c r="E246" s="10" t="inlineStr">
        <is>
          <t>70%热身</t>
        </is>
      </c>
      <c r="F246" s="10" t="inlineStr">
        <is>
          <t>热身负荷</t>
        </is>
      </c>
      <c r="G246" s="10" t="inlineStr">
        <is>
          <t>实测MCV</t>
        </is>
      </c>
      <c r="H246" s="10" t="inlineStr">
        <is>
          <t>预测MCV</t>
        </is>
      </c>
      <c r="I246" s="10" t="inlineStr">
        <is>
          <t>Δv</t>
        </is>
      </c>
      <c r="J246" s="10" t="inlineStr">
        <is>
          <t>调整量</t>
        </is>
      </c>
      <c r="K246" s="10" t="inlineStr">
        <is>
          <t>校准第1组</t>
        </is>
      </c>
    </row>
    <row r="247">
      <c r="A247" s="7" t="n"/>
      <c r="B247" s="11" t="n">
        <v>1.71</v>
      </c>
      <c r="C247" s="11" t="n">
        <v>-0.0105</v>
      </c>
      <c r="D247" s="11">
        <f>IFERROR(ROUND(V245*0.5/2.5,0)*2.5,"")</f>
        <v/>
      </c>
      <c r="E247" s="11" t="inlineStr"/>
      <c r="F247" s="11">
        <f>IFERROR(ROUND(V245*0.5/2.5,0)*2.5,"")</f>
        <v/>
      </c>
      <c r="G247" s="9" t="n"/>
      <c r="H247" s="11">
        <f>IFERROR(B247+C247*F247,"")</f>
        <v/>
      </c>
      <c r="I247" s="11">
        <f>IFERROR(G247-H247,"")</f>
        <v/>
      </c>
      <c r="J247" s="11">
        <f>IFERROR(IF(I247&gt;0.08,5,IF(I247&gt;0.04,2.5,IF(I247&gt;=-0.04,0,IF(I247&gt;=-0.08,-2.5,-5)))),"")</f>
        <v/>
      </c>
      <c r="K247" s="11">
        <f>IFERROR(ROUND(V245+J247,0),"")</f>
        <v/>
      </c>
    </row>
    <row r="248">
      <c r="A248" s="12" t="inlineStr">
        <is>
          <t>组</t>
        </is>
      </c>
      <c r="B248" s="12" t="inlineStr">
        <is>
          <t>负荷</t>
        </is>
      </c>
      <c r="C248" s="12" t="inlineStr">
        <is>
          <t>rep1</t>
        </is>
      </c>
      <c r="D248" s="12" t="inlineStr">
        <is>
          <t>rep2</t>
        </is>
      </c>
      <c r="E248" s="12" t="inlineStr">
        <is>
          <t>rep3</t>
        </is>
      </c>
      <c r="F248" s="12" t="inlineStr">
        <is>
          <t>rep4</t>
        </is>
      </c>
      <c r="G248" s="12" t="inlineStr">
        <is>
          <t>rep5</t>
        </is>
      </c>
      <c r="H248" s="12" t="inlineStr">
        <is>
          <t>rep6</t>
        </is>
      </c>
      <c r="I248" s="12" t="inlineStr">
        <is>
          <t>best</t>
        </is>
      </c>
      <c r="J248" s="12" t="inlineStr">
        <is>
          <t>best#</t>
        </is>
      </c>
      <c r="K248" s="12" t="inlineStr">
        <is>
          <t>VL%</t>
        </is>
      </c>
      <c r="L248" s="12" t="inlineStr">
        <is>
          <t>stop_th</t>
        </is>
      </c>
      <c r="M248" s="12" t="inlineStr">
        <is>
          <t>latest</t>
        </is>
      </c>
      <c r="N248" s="12" t="inlineStr">
        <is>
          <t>VL_flag</t>
        </is>
      </c>
      <c r="O248" s="12" t="inlineStr">
        <is>
          <t>safety</t>
        </is>
      </c>
      <c r="P248" s="12" t="inlineStr">
        <is>
          <t>原因</t>
        </is>
      </c>
      <c r="Q248" s="12" t="inlineStr">
        <is>
          <t>建议</t>
        </is>
      </c>
      <c r="R248" s="12" t="inlineStr">
        <is>
          <t>次数</t>
        </is>
      </c>
    </row>
    <row r="249">
      <c r="A249" s="7" t="n">
        <v>1</v>
      </c>
      <c r="B249" s="9">
        <f>IFERROR(K247,"")</f>
        <v/>
      </c>
      <c r="C249" s="9" t="n"/>
      <c r="D249" s="9" t="n"/>
      <c r="E249" s="9" t="n"/>
      <c r="F249" s="9" t="n"/>
      <c r="G249" s="9" t="n"/>
      <c r="H249" s="9" t="n"/>
      <c r="I249" s="7">
        <f>IFERROR(MAX(C249:H249),"")</f>
        <v/>
      </c>
      <c r="J249" s="7">
        <f>IFERROR(MATCH(I249,C249:H249,0),"")</f>
        <v/>
      </c>
      <c r="K249" s="7" t="n">
        <v>10</v>
      </c>
      <c r="L249" s="7">
        <f>IFERROR(I249*(1-(K249/100)),"")</f>
        <v/>
      </c>
      <c r="M249" s="7">
        <f>IFERROR(LOOKUP(9.99E+307,C249:H249),"")</f>
        <v/>
      </c>
      <c r="N249" s="7">
        <f>IFERROR(IF(M249="","",IF(M249&lt;=N249,"停组🛑","继续✓")),"")</f>
        <v/>
      </c>
      <c r="O249" s="7">
        <f>IFERROR(IF(M249="","",IF(M249&lt;0.15,"SAFETY_STOP","")),"")</f>
        <v/>
      </c>
      <c r="P249" s="7">
        <f>IFERROR(IF(M249="","",IF(M249&lt;0.15,"SAFETY_STOP",IF(M249&lt;=N249,"VL_THRESHOLD",""))),"")</f>
        <v/>
      </c>
      <c r="Q249" s="7">
        <f>IFERROR(IF(I249="","",IF(I249&gt;(0.75+0.05),"+5kg",IF(I249&gt;(0.75+0.02),"+2.5kg",IF(I249&gt;=(0.75-0.05),"保持",IF(I249&gt;=(0.75-0.08),"-2.5kg","-5kg"))))),"")</f>
        <v/>
      </c>
      <c r="R249" s="9" t="n"/>
    </row>
    <row r="250">
      <c r="A250" s="7" t="n">
        <v>2</v>
      </c>
      <c r="B250" s="9" t="n"/>
      <c r="C250" s="9" t="n"/>
      <c r="D250" s="9" t="n"/>
      <c r="E250" s="9" t="n"/>
      <c r="F250" s="9" t="n"/>
      <c r="G250" s="9" t="n"/>
      <c r="H250" s="9" t="n"/>
      <c r="I250" s="7">
        <f>IFERROR(MAX(C250:H250),"")</f>
        <v/>
      </c>
      <c r="J250" s="7">
        <f>IFERROR(MATCH(I250,C250:H250,0),"")</f>
        <v/>
      </c>
      <c r="K250" s="7" t="n">
        <v>10</v>
      </c>
      <c r="L250" s="7">
        <f>IFERROR(I250*(1-(K250/100)),"")</f>
        <v/>
      </c>
      <c r="M250" s="7">
        <f>IFERROR(LOOKUP(9.99E+307,C250:H250),"")</f>
        <v/>
      </c>
      <c r="N250" s="7">
        <f>IFERROR(IF(M250="","",IF(M250&lt;=N250,"停组🛑","继续✓")),"")</f>
        <v/>
      </c>
      <c r="O250" s="7">
        <f>IFERROR(IF(M250="","",IF(M250&lt;0.15,"SAFETY_STOP","")),"")</f>
        <v/>
      </c>
      <c r="P250" s="7">
        <f>IFERROR(IF(M250="","",IF(M250&lt;0.15,"SAFETY_STOP",IF(M250&lt;=N250,"VL_THRESHOLD",""))),"")</f>
        <v/>
      </c>
      <c r="Q250" s="7">
        <f>IFERROR(IF(I250="","",IF(I250&gt;(0.75+0.05),"+5kg",IF(I250&gt;(0.75+0.02),"+2.5kg",IF(I250&gt;=(0.75-0.05),"保持",IF(I250&gt;=(0.75-0.08),"-2.5kg","-5kg"))))),"")</f>
        <v/>
      </c>
      <c r="R250" s="9" t="n"/>
    </row>
    <row r="251">
      <c r="A251" s="7" t="n">
        <v>3</v>
      </c>
      <c r="B251" s="9" t="n"/>
      <c r="C251" s="9" t="n"/>
      <c r="D251" s="9" t="n"/>
      <c r="E251" s="9" t="n"/>
      <c r="F251" s="9" t="n"/>
      <c r="G251" s="9" t="n"/>
      <c r="H251" s="9" t="n"/>
      <c r="I251" s="7">
        <f>IFERROR(MAX(C251:H251),"")</f>
        <v/>
      </c>
      <c r="J251" s="7">
        <f>IFERROR(MATCH(I251,C251:H251,0),"")</f>
        <v/>
      </c>
      <c r="K251" s="7" t="n">
        <v>10</v>
      </c>
      <c r="L251" s="7">
        <f>IFERROR(I251*(1-(K251/100)),"")</f>
        <v/>
      </c>
      <c r="M251" s="7">
        <f>IFERROR(LOOKUP(9.99E+307,C251:H251),"")</f>
        <v/>
      </c>
      <c r="N251" s="7">
        <f>IFERROR(IF(M251="","",IF(M251&lt;=N251,"停组🛑","继续✓")),"")</f>
        <v/>
      </c>
      <c r="O251" s="7">
        <f>IFERROR(IF(M251="","",IF(M251&lt;0.15,"SAFETY_STOP","")),"")</f>
        <v/>
      </c>
      <c r="P251" s="7">
        <f>IFERROR(IF(M251="","",IF(M251&lt;0.15,"SAFETY_STOP",IF(M251&lt;=N251,"VL_THRESHOLD",""))),"")</f>
        <v/>
      </c>
      <c r="Q251" s="7">
        <f>IFERROR(IF(I251="","",IF(I251&gt;(0.75+0.05),"+5kg",IF(I251&gt;(0.75+0.02),"+2.5kg",IF(I251&gt;=(0.75-0.05),"保持",IF(I251&gt;=(0.75-0.08),"-2.5kg","-5kg"))))),"")</f>
        <v/>
      </c>
      <c r="R251" s="9" t="n"/>
    </row>
    <row r="252">
      <c r="A252" s="7" t="n">
        <v>4</v>
      </c>
      <c r="B252" s="9" t="n"/>
      <c r="C252" s="9" t="n"/>
      <c r="D252" s="9" t="n"/>
      <c r="E252" s="9" t="n"/>
      <c r="F252" s="9" t="n"/>
      <c r="G252" s="9" t="n"/>
      <c r="H252" s="9" t="n"/>
      <c r="I252" s="7">
        <f>IFERROR(MAX(C252:H252),"")</f>
        <v/>
      </c>
      <c r="J252" s="7">
        <f>IFERROR(MATCH(I252,C252:H252,0),"")</f>
        <v/>
      </c>
      <c r="K252" s="7" t="n">
        <v>10</v>
      </c>
      <c r="L252" s="7">
        <f>IFERROR(I252*(1-(K252/100)),"")</f>
        <v/>
      </c>
      <c r="M252" s="7">
        <f>IFERROR(LOOKUP(9.99E+307,C252:H252),"")</f>
        <v/>
      </c>
      <c r="N252" s="7">
        <f>IFERROR(IF(M252="","",IF(M252&lt;=N252,"停组🛑","继续✓")),"")</f>
        <v/>
      </c>
      <c r="O252" s="7">
        <f>IFERROR(IF(M252="","",IF(M252&lt;0.15,"SAFETY_STOP","")),"")</f>
        <v/>
      </c>
      <c r="P252" s="7">
        <f>IFERROR(IF(M252="","",IF(M252&lt;0.15,"SAFETY_STOP",IF(M252&lt;=N252,"VL_THRESHOLD",""))),"")</f>
        <v/>
      </c>
      <c r="Q252" s="7">
        <f>IFERROR(IF(I252="","",IF(I252&gt;(0.75+0.05),"+5kg",IF(I252&gt;(0.75+0.02),"+2.5kg",IF(I252&gt;=(0.75-0.05),"保持",IF(I252&gt;=(0.75-0.08),"-2.5kg","-5kg"))))),"")</f>
        <v/>
      </c>
      <c r="R252" s="9" t="n"/>
    </row>
    <row r="253">
      <c r="A253" s="7" t="n">
        <v>5</v>
      </c>
      <c r="B253" s="9" t="n"/>
      <c r="C253" s="9" t="n"/>
      <c r="D253" s="9" t="n"/>
      <c r="E253" s="9" t="n"/>
      <c r="F253" s="9" t="n"/>
      <c r="G253" s="9" t="n"/>
      <c r="H253" s="9" t="n"/>
      <c r="I253" s="7">
        <f>IFERROR(MAX(C253:H253),"")</f>
        <v/>
      </c>
      <c r="J253" s="7">
        <f>IFERROR(MATCH(I253,C253:H253,0),"")</f>
        <v/>
      </c>
      <c r="K253" s="7" t="n">
        <v>10</v>
      </c>
      <c r="L253" s="7">
        <f>IFERROR(I253*(1-(K253/100)),"")</f>
        <v/>
      </c>
      <c r="M253" s="7">
        <f>IFERROR(LOOKUP(9.99E+307,C253:H253),"")</f>
        <v/>
      </c>
      <c r="N253" s="7">
        <f>IFERROR(IF(M253="","",IF(M253&lt;=N253,"停组🛑","继续✓")),"")</f>
        <v/>
      </c>
      <c r="O253" s="7">
        <f>IFERROR(IF(M253="","",IF(M253&lt;0.15,"SAFETY_STOP","")),"")</f>
        <v/>
      </c>
      <c r="P253" s="7">
        <f>IFERROR(IF(M253="","",IF(M253&lt;0.15,"SAFETY_STOP",IF(M253&lt;=N253,"VL_THRESHOLD",""))),"")</f>
        <v/>
      </c>
      <c r="Q253" s="7">
        <f>IFERROR(IF(I253="","",IF(I253&gt;(0.75+0.05),"+5kg",IF(I253&gt;(0.75+0.02),"+2.5kg",IF(I253&gt;=(0.75-0.05),"保持",IF(I253&gt;=(0.75-0.08),"-2.5kg","-5kg"))))),"")</f>
        <v/>
      </c>
      <c r="R253" s="9" t="n"/>
    </row>
    <row r="254">
      <c r="A254" s="7" t="n">
        <v>6</v>
      </c>
      <c r="B254" s="9" t="n"/>
      <c r="C254" s="9" t="n"/>
      <c r="D254" s="9" t="n"/>
      <c r="E254" s="9" t="n"/>
      <c r="F254" s="9" t="n"/>
      <c r="G254" s="9" t="n"/>
      <c r="H254" s="9" t="n"/>
      <c r="I254" s="7">
        <f>IFERROR(MAX(C254:H254),"")</f>
        <v/>
      </c>
      <c r="J254" s="7">
        <f>IFERROR(MATCH(I254,C254:H254,0),"")</f>
        <v/>
      </c>
      <c r="K254" s="7" t="n">
        <v>10</v>
      </c>
      <c r="L254" s="7">
        <f>IFERROR(I254*(1-(K254/100)),"")</f>
        <v/>
      </c>
      <c r="M254" s="7">
        <f>IFERROR(LOOKUP(9.99E+307,C254:H254),"")</f>
        <v/>
      </c>
      <c r="N254" s="7">
        <f>IFERROR(IF(M254="","",IF(M254&lt;=N254,"停组🛑","继续✓")),"")</f>
        <v/>
      </c>
      <c r="O254" s="7">
        <f>IFERROR(IF(M254="","",IF(M254&lt;0.15,"SAFETY_STOP","")),"")</f>
        <v/>
      </c>
      <c r="P254" s="7">
        <f>IFERROR(IF(M254="","",IF(M254&lt;0.15,"SAFETY_STOP",IF(M254&lt;=N254,"VL_THRESHOLD",""))),"")</f>
        <v/>
      </c>
      <c r="Q254" s="7">
        <f>IFERROR(IF(I254="","",IF(I254&gt;(0.75+0.05),"+5kg",IF(I254&gt;(0.75+0.02),"+2.5kg",IF(I254&gt;=(0.75-0.05),"保持",IF(I254&gt;=(0.75-0.08),"-2.5kg","-5kg"))))),"")</f>
        <v/>
      </c>
      <c r="R254" s="9" t="n"/>
    </row>
    <row r="255">
      <c r="A255" s="13" t="inlineStr">
        <is>
          <t>辅助</t>
        </is>
      </c>
      <c r="D255" s="14" t="inlineStr">
        <is>
          <t>保加利亚单腿蹲</t>
        </is>
      </c>
      <c r="E255" s="14" t="inlineStr">
        <is>
          <t>负荷</t>
        </is>
      </c>
      <c r="F255" s="14" t="inlineStr">
        <is>
          <t>完成</t>
        </is>
      </c>
      <c r="I255" t="inlineStr">
        <is>
          <t>VL</t>
        </is>
      </c>
    </row>
    <row r="256">
      <c r="A256" s="15" t="inlineStr">
        <is>
          <t>训练后</t>
        </is>
      </c>
      <c r="B256" s="15" t="inlineStr">
        <is>
          <t>开始</t>
        </is>
      </c>
      <c r="C256" s="15" t="inlineStr">
        <is>
          <t>结束</t>
        </is>
      </c>
      <c r="D256" s="15" t="inlineStr">
        <is>
          <t>时长min</t>
        </is>
      </c>
      <c r="E256" s="15" t="inlineStr">
        <is>
          <t>sRPE</t>
        </is>
      </c>
      <c r="F256" s="15" t="inlineStr">
        <is>
          <t>load</t>
        </is>
      </c>
      <c r="G256" s="15" t="inlineStr">
        <is>
          <t>不适?</t>
        </is>
      </c>
      <c r="H256" s="15" t="inlineStr">
        <is>
          <t>备注</t>
        </is>
      </c>
      <c r="I256" s="15" t="inlineStr">
        <is>
          <t>签名</t>
        </is>
      </c>
    </row>
    <row r="257">
      <c r="A257" s="7" t="n"/>
      <c r="B257" s="9" t="n"/>
      <c r="C257" s="9" t="n"/>
      <c r="D257" s="11">
        <f>IFERROR((C257-B257)*1440,"")</f>
        <v/>
      </c>
      <c r="E257" s="9" t="n"/>
      <c r="F257" s="11">
        <f>IFERROR(E257*D257,"")</f>
        <v/>
      </c>
      <c r="G257" s="9" t="n"/>
      <c r="H257" s="9" t="n"/>
      <c r="I257" s="9" t="n"/>
    </row>
    <row r="258">
      <c r="A258" s="16" t="inlineStr">
        <is>
          <t>跳跃</t>
        </is>
      </c>
      <c r="B258" s="16" t="inlineStr">
        <is>
          <t>类型</t>
        </is>
      </c>
      <c r="C258" s="16" t="inlineStr">
        <is>
          <t>组×次</t>
        </is>
      </c>
      <c r="D258" s="16" t="inlineStr">
        <is>
          <t>负荷kg</t>
        </is>
      </c>
      <c r="E258" s="16" t="inlineStr">
        <is>
          <t>接触</t>
        </is>
      </c>
    </row>
    <row r="259">
      <c r="B259" t="inlineStr">
        <is>
          <t>SJ</t>
        </is>
      </c>
      <c r="C259" t="inlineStr">
        <is>
          <t>2×3</t>
        </is>
      </c>
      <c r="D259" t="n">
        <v>0</v>
      </c>
      <c r="E259" t="n">
        <v>6</v>
      </c>
    </row>
    <row r="260">
      <c r="B260" t="inlineStr">
        <is>
          <t>负重跳</t>
        </is>
      </c>
      <c r="C260" t="inlineStr">
        <is>
          <t>2×4</t>
        </is>
      </c>
      <c r="D260" s="14" t="n"/>
      <c r="E260" s="14" t="n"/>
    </row>
    <row r="261">
      <c r="A261" s="17" t="inlineStr">
        <is>
          <t>▶ 暴露量汇总</t>
        </is>
      </c>
      <c r="B261" s="17" t="inlineStr">
        <is>
          <t>说明</t>
        </is>
      </c>
      <c r="C261" s="17" t="inlineStr">
        <is>
          <t>公式/来源</t>
        </is>
      </c>
      <c r="D261" s="17" t="inlineStr">
        <is>
          <t>数值</t>
        </is>
      </c>
    </row>
    <row r="262">
      <c r="A262" s="18" t="inlineStr">
        <is>
          <t>① 无负荷跳跃接触</t>
        </is>
      </c>
      <c r="B262" s="18" t="inlineStr">
        <is>
          <t>CMJ+SJ+箱跳</t>
        </is>
      </c>
      <c r="C262" s="19">
        <f>IFERROR(E259+E260,2)</f>
        <v/>
      </c>
    </row>
    <row r="263">
      <c r="A263" s="18" t="inlineStr">
        <is>
          <t>② 负重跳跃接触</t>
        </is>
      </c>
      <c r="B263" s="18" t="inlineStr">
        <is>
          <t>负重深蹲跳</t>
        </is>
      </c>
      <c r="C263" s="19">
        <f>IFERROR(E260,"")</f>
        <v/>
      </c>
    </row>
    <row r="264">
      <c r="A264" s="18" t="inlineStr">
        <is>
          <t>③ 跳跃总计</t>
        </is>
      </c>
      <c r="B264" s="18" t="inlineStr">
        <is>
          <t>①+②</t>
        </is>
      </c>
      <c r="C264" s="19">
        <f>IFERROR(B262+B263,"")</f>
        <v/>
      </c>
    </row>
    <row r="265">
      <c r="A265" s="18" t="inlineStr">
        <is>
          <t>④ 热身VL</t>
        </is>
      </c>
      <c r="B265" s="18" t="inlineStr">
        <is>
          <t>20×5+50%×3(+70%×2)</t>
        </is>
      </c>
      <c r="C265" s="19">
        <f>IFERROR(20*5+ROUND(V245*0.5,0)*3,"-")</f>
        <v/>
      </c>
    </row>
    <row r="266">
      <c r="A266" s="20" t="inlineStr">
        <is>
          <t>⑤ 主项工作组VL ★</t>
        </is>
      </c>
      <c r="B266" s="20" t="inlineStr">
        <is>
          <t>Σ(负荷×次数)</t>
        </is>
      </c>
      <c r="C266" s="21">
        <f>SUMPRODUCT($B$249:$B$254,$R$249:$R$254)</f>
        <v/>
      </c>
    </row>
    <row r="267">
      <c r="A267" s="18" t="inlineStr">
        <is>
          <t>⑥ 主项总VL</t>
        </is>
      </c>
      <c r="B267" s="18" t="inlineStr">
        <is>
          <t>④+⑤</t>
        </is>
      </c>
      <c r="C267" s="19">
        <f>IFERROR(D262+D263,"")</f>
        <v/>
      </c>
    </row>
    <row r="268">
      <c r="A268" s="18" t="inlineStr">
        <is>
          <t>⑦ 辅助VL</t>
        </is>
      </c>
      <c r="B268" s="18" t="inlineStr">
        <is>
          <t>RDL/保加利亚</t>
        </is>
      </c>
      <c r="C268" s="19">
        <f>IFERROR(I255,"")</f>
        <v/>
      </c>
    </row>
    <row r="269">
      <c r="A269" s="18" t="inlineStr">
        <is>
          <t>⑧ 总外部负荷</t>
        </is>
      </c>
      <c r="B269" s="18" t="inlineStr">
        <is>
          <t>⑥+⑦(+负重跳)</t>
        </is>
      </c>
      <c r="C269" s="19">
        <f>IFERROR(F262+G262,"")</f>
        <v/>
      </c>
    </row>
    <row r="270">
      <c r="A270" s="18" t="inlineStr">
        <is>
          <t>⑨ sRPE load</t>
        </is>
      </c>
      <c r="B270" s="18" t="inlineStr">
        <is>
          <t>sRPE×时长</t>
        </is>
      </c>
      <c r="C270" s="19">
        <f>IFERROR(F257,"")</f>
        <v/>
      </c>
    </row>
    <row r="273">
      <c r="A273" s="5" t="inlineStr">
        <is>
          <t>P026 古翔宇  a=1.64 b=-0.00975 1RM=135</t>
        </is>
      </c>
    </row>
    <row r="274">
      <c r="A274" s="6" t="inlineStr">
        <is>
          <t>编号</t>
        </is>
      </c>
      <c r="B274" s="6" t="inlineStr">
        <is>
          <t>姓名</t>
        </is>
      </c>
      <c r="C274" s="6" t="inlineStr">
        <is>
          <t>身高</t>
        </is>
      </c>
      <c r="D274" s="6" t="inlineStr">
        <is>
          <t>1RM</t>
        </is>
      </c>
      <c r="E274" s="6" t="inlineStr">
        <is>
          <t>Hooper睡</t>
        </is>
      </c>
      <c r="F274" s="6" t="inlineStr">
        <is>
          <t>Hooper压</t>
        </is>
      </c>
      <c r="G274" s="6" t="inlineStr">
        <is>
          <t>Hooper疲</t>
        </is>
      </c>
      <c r="H274" s="6" t="inlineStr">
        <is>
          <t>Hooper酸</t>
        </is>
      </c>
      <c r="I274" s="6" t="inlineStr">
        <is>
          <t>H总</t>
        </is>
      </c>
      <c r="J274" s="6" t="inlineStr">
        <is>
          <t>不适?</t>
        </is>
      </c>
      <c r="K274" s="6" t="inlineStr">
        <is>
          <t>说明</t>
        </is>
      </c>
      <c r="L274" s="6" t="inlineStr">
        <is>
          <t>CMJ1</t>
        </is>
      </c>
      <c r="M274" s="6" t="inlineStr">
        <is>
          <t>CMJ2</t>
        </is>
      </c>
      <c r="N274" s="6" t="inlineStr">
        <is>
          <t>CMJ3</t>
        </is>
      </c>
      <c r="O274" s="6" t="inlineStr">
        <is>
          <t>CMJμ</t>
        </is>
      </c>
      <c r="P274" s="6" t="inlineStr">
        <is>
          <t>&lt;95%</t>
        </is>
      </c>
      <c r="Q274" s="6" t="inlineStr">
        <is>
          <t>减组</t>
        </is>
      </c>
      <c r="R274" s="6" t="inlineStr">
        <is>
          <t>组数</t>
        </is>
      </c>
      <c r="S274" s="6" t="inlineStr">
        <is>
          <t>a(V0)</t>
        </is>
      </c>
      <c r="T274" s="6" t="inlineStr">
        <is>
          <t>b</t>
        </is>
      </c>
      <c r="U274" s="6" t="inlineStr">
        <is>
          <t>等级</t>
        </is>
      </c>
      <c r="V274" s="6" t="inlineStr">
        <is>
          <t>预测起始</t>
        </is>
      </c>
    </row>
    <row r="275">
      <c r="A275" s="7" t="inlineStr">
        <is>
          <t>P026</t>
        </is>
      </c>
      <c r="B275" s="7" t="inlineStr">
        <is>
          <t>古翔宇</t>
        </is>
      </c>
      <c r="C275" s="7" t="n">
        <v>180</v>
      </c>
      <c r="D275" s="8" t="n">
        <v>135</v>
      </c>
      <c r="E275" s="9" t="n"/>
      <c r="F275" s="9" t="n"/>
      <c r="G275" s="9" t="n"/>
      <c r="H275" s="9" t="n"/>
      <c r="I275" s="7">
        <f>IFERROR(SUM(E275:H275),"")</f>
        <v/>
      </c>
      <c r="J275" s="9" t="n"/>
      <c r="K275" s="9" t="n"/>
      <c r="L275" s="9" t="n"/>
      <c r="M275" s="9" t="n"/>
      <c r="N275" s="9" t="n"/>
      <c r="O275" s="7">
        <f>IFERROR(AVERAGE(L275:N275),"")</f>
        <v/>
      </c>
      <c r="P275" s="7">
        <f>IF(O275="","",IF(O275&lt;45.51,"是⚠","否"))</f>
        <v/>
      </c>
      <c r="Q275" s="7">
        <f>IF(O275="","",IF(O275&lt;45.51,3-1,3))</f>
        <v/>
      </c>
      <c r="R275" s="7" t="n"/>
      <c r="S275" s="8" t="n">
        <v>1.64</v>
      </c>
      <c r="T275" s="8" t="n">
        <v>-0.00975</v>
      </c>
      <c r="U275" s="7" t="inlineStr">
        <is>
          <t>A</t>
        </is>
      </c>
      <c r="V275" s="8" t="n">
        <v>92.5</v>
      </c>
    </row>
    <row r="276">
      <c r="A276" s="10" t="inlineStr">
        <is>
          <t>热身校准</t>
        </is>
      </c>
      <c r="B276" s="10" t="inlineStr">
        <is>
          <t>a</t>
        </is>
      </c>
      <c r="C276" s="10" t="inlineStr">
        <is>
          <t>b</t>
        </is>
      </c>
      <c r="D276" s="10" t="inlineStr">
        <is>
          <t>50%热身</t>
        </is>
      </c>
      <c r="E276" s="10" t="inlineStr">
        <is>
          <t>70%热身</t>
        </is>
      </c>
      <c r="F276" s="10" t="inlineStr">
        <is>
          <t>热身负荷</t>
        </is>
      </c>
      <c r="G276" s="10" t="inlineStr">
        <is>
          <t>实测MCV</t>
        </is>
      </c>
      <c r="H276" s="10" t="inlineStr">
        <is>
          <t>预测MCV</t>
        </is>
      </c>
      <c r="I276" s="10" t="inlineStr">
        <is>
          <t>Δv</t>
        </is>
      </c>
      <c r="J276" s="10" t="inlineStr">
        <is>
          <t>调整量</t>
        </is>
      </c>
      <c r="K276" s="10" t="inlineStr">
        <is>
          <t>校准第1组</t>
        </is>
      </c>
    </row>
    <row r="277">
      <c r="A277" s="7" t="n"/>
      <c r="B277" s="11" t="n">
        <v>1.64</v>
      </c>
      <c r="C277" s="11" t="n">
        <v>-0.00975</v>
      </c>
      <c r="D277" s="11">
        <f>IFERROR(ROUND(V275*0.5/2.5,0)*2.5,"")</f>
        <v/>
      </c>
      <c r="E277" s="11" t="inlineStr"/>
      <c r="F277" s="11">
        <f>IFERROR(ROUND(V275*0.5/2.5,0)*2.5,"")</f>
        <v/>
      </c>
      <c r="G277" s="9" t="n"/>
      <c r="H277" s="11">
        <f>IFERROR(B277+C277*F277,"")</f>
        <v/>
      </c>
      <c r="I277" s="11">
        <f>IFERROR(G277-H277,"")</f>
        <v/>
      </c>
      <c r="J277" s="11">
        <f>IFERROR(IF(I277&gt;0.08,5,IF(I277&gt;0.04,2.5,IF(I277&gt;=-0.04,0,IF(I277&gt;=-0.08,-2.5,-5)))),"")</f>
        <v/>
      </c>
      <c r="K277" s="11">
        <f>IFERROR(ROUND(V275+J277,0),"")</f>
        <v/>
      </c>
    </row>
    <row r="278">
      <c r="A278" s="12" t="inlineStr">
        <is>
          <t>组</t>
        </is>
      </c>
      <c r="B278" s="12" t="inlineStr">
        <is>
          <t>负荷</t>
        </is>
      </c>
      <c r="C278" s="12" t="inlineStr">
        <is>
          <t>rep1</t>
        </is>
      </c>
      <c r="D278" s="12" t="inlineStr">
        <is>
          <t>rep2</t>
        </is>
      </c>
      <c r="E278" s="12" t="inlineStr">
        <is>
          <t>rep3</t>
        </is>
      </c>
      <c r="F278" s="12" t="inlineStr">
        <is>
          <t>rep4</t>
        </is>
      </c>
      <c r="G278" s="12" t="inlineStr">
        <is>
          <t>rep5</t>
        </is>
      </c>
      <c r="H278" s="12" t="inlineStr">
        <is>
          <t>rep6</t>
        </is>
      </c>
      <c r="I278" s="12" t="inlineStr">
        <is>
          <t>best</t>
        </is>
      </c>
      <c r="J278" s="12" t="inlineStr">
        <is>
          <t>best#</t>
        </is>
      </c>
      <c r="K278" s="12" t="inlineStr">
        <is>
          <t>VL%</t>
        </is>
      </c>
      <c r="L278" s="12" t="inlineStr">
        <is>
          <t>stop_th</t>
        </is>
      </c>
      <c r="M278" s="12" t="inlineStr">
        <is>
          <t>latest</t>
        </is>
      </c>
      <c r="N278" s="12" t="inlineStr">
        <is>
          <t>VL_flag</t>
        </is>
      </c>
      <c r="O278" s="12" t="inlineStr">
        <is>
          <t>safety</t>
        </is>
      </c>
      <c r="P278" s="12" t="inlineStr">
        <is>
          <t>原因</t>
        </is>
      </c>
      <c r="Q278" s="12" t="inlineStr">
        <is>
          <t>建议</t>
        </is>
      </c>
      <c r="R278" s="12" t="inlineStr">
        <is>
          <t>次数</t>
        </is>
      </c>
    </row>
    <row r="279">
      <c r="A279" s="7" t="n">
        <v>1</v>
      </c>
      <c r="B279" s="9">
        <f>IFERROR(K277,"")</f>
        <v/>
      </c>
      <c r="C279" s="9" t="n"/>
      <c r="D279" s="9" t="n"/>
      <c r="E279" s="9" t="n"/>
      <c r="F279" s="9" t="n"/>
      <c r="G279" s="9" t="n"/>
      <c r="H279" s="9" t="n"/>
      <c r="I279" s="7">
        <f>IFERROR(MAX(C279:H279),"")</f>
        <v/>
      </c>
      <c r="J279" s="7">
        <f>IFERROR(MATCH(I279,C279:H279,0),"")</f>
        <v/>
      </c>
      <c r="K279" s="7" t="n">
        <v>10</v>
      </c>
      <c r="L279" s="7">
        <f>IFERROR(I279*(1-(K279/100)),"")</f>
        <v/>
      </c>
      <c r="M279" s="7">
        <f>IFERROR(LOOKUP(9.99E+307,C279:H279),"")</f>
        <v/>
      </c>
      <c r="N279" s="7">
        <f>IFERROR(IF(M279="","",IF(M279&lt;=N279,"停组🛑","继续✓")),"")</f>
        <v/>
      </c>
      <c r="O279" s="7">
        <f>IFERROR(IF(M279="","",IF(M279&lt;0.15,"SAFETY_STOP","")),"")</f>
        <v/>
      </c>
      <c r="P279" s="7">
        <f>IFERROR(IF(M279="","",IF(M279&lt;0.15,"SAFETY_STOP",IF(M279&lt;=N279,"VL_THRESHOLD",""))),"")</f>
        <v/>
      </c>
      <c r="Q279" s="7">
        <f>IFERROR(IF(I279="","",IF(I279&gt;(0.75+0.05),"+5kg",IF(I279&gt;(0.75+0.02),"+2.5kg",IF(I279&gt;=(0.75-0.05),"保持",IF(I279&gt;=(0.75-0.08),"-2.5kg","-5kg"))))),"")</f>
        <v/>
      </c>
      <c r="R279" s="9" t="n"/>
    </row>
    <row r="280">
      <c r="A280" s="7" t="n">
        <v>2</v>
      </c>
      <c r="B280" s="9" t="n"/>
      <c r="C280" s="9" t="n"/>
      <c r="D280" s="9" t="n"/>
      <c r="E280" s="9" t="n"/>
      <c r="F280" s="9" t="n"/>
      <c r="G280" s="9" t="n"/>
      <c r="H280" s="9" t="n"/>
      <c r="I280" s="7">
        <f>IFERROR(MAX(C280:H280),"")</f>
        <v/>
      </c>
      <c r="J280" s="7">
        <f>IFERROR(MATCH(I280,C280:H280,0),"")</f>
        <v/>
      </c>
      <c r="K280" s="7" t="n">
        <v>10</v>
      </c>
      <c r="L280" s="7">
        <f>IFERROR(I280*(1-(K280/100)),"")</f>
        <v/>
      </c>
      <c r="M280" s="7">
        <f>IFERROR(LOOKUP(9.99E+307,C280:H280),"")</f>
        <v/>
      </c>
      <c r="N280" s="7">
        <f>IFERROR(IF(M280="","",IF(M280&lt;=N280,"停组🛑","继续✓")),"")</f>
        <v/>
      </c>
      <c r="O280" s="7">
        <f>IFERROR(IF(M280="","",IF(M280&lt;0.15,"SAFETY_STOP","")),"")</f>
        <v/>
      </c>
      <c r="P280" s="7">
        <f>IFERROR(IF(M280="","",IF(M280&lt;0.15,"SAFETY_STOP",IF(M280&lt;=N280,"VL_THRESHOLD",""))),"")</f>
        <v/>
      </c>
      <c r="Q280" s="7">
        <f>IFERROR(IF(I280="","",IF(I280&gt;(0.75+0.05),"+5kg",IF(I280&gt;(0.75+0.02),"+2.5kg",IF(I280&gt;=(0.75-0.05),"保持",IF(I280&gt;=(0.75-0.08),"-2.5kg","-5kg"))))),"")</f>
        <v/>
      </c>
      <c r="R280" s="9" t="n"/>
    </row>
    <row r="281">
      <c r="A281" s="7" t="n">
        <v>3</v>
      </c>
      <c r="B281" s="9" t="n"/>
      <c r="C281" s="9" t="n"/>
      <c r="D281" s="9" t="n"/>
      <c r="E281" s="9" t="n"/>
      <c r="F281" s="9" t="n"/>
      <c r="G281" s="9" t="n"/>
      <c r="H281" s="9" t="n"/>
      <c r="I281" s="7">
        <f>IFERROR(MAX(C281:H281),"")</f>
        <v/>
      </c>
      <c r="J281" s="7">
        <f>IFERROR(MATCH(I281,C281:H281,0),"")</f>
        <v/>
      </c>
      <c r="K281" s="7" t="n">
        <v>10</v>
      </c>
      <c r="L281" s="7">
        <f>IFERROR(I281*(1-(K281/100)),"")</f>
        <v/>
      </c>
      <c r="M281" s="7">
        <f>IFERROR(LOOKUP(9.99E+307,C281:H281),"")</f>
        <v/>
      </c>
      <c r="N281" s="7">
        <f>IFERROR(IF(M281="","",IF(M281&lt;=N281,"停组🛑","继续✓")),"")</f>
        <v/>
      </c>
      <c r="O281" s="7">
        <f>IFERROR(IF(M281="","",IF(M281&lt;0.15,"SAFETY_STOP","")),"")</f>
        <v/>
      </c>
      <c r="P281" s="7">
        <f>IFERROR(IF(M281="","",IF(M281&lt;0.15,"SAFETY_STOP",IF(M281&lt;=N281,"VL_THRESHOLD",""))),"")</f>
        <v/>
      </c>
      <c r="Q281" s="7">
        <f>IFERROR(IF(I281="","",IF(I281&gt;(0.75+0.05),"+5kg",IF(I281&gt;(0.75+0.02),"+2.5kg",IF(I281&gt;=(0.75-0.05),"保持",IF(I281&gt;=(0.75-0.08),"-2.5kg","-5kg"))))),"")</f>
        <v/>
      </c>
      <c r="R281" s="9" t="n"/>
    </row>
    <row r="282">
      <c r="A282" s="7" t="n">
        <v>4</v>
      </c>
      <c r="B282" s="9" t="n"/>
      <c r="C282" s="9" t="n"/>
      <c r="D282" s="9" t="n"/>
      <c r="E282" s="9" t="n"/>
      <c r="F282" s="9" t="n"/>
      <c r="G282" s="9" t="n"/>
      <c r="H282" s="9" t="n"/>
      <c r="I282" s="7">
        <f>IFERROR(MAX(C282:H282),"")</f>
        <v/>
      </c>
      <c r="J282" s="7">
        <f>IFERROR(MATCH(I282,C282:H282,0),"")</f>
        <v/>
      </c>
      <c r="K282" s="7" t="n">
        <v>10</v>
      </c>
      <c r="L282" s="7">
        <f>IFERROR(I282*(1-(K282/100)),"")</f>
        <v/>
      </c>
      <c r="M282" s="7">
        <f>IFERROR(LOOKUP(9.99E+307,C282:H282),"")</f>
        <v/>
      </c>
      <c r="N282" s="7">
        <f>IFERROR(IF(M282="","",IF(M282&lt;=N282,"停组🛑","继续✓")),"")</f>
        <v/>
      </c>
      <c r="O282" s="7">
        <f>IFERROR(IF(M282="","",IF(M282&lt;0.15,"SAFETY_STOP","")),"")</f>
        <v/>
      </c>
      <c r="P282" s="7">
        <f>IFERROR(IF(M282="","",IF(M282&lt;0.15,"SAFETY_STOP",IF(M282&lt;=N282,"VL_THRESHOLD",""))),"")</f>
        <v/>
      </c>
      <c r="Q282" s="7">
        <f>IFERROR(IF(I282="","",IF(I282&gt;(0.75+0.05),"+5kg",IF(I282&gt;(0.75+0.02),"+2.5kg",IF(I282&gt;=(0.75-0.05),"保持",IF(I282&gt;=(0.75-0.08),"-2.5kg","-5kg"))))),"")</f>
        <v/>
      </c>
      <c r="R282" s="9" t="n"/>
    </row>
    <row r="283">
      <c r="A283" s="7" t="n">
        <v>5</v>
      </c>
      <c r="B283" s="9" t="n"/>
      <c r="C283" s="9" t="n"/>
      <c r="D283" s="9" t="n"/>
      <c r="E283" s="9" t="n"/>
      <c r="F283" s="9" t="n"/>
      <c r="G283" s="9" t="n"/>
      <c r="H283" s="9" t="n"/>
      <c r="I283" s="7">
        <f>IFERROR(MAX(C283:H283),"")</f>
        <v/>
      </c>
      <c r="J283" s="7">
        <f>IFERROR(MATCH(I283,C283:H283,0),"")</f>
        <v/>
      </c>
      <c r="K283" s="7" t="n">
        <v>10</v>
      </c>
      <c r="L283" s="7">
        <f>IFERROR(I283*(1-(K283/100)),"")</f>
        <v/>
      </c>
      <c r="M283" s="7">
        <f>IFERROR(LOOKUP(9.99E+307,C283:H283),"")</f>
        <v/>
      </c>
      <c r="N283" s="7">
        <f>IFERROR(IF(M283="","",IF(M283&lt;=N283,"停组🛑","继续✓")),"")</f>
        <v/>
      </c>
      <c r="O283" s="7">
        <f>IFERROR(IF(M283="","",IF(M283&lt;0.15,"SAFETY_STOP","")),"")</f>
        <v/>
      </c>
      <c r="P283" s="7">
        <f>IFERROR(IF(M283="","",IF(M283&lt;0.15,"SAFETY_STOP",IF(M283&lt;=N283,"VL_THRESHOLD",""))),"")</f>
        <v/>
      </c>
      <c r="Q283" s="7">
        <f>IFERROR(IF(I283="","",IF(I283&gt;(0.75+0.05),"+5kg",IF(I283&gt;(0.75+0.02),"+2.5kg",IF(I283&gt;=(0.75-0.05),"保持",IF(I283&gt;=(0.75-0.08),"-2.5kg","-5kg"))))),"")</f>
        <v/>
      </c>
      <c r="R283" s="9" t="n"/>
    </row>
    <row r="284">
      <c r="A284" s="7" t="n">
        <v>6</v>
      </c>
      <c r="B284" s="9" t="n"/>
      <c r="C284" s="9" t="n"/>
      <c r="D284" s="9" t="n"/>
      <c r="E284" s="9" t="n"/>
      <c r="F284" s="9" t="n"/>
      <c r="G284" s="9" t="n"/>
      <c r="H284" s="9" t="n"/>
      <c r="I284" s="7">
        <f>IFERROR(MAX(C284:H284),"")</f>
        <v/>
      </c>
      <c r="J284" s="7">
        <f>IFERROR(MATCH(I284,C284:H284,0),"")</f>
        <v/>
      </c>
      <c r="K284" s="7" t="n">
        <v>10</v>
      </c>
      <c r="L284" s="7">
        <f>IFERROR(I284*(1-(K284/100)),"")</f>
        <v/>
      </c>
      <c r="M284" s="7">
        <f>IFERROR(LOOKUP(9.99E+307,C284:H284),"")</f>
        <v/>
      </c>
      <c r="N284" s="7">
        <f>IFERROR(IF(M284="","",IF(M284&lt;=N284,"停组🛑","继续✓")),"")</f>
        <v/>
      </c>
      <c r="O284" s="7">
        <f>IFERROR(IF(M284="","",IF(M284&lt;0.15,"SAFETY_STOP","")),"")</f>
        <v/>
      </c>
      <c r="P284" s="7">
        <f>IFERROR(IF(M284="","",IF(M284&lt;0.15,"SAFETY_STOP",IF(M284&lt;=N284,"VL_THRESHOLD",""))),"")</f>
        <v/>
      </c>
      <c r="Q284" s="7">
        <f>IFERROR(IF(I284="","",IF(I284&gt;(0.75+0.05),"+5kg",IF(I284&gt;(0.75+0.02),"+2.5kg",IF(I284&gt;=(0.75-0.05),"保持",IF(I284&gt;=(0.75-0.08),"-2.5kg","-5kg"))))),"")</f>
        <v/>
      </c>
      <c r="R284" s="9" t="n"/>
    </row>
    <row r="285">
      <c r="A285" s="13" t="inlineStr">
        <is>
          <t>辅助</t>
        </is>
      </c>
      <c r="D285" s="14" t="inlineStr">
        <is>
          <t>保加利亚单腿蹲</t>
        </is>
      </c>
      <c r="E285" s="14" t="inlineStr">
        <is>
          <t>负荷</t>
        </is>
      </c>
      <c r="F285" s="14" t="inlineStr">
        <is>
          <t>完成</t>
        </is>
      </c>
      <c r="I285" t="inlineStr">
        <is>
          <t>VL</t>
        </is>
      </c>
    </row>
    <row r="286">
      <c r="A286" s="15" t="inlineStr">
        <is>
          <t>训练后</t>
        </is>
      </c>
      <c r="B286" s="15" t="inlineStr">
        <is>
          <t>开始</t>
        </is>
      </c>
      <c r="C286" s="15" t="inlineStr">
        <is>
          <t>结束</t>
        </is>
      </c>
      <c r="D286" s="15" t="inlineStr">
        <is>
          <t>时长min</t>
        </is>
      </c>
      <c r="E286" s="15" t="inlineStr">
        <is>
          <t>sRPE</t>
        </is>
      </c>
      <c r="F286" s="15" t="inlineStr">
        <is>
          <t>load</t>
        </is>
      </c>
      <c r="G286" s="15" t="inlineStr">
        <is>
          <t>不适?</t>
        </is>
      </c>
      <c r="H286" s="15" t="inlineStr">
        <is>
          <t>备注</t>
        </is>
      </c>
      <c r="I286" s="15" t="inlineStr">
        <is>
          <t>签名</t>
        </is>
      </c>
    </row>
    <row r="287">
      <c r="A287" s="7" t="n"/>
      <c r="B287" s="9" t="n"/>
      <c r="C287" s="9" t="n"/>
      <c r="D287" s="11">
        <f>IFERROR((C287-B287)*1440,"")</f>
        <v/>
      </c>
      <c r="E287" s="9" t="n"/>
      <c r="F287" s="11">
        <f>IFERROR(E287*D287,"")</f>
        <v/>
      </c>
      <c r="G287" s="9" t="n"/>
      <c r="H287" s="9" t="n"/>
      <c r="I287" s="9" t="n"/>
    </row>
    <row r="288">
      <c r="A288" s="16" t="inlineStr">
        <is>
          <t>跳跃</t>
        </is>
      </c>
      <c r="B288" s="16" t="inlineStr">
        <is>
          <t>类型</t>
        </is>
      </c>
      <c r="C288" s="16" t="inlineStr">
        <is>
          <t>组×次</t>
        </is>
      </c>
      <c r="D288" s="16" t="inlineStr">
        <is>
          <t>负荷kg</t>
        </is>
      </c>
      <c r="E288" s="16" t="inlineStr">
        <is>
          <t>接触</t>
        </is>
      </c>
    </row>
    <row r="289">
      <c r="B289" t="inlineStr">
        <is>
          <t>SJ</t>
        </is>
      </c>
      <c r="C289" t="inlineStr">
        <is>
          <t>2×3</t>
        </is>
      </c>
      <c r="D289" t="n">
        <v>0</v>
      </c>
      <c r="E289" t="n">
        <v>6</v>
      </c>
    </row>
    <row r="290">
      <c r="B290" t="inlineStr">
        <is>
          <t>负重跳</t>
        </is>
      </c>
      <c r="C290" t="inlineStr">
        <is>
          <t>2×4</t>
        </is>
      </c>
      <c r="D290" s="14" t="n"/>
      <c r="E290" s="14" t="n"/>
    </row>
    <row r="291">
      <c r="A291" s="17" t="inlineStr">
        <is>
          <t>▶ 暴露量汇总</t>
        </is>
      </c>
      <c r="B291" s="17" t="inlineStr">
        <is>
          <t>说明</t>
        </is>
      </c>
      <c r="C291" s="17" t="inlineStr">
        <is>
          <t>公式/来源</t>
        </is>
      </c>
      <c r="D291" s="17" t="inlineStr">
        <is>
          <t>数值</t>
        </is>
      </c>
    </row>
    <row r="292">
      <c r="A292" s="18" t="inlineStr">
        <is>
          <t>① 无负荷跳跃接触</t>
        </is>
      </c>
      <c r="B292" s="18" t="inlineStr">
        <is>
          <t>CMJ+SJ+箱跳</t>
        </is>
      </c>
      <c r="C292" s="19">
        <f>IFERROR(E289+E290,2)</f>
        <v/>
      </c>
    </row>
    <row r="293">
      <c r="A293" s="18" t="inlineStr">
        <is>
          <t>② 负重跳跃接触</t>
        </is>
      </c>
      <c r="B293" s="18" t="inlineStr">
        <is>
          <t>负重深蹲跳</t>
        </is>
      </c>
      <c r="C293" s="19">
        <f>IFERROR(E290,"")</f>
        <v/>
      </c>
    </row>
    <row r="294">
      <c r="A294" s="18" t="inlineStr">
        <is>
          <t>③ 跳跃总计</t>
        </is>
      </c>
      <c r="B294" s="18" t="inlineStr">
        <is>
          <t>①+②</t>
        </is>
      </c>
      <c r="C294" s="19">
        <f>IFERROR(B292+B293,"")</f>
        <v/>
      </c>
    </row>
    <row r="295">
      <c r="A295" s="18" t="inlineStr">
        <is>
          <t>④ 热身VL</t>
        </is>
      </c>
      <c r="B295" s="18" t="inlineStr">
        <is>
          <t>20×5+50%×3(+70%×2)</t>
        </is>
      </c>
      <c r="C295" s="19">
        <f>IFERROR(20*5+ROUND(V275*0.5,0)*3,"-")</f>
        <v/>
      </c>
    </row>
    <row r="296">
      <c r="A296" s="20" t="inlineStr">
        <is>
          <t>⑤ 主项工作组VL ★</t>
        </is>
      </c>
      <c r="B296" s="20" t="inlineStr">
        <is>
          <t>Σ(负荷×次数)</t>
        </is>
      </c>
      <c r="C296" s="21">
        <f>SUMPRODUCT($B$279:$B$284,$R$279:$R$284)</f>
        <v/>
      </c>
    </row>
    <row r="297">
      <c r="A297" s="18" t="inlineStr">
        <is>
          <t>⑥ 主项总VL</t>
        </is>
      </c>
      <c r="B297" s="18" t="inlineStr">
        <is>
          <t>④+⑤</t>
        </is>
      </c>
      <c r="C297" s="19">
        <f>IFERROR(D292+D293,"")</f>
        <v/>
      </c>
    </row>
    <row r="298">
      <c r="A298" s="18" t="inlineStr">
        <is>
          <t>⑦ 辅助VL</t>
        </is>
      </c>
      <c r="B298" s="18" t="inlineStr">
        <is>
          <t>RDL/保加利亚</t>
        </is>
      </c>
      <c r="C298" s="19">
        <f>IFERROR(I285,"")</f>
        <v/>
      </c>
    </row>
    <row r="299">
      <c r="A299" s="18" t="inlineStr">
        <is>
          <t>⑧ 总外部负荷</t>
        </is>
      </c>
      <c r="B299" s="18" t="inlineStr">
        <is>
          <t>⑥+⑦(+负重跳)</t>
        </is>
      </c>
      <c r="C299" s="19">
        <f>IFERROR(F292+G292,"")</f>
        <v/>
      </c>
    </row>
    <row r="300">
      <c r="A300" s="18" t="inlineStr">
        <is>
          <t>⑨ sRPE load</t>
        </is>
      </c>
      <c r="B300" s="18" t="inlineStr">
        <is>
          <t>sRPE×时长</t>
        </is>
      </c>
      <c r="C300" s="19">
        <f>IFERROR(F287,"")</f>
        <v/>
      </c>
    </row>
    <row r="303">
      <c r="A303" s="5" t="inlineStr">
        <is>
          <t>P010 张锦荣  a=1.26 b=-0.006 1RM=120</t>
        </is>
      </c>
    </row>
    <row r="304">
      <c r="A304" s="6" t="inlineStr">
        <is>
          <t>编号</t>
        </is>
      </c>
      <c r="B304" s="6" t="inlineStr">
        <is>
          <t>姓名</t>
        </is>
      </c>
      <c r="C304" s="6" t="inlineStr">
        <is>
          <t>身高</t>
        </is>
      </c>
      <c r="D304" s="6" t="inlineStr">
        <is>
          <t>1RM</t>
        </is>
      </c>
      <c r="E304" s="6" t="inlineStr">
        <is>
          <t>Hooper睡</t>
        </is>
      </c>
      <c r="F304" s="6" t="inlineStr">
        <is>
          <t>Hooper压</t>
        </is>
      </c>
      <c r="G304" s="6" t="inlineStr">
        <is>
          <t>Hooper疲</t>
        </is>
      </c>
      <c r="H304" s="6" t="inlineStr">
        <is>
          <t>Hooper酸</t>
        </is>
      </c>
      <c r="I304" s="6" t="inlineStr">
        <is>
          <t>H总</t>
        </is>
      </c>
      <c r="J304" s="6" t="inlineStr">
        <is>
          <t>不适?</t>
        </is>
      </c>
      <c r="K304" s="6" t="inlineStr">
        <is>
          <t>说明</t>
        </is>
      </c>
      <c r="L304" s="6" t="inlineStr">
        <is>
          <t>CMJ1</t>
        </is>
      </c>
      <c r="M304" s="6" t="inlineStr">
        <is>
          <t>CMJ2</t>
        </is>
      </c>
      <c r="N304" s="6" t="inlineStr">
        <is>
          <t>CMJ3</t>
        </is>
      </c>
      <c r="O304" s="6" t="inlineStr">
        <is>
          <t>CMJμ</t>
        </is>
      </c>
      <c r="P304" s="6" t="inlineStr">
        <is>
          <t>&lt;95%</t>
        </is>
      </c>
      <c r="Q304" s="6" t="inlineStr">
        <is>
          <t>减组</t>
        </is>
      </c>
      <c r="R304" s="6" t="inlineStr">
        <is>
          <t>组数</t>
        </is>
      </c>
      <c r="S304" s="6" t="inlineStr">
        <is>
          <t>a(V0)</t>
        </is>
      </c>
      <c r="T304" s="6" t="inlineStr">
        <is>
          <t>b</t>
        </is>
      </c>
      <c r="U304" s="6" t="inlineStr">
        <is>
          <t>等级</t>
        </is>
      </c>
      <c r="V304" s="6" t="inlineStr">
        <is>
          <t>预测起始</t>
        </is>
      </c>
    </row>
    <row r="305">
      <c r="A305" s="7" t="inlineStr">
        <is>
          <t>P010</t>
        </is>
      </c>
      <c r="B305" s="7" t="inlineStr">
        <is>
          <t>张锦荣</t>
        </is>
      </c>
      <c r="C305" s="7" t="n">
        <v>174</v>
      </c>
      <c r="D305" s="8" t="n">
        <v>120</v>
      </c>
      <c r="E305" s="9" t="n"/>
      <c r="F305" s="9" t="n"/>
      <c r="G305" s="9" t="n"/>
      <c r="H305" s="9" t="n"/>
      <c r="I305" s="7">
        <f>IFERROR(SUM(E305:H305),"")</f>
        <v/>
      </c>
      <c r="J305" s="9" t="n"/>
      <c r="K305" s="9" t="n"/>
      <c r="L305" s="9" t="n"/>
      <c r="M305" s="9" t="n"/>
      <c r="N305" s="9" t="n"/>
      <c r="O305" s="7">
        <f>IFERROR(AVERAGE(L305:N305),"")</f>
        <v/>
      </c>
      <c r="P305" s="7">
        <f>IF(O305="","",IF(O305&lt;50.42,"是⚠","否"))</f>
        <v/>
      </c>
      <c r="Q305" s="7">
        <f>IF(O305="","",IF(O305&lt;50.42,3-1,3))</f>
        <v/>
      </c>
      <c r="R305" s="7" t="n"/>
      <c r="S305" s="8" t="n">
        <v>1.26</v>
      </c>
      <c r="T305" s="8" t="n">
        <v>-0.006</v>
      </c>
      <c r="U305" s="7" t="inlineStr">
        <is>
          <t>B</t>
        </is>
      </c>
      <c r="V305" s="8" t="n">
        <v>85</v>
      </c>
    </row>
    <row r="306">
      <c r="A306" s="10" t="inlineStr">
        <is>
          <t>热身校准</t>
        </is>
      </c>
      <c r="B306" s="10" t="inlineStr">
        <is>
          <t>a</t>
        </is>
      </c>
      <c r="C306" s="10" t="inlineStr">
        <is>
          <t>b</t>
        </is>
      </c>
      <c r="D306" s="10" t="inlineStr">
        <is>
          <t>50%热身</t>
        </is>
      </c>
      <c r="E306" s="10" t="inlineStr">
        <is>
          <t>70%热身</t>
        </is>
      </c>
      <c r="F306" s="10" t="inlineStr">
        <is>
          <t>热身负荷</t>
        </is>
      </c>
      <c r="G306" s="10" t="inlineStr">
        <is>
          <t>实测MCV</t>
        </is>
      </c>
      <c r="H306" s="10" t="inlineStr">
        <is>
          <t>预测MCV</t>
        </is>
      </c>
      <c r="I306" s="10" t="inlineStr">
        <is>
          <t>Δv</t>
        </is>
      </c>
      <c r="J306" s="10" t="inlineStr">
        <is>
          <t>调整量</t>
        </is>
      </c>
      <c r="K306" s="10" t="inlineStr">
        <is>
          <t>校准第1组</t>
        </is>
      </c>
    </row>
    <row r="307">
      <c r="A307" s="7" t="n"/>
      <c r="B307" s="11" t="n">
        <v>1.26</v>
      </c>
      <c r="C307" s="11" t="n">
        <v>-0.006</v>
      </c>
      <c r="D307" s="11">
        <f>IFERROR(ROUND(V305*0.5/2.5,0)*2.5,"")</f>
        <v/>
      </c>
      <c r="E307" s="11" t="inlineStr"/>
      <c r="F307" s="11">
        <f>IFERROR(ROUND(V305*0.5/2.5,0)*2.5,"")</f>
        <v/>
      </c>
      <c r="G307" s="9" t="n"/>
      <c r="H307" s="11">
        <f>IFERROR(B307+C307*F307,"")</f>
        <v/>
      </c>
      <c r="I307" s="11">
        <f>IFERROR(G307-H307,"")</f>
        <v/>
      </c>
      <c r="J307" s="11">
        <f>IFERROR(IF(I307&gt;0.08,5,IF(I307&gt;0.04,2.5,IF(I307&gt;=-0.04,0,IF(I307&gt;=-0.08,-2.5,-5)))),"")</f>
        <v/>
      </c>
      <c r="K307" s="11">
        <f>IFERROR(ROUND(V305+J307,0),"")</f>
        <v/>
      </c>
    </row>
    <row r="308">
      <c r="A308" s="12" t="inlineStr">
        <is>
          <t>组</t>
        </is>
      </c>
      <c r="B308" s="12" t="inlineStr">
        <is>
          <t>负荷</t>
        </is>
      </c>
      <c r="C308" s="12" t="inlineStr">
        <is>
          <t>rep1</t>
        </is>
      </c>
      <c r="D308" s="12" t="inlineStr">
        <is>
          <t>rep2</t>
        </is>
      </c>
      <c r="E308" s="12" t="inlineStr">
        <is>
          <t>rep3</t>
        </is>
      </c>
      <c r="F308" s="12" t="inlineStr">
        <is>
          <t>rep4</t>
        </is>
      </c>
      <c r="G308" s="12" t="inlineStr">
        <is>
          <t>rep5</t>
        </is>
      </c>
      <c r="H308" s="12" t="inlineStr">
        <is>
          <t>rep6</t>
        </is>
      </c>
      <c r="I308" s="12" t="inlineStr">
        <is>
          <t>best</t>
        </is>
      </c>
      <c r="J308" s="12" t="inlineStr">
        <is>
          <t>best#</t>
        </is>
      </c>
      <c r="K308" s="12" t="inlineStr">
        <is>
          <t>VL%</t>
        </is>
      </c>
      <c r="L308" s="12" t="inlineStr">
        <is>
          <t>stop_th</t>
        </is>
      </c>
      <c r="M308" s="12" t="inlineStr">
        <is>
          <t>latest</t>
        </is>
      </c>
      <c r="N308" s="12" t="inlineStr">
        <is>
          <t>VL_flag</t>
        </is>
      </c>
      <c r="O308" s="12" t="inlineStr">
        <is>
          <t>safety</t>
        </is>
      </c>
      <c r="P308" s="12" t="inlineStr">
        <is>
          <t>原因</t>
        </is>
      </c>
      <c r="Q308" s="12" t="inlineStr">
        <is>
          <t>建议</t>
        </is>
      </c>
      <c r="R308" s="12" t="inlineStr">
        <is>
          <t>次数</t>
        </is>
      </c>
    </row>
    <row r="309">
      <c r="A309" s="7" t="n">
        <v>1</v>
      </c>
      <c r="B309" s="9">
        <f>IFERROR(K307,"")</f>
        <v/>
      </c>
      <c r="C309" s="9" t="n"/>
      <c r="D309" s="9" t="n"/>
      <c r="E309" s="9" t="n"/>
      <c r="F309" s="9" t="n"/>
      <c r="G309" s="9" t="n"/>
      <c r="H309" s="9" t="n"/>
      <c r="I309" s="7">
        <f>IFERROR(MAX(C309:H309),"")</f>
        <v/>
      </c>
      <c r="J309" s="7">
        <f>IFERROR(MATCH(I309,C309:H309,0),"")</f>
        <v/>
      </c>
      <c r="K309" s="7" t="n">
        <v>10</v>
      </c>
      <c r="L309" s="7">
        <f>IFERROR(I309*(1-(K309/100)),"")</f>
        <v/>
      </c>
      <c r="M309" s="7">
        <f>IFERROR(LOOKUP(9.99E+307,C309:H309),"")</f>
        <v/>
      </c>
      <c r="N309" s="7">
        <f>IFERROR(IF(M309="","",IF(M309&lt;=N309,"停组🛑","继续✓")),"")</f>
        <v/>
      </c>
      <c r="O309" s="7">
        <f>IFERROR(IF(M309="","",IF(M309&lt;0.15,"SAFETY_STOP","")),"")</f>
        <v/>
      </c>
      <c r="P309" s="7">
        <f>IFERROR(IF(M309="","",IF(M309&lt;0.15,"SAFETY_STOP",IF(M309&lt;=N309,"VL_THRESHOLD",""))),"")</f>
        <v/>
      </c>
      <c r="Q309" s="7">
        <f>IFERROR(IF(I309="","",IF(I309&gt;(0.75+0.05),"+5kg",IF(I309&gt;(0.75+0.02),"+2.5kg",IF(I309&gt;=(0.75-0.05),"保持",IF(I309&gt;=(0.75-0.08),"-2.5kg","-5kg"))))),"")</f>
        <v/>
      </c>
      <c r="R309" s="9" t="n"/>
    </row>
    <row r="310">
      <c r="A310" s="7" t="n">
        <v>2</v>
      </c>
      <c r="B310" s="9" t="n"/>
      <c r="C310" s="9" t="n"/>
      <c r="D310" s="9" t="n"/>
      <c r="E310" s="9" t="n"/>
      <c r="F310" s="9" t="n"/>
      <c r="G310" s="9" t="n"/>
      <c r="H310" s="9" t="n"/>
      <c r="I310" s="7">
        <f>IFERROR(MAX(C310:H310),"")</f>
        <v/>
      </c>
      <c r="J310" s="7">
        <f>IFERROR(MATCH(I310,C310:H310,0),"")</f>
        <v/>
      </c>
      <c r="K310" s="7" t="n">
        <v>10</v>
      </c>
      <c r="L310" s="7">
        <f>IFERROR(I310*(1-(K310/100)),"")</f>
        <v/>
      </c>
      <c r="M310" s="7">
        <f>IFERROR(LOOKUP(9.99E+307,C310:H310),"")</f>
        <v/>
      </c>
      <c r="N310" s="7">
        <f>IFERROR(IF(M310="","",IF(M310&lt;=N310,"停组🛑","继续✓")),"")</f>
        <v/>
      </c>
      <c r="O310" s="7">
        <f>IFERROR(IF(M310="","",IF(M310&lt;0.15,"SAFETY_STOP","")),"")</f>
        <v/>
      </c>
      <c r="P310" s="7">
        <f>IFERROR(IF(M310="","",IF(M310&lt;0.15,"SAFETY_STOP",IF(M310&lt;=N310,"VL_THRESHOLD",""))),"")</f>
        <v/>
      </c>
      <c r="Q310" s="7">
        <f>IFERROR(IF(I310="","",IF(I310&gt;(0.75+0.05),"+5kg",IF(I310&gt;(0.75+0.02),"+2.5kg",IF(I310&gt;=(0.75-0.05),"保持",IF(I310&gt;=(0.75-0.08),"-2.5kg","-5kg"))))),"")</f>
        <v/>
      </c>
      <c r="R310" s="9" t="n"/>
    </row>
    <row r="311">
      <c r="A311" s="7" t="n">
        <v>3</v>
      </c>
      <c r="B311" s="9" t="n"/>
      <c r="C311" s="9" t="n"/>
      <c r="D311" s="9" t="n"/>
      <c r="E311" s="9" t="n"/>
      <c r="F311" s="9" t="n"/>
      <c r="G311" s="9" t="n"/>
      <c r="H311" s="9" t="n"/>
      <c r="I311" s="7">
        <f>IFERROR(MAX(C311:H311),"")</f>
        <v/>
      </c>
      <c r="J311" s="7">
        <f>IFERROR(MATCH(I311,C311:H311,0),"")</f>
        <v/>
      </c>
      <c r="K311" s="7" t="n">
        <v>10</v>
      </c>
      <c r="L311" s="7">
        <f>IFERROR(I311*(1-(K311/100)),"")</f>
        <v/>
      </c>
      <c r="M311" s="7">
        <f>IFERROR(LOOKUP(9.99E+307,C311:H311),"")</f>
        <v/>
      </c>
      <c r="N311" s="7">
        <f>IFERROR(IF(M311="","",IF(M311&lt;=N311,"停组🛑","继续✓")),"")</f>
        <v/>
      </c>
      <c r="O311" s="7">
        <f>IFERROR(IF(M311="","",IF(M311&lt;0.15,"SAFETY_STOP","")),"")</f>
        <v/>
      </c>
      <c r="P311" s="7">
        <f>IFERROR(IF(M311="","",IF(M311&lt;0.15,"SAFETY_STOP",IF(M311&lt;=N311,"VL_THRESHOLD",""))),"")</f>
        <v/>
      </c>
      <c r="Q311" s="7">
        <f>IFERROR(IF(I311="","",IF(I311&gt;(0.75+0.05),"+5kg",IF(I311&gt;(0.75+0.02),"+2.5kg",IF(I311&gt;=(0.75-0.05),"保持",IF(I311&gt;=(0.75-0.08),"-2.5kg","-5kg"))))),"")</f>
        <v/>
      </c>
      <c r="R311" s="9" t="n"/>
    </row>
    <row r="312">
      <c r="A312" s="7" t="n">
        <v>4</v>
      </c>
      <c r="B312" s="9" t="n"/>
      <c r="C312" s="9" t="n"/>
      <c r="D312" s="9" t="n"/>
      <c r="E312" s="9" t="n"/>
      <c r="F312" s="9" t="n"/>
      <c r="G312" s="9" t="n"/>
      <c r="H312" s="9" t="n"/>
      <c r="I312" s="7">
        <f>IFERROR(MAX(C312:H312),"")</f>
        <v/>
      </c>
      <c r="J312" s="7">
        <f>IFERROR(MATCH(I312,C312:H312,0),"")</f>
        <v/>
      </c>
      <c r="K312" s="7" t="n">
        <v>10</v>
      </c>
      <c r="L312" s="7">
        <f>IFERROR(I312*(1-(K312/100)),"")</f>
        <v/>
      </c>
      <c r="M312" s="7">
        <f>IFERROR(LOOKUP(9.99E+307,C312:H312),"")</f>
        <v/>
      </c>
      <c r="N312" s="7">
        <f>IFERROR(IF(M312="","",IF(M312&lt;=N312,"停组🛑","继续✓")),"")</f>
        <v/>
      </c>
      <c r="O312" s="7">
        <f>IFERROR(IF(M312="","",IF(M312&lt;0.15,"SAFETY_STOP","")),"")</f>
        <v/>
      </c>
      <c r="P312" s="7">
        <f>IFERROR(IF(M312="","",IF(M312&lt;0.15,"SAFETY_STOP",IF(M312&lt;=N312,"VL_THRESHOLD",""))),"")</f>
        <v/>
      </c>
      <c r="Q312" s="7">
        <f>IFERROR(IF(I312="","",IF(I312&gt;(0.75+0.05),"+5kg",IF(I312&gt;(0.75+0.02),"+2.5kg",IF(I312&gt;=(0.75-0.05),"保持",IF(I312&gt;=(0.75-0.08),"-2.5kg","-5kg"))))),"")</f>
        <v/>
      </c>
      <c r="R312" s="9" t="n"/>
    </row>
    <row r="313">
      <c r="A313" s="7" t="n">
        <v>5</v>
      </c>
      <c r="B313" s="9" t="n"/>
      <c r="C313" s="9" t="n"/>
      <c r="D313" s="9" t="n"/>
      <c r="E313" s="9" t="n"/>
      <c r="F313" s="9" t="n"/>
      <c r="G313" s="9" t="n"/>
      <c r="H313" s="9" t="n"/>
      <c r="I313" s="7">
        <f>IFERROR(MAX(C313:H313),"")</f>
        <v/>
      </c>
      <c r="J313" s="7">
        <f>IFERROR(MATCH(I313,C313:H313,0),"")</f>
        <v/>
      </c>
      <c r="K313" s="7" t="n">
        <v>10</v>
      </c>
      <c r="L313" s="7">
        <f>IFERROR(I313*(1-(K313/100)),"")</f>
        <v/>
      </c>
      <c r="M313" s="7">
        <f>IFERROR(LOOKUP(9.99E+307,C313:H313),"")</f>
        <v/>
      </c>
      <c r="N313" s="7">
        <f>IFERROR(IF(M313="","",IF(M313&lt;=N313,"停组🛑","继续✓")),"")</f>
        <v/>
      </c>
      <c r="O313" s="7">
        <f>IFERROR(IF(M313="","",IF(M313&lt;0.15,"SAFETY_STOP","")),"")</f>
        <v/>
      </c>
      <c r="P313" s="7">
        <f>IFERROR(IF(M313="","",IF(M313&lt;0.15,"SAFETY_STOP",IF(M313&lt;=N313,"VL_THRESHOLD",""))),"")</f>
        <v/>
      </c>
      <c r="Q313" s="7">
        <f>IFERROR(IF(I313="","",IF(I313&gt;(0.75+0.05),"+5kg",IF(I313&gt;(0.75+0.02),"+2.5kg",IF(I313&gt;=(0.75-0.05),"保持",IF(I313&gt;=(0.75-0.08),"-2.5kg","-5kg"))))),"")</f>
        <v/>
      </c>
      <c r="R313" s="9" t="n"/>
    </row>
    <row r="314">
      <c r="A314" s="7" t="n">
        <v>6</v>
      </c>
      <c r="B314" s="9" t="n"/>
      <c r="C314" s="9" t="n"/>
      <c r="D314" s="9" t="n"/>
      <c r="E314" s="9" t="n"/>
      <c r="F314" s="9" t="n"/>
      <c r="G314" s="9" t="n"/>
      <c r="H314" s="9" t="n"/>
      <c r="I314" s="7">
        <f>IFERROR(MAX(C314:H314),"")</f>
        <v/>
      </c>
      <c r="J314" s="7">
        <f>IFERROR(MATCH(I314,C314:H314,0),"")</f>
        <v/>
      </c>
      <c r="K314" s="7" t="n">
        <v>10</v>
      </c>
      <c r="L314" s="7">
        <f>IFERROR(I314*(1-(K314/100)),"")</f>
        <v/>
      </c>
      <c r="M314" s="7">
        <f>IFERROR(LOOKUP(9.99E+307,C314:H314),"")</f>
        <v/>
      </c>
      <c r="N314" s="7">
        <f>IFERROR(IF(M314="","",IF(M314&lt;=N314,"停组🛑","继续✓")),"")</f>
        <v/>
      </c>
      <c r="O314" s="7">
        <f>IFERROR(IF(M314="","",IF(M314&lt;0.15,"SAFETY_STOP","")),"")</f>
        <v/>
      </c>
      <c r="P314" s="7">
        <f>IFERROR(IF(M314="","",IF(M314&lt;0.15,"SAFETY_STOP",IF(M314&lt;=N314,"VL_THRESHOLD",""))),"")</f>
        <v/>
      </c>
      <c r="Q314" s="7">
        <f>IFERROR(IF(I314="","",IF(I314&gt;(0.75+0.05),"+5kg",IF(I314&gt;(0.75+0.02),"+2.5kg",IF(I314&gt;=(0.75-0.05),"保持",IF(I314&gt;=(0.75-0.08),"-2.5kg","-5kg"))))),"")</f>
        <v/>
      </c>
      <c r="R314" s="9" t="n"/>
    </row>
    <row r="315">
      <c r="A315" s="13" t="inlineStr">
        <is>
          <t>辅助</t>
        </is>
      </c>
      <c r="D315" s="14" t="inlineStr">
        <is>
          <t>保加利亚单腿蹲</t>
        </is>
      </c>
      <c r="E315" s="14" t="inlineStr">
        <is>
          <t>负荷</t>
        </is>
      </c>
      <c r="F315" s="14" t="inlineStr">
        <is>
          <t>完成</t>
        </is>
      </c>
      <c r="I315" t="inlineStr">
        <is>
          <t>VL</t>
        </is>
      </c>
    </row>
    <row r="316">
      <c r="A316" s="15" t="inlineStr">
        <is>
          <t>训练后</t>
        </is>
      </c>
      <c r="B316" s="15" t="inlineStr">
        <is>
          <t>开始</t>
        </is>
      </c>
      <c r="C316" s="15" t="inlineStr">
        <is>
          <t>结束</t>
        </is>
      </c>
      <c r="D316" s="15" t="inlineStr">
        <is>
          <t>时长min</t>
        </is>
      </c>
      <c r="E316" s="15" t="inlineStr">
        <is>
          <t>sRPE</t>
        </is>
      </c>
      <c r="F316" s="15" t="inlineStr">
        <is>
          <t>load</t>
        </is>
      </c>
      <c r="G316" s="15" t="inlineStr">
        <is>
          <t>不适?</t>
        </is>
      </c>
      <c r="H316" s="15" t="inlineStr">
        <is>
          <t>备注</t>
        </is>
      </c>
      <c r="I316" s="15" t="inlineStr">
        <is>
          <t>签名</t>
        </is>
      </c>
    </row>
    <row r="317">
      <c r="A317" s="7" t="n"/>
      <c r="B317" s="9" t="n"/>
      <c r="C317" s="9" t="n"/>
      <c r="D317" s="11">
        <f>IFERROR((C317-B317)*1440,"")</f>
        <v/>
      </c>
      <c r="E317" s="9" t="n"/>
      <c r="F317" s="11">
        <f>IFERROR(E317*D317,"")</f>
        <v/>
      </c>
      <c r="G317" s="9" t="n"/>
      <c r="H317" s="9" t="n"/>
      <c r="I317" s="9" t="n"/>
    </row>
    <row r="318">
      <c r="A318" s="16" t="inlineStr">
        <is>
          <t>跳跃</t>
        </is>
      </c>
      <c r="B318" s="16" t="inlineStr">
        <is>
          <t>类型</t>
        </is>
      </c>
      <c r="C318" s="16" t="inlineStr">
        <is>
          <t>组×次</t>
        </is>
      </c>
      <c r="D318" s="16" t="inlineStr">
        <is>
          <t>负荷kg</t>
        </is>
      </c>
      <c r="E318" s="16" t="inlineStr">
        <is>
          <t>接触</t>
        </is>
      </c>
    </row>
    <row r="319">
      <c r="B319" t="inlineStr">
        <is>
          <t>SJ</t>
        </is>
      </c>
      <c r="C319" t="inlineStr">
        <is>
          <t>2×3</t>
        </is>
      </c>
      <c r="D319" t="n">
        <v>0</v>
      </c>
      <c r="E319" t="n">
        <v>6</v>
      </c>
    </row>
    <row r="320">
      <c r="B320" t="inlineStr">
        <is>
          <t>负重跳</t>
        </is>
      </c>
      <c r="C320" t="inlineStr">
        <is>
          <t>2×4</t>
        </is>
      </c>
      <c r="D320" s="14" t="n"/>
      <c r="E320" s="14" t="n"/>
    </row>
    <row r="321">
      <c r="A321" s="17" t="inlineStr">
        <is>
          <t>▶ 暴露量汇总</t>
        </is>
      </c>
      <c r="B321" s="17" t="inlineStr">
        <is>
          <t>说明</t>
        </is>
      </c>
      <c r="C321" s="17" t="inlineStr">
        <is>
          <t>公式/来源</t>
        </is>
      </c>
      <c r="D321" s="17" t="inlineStr">
        <is>
          <t>数值</t>
        </is>
      </c>
    </row>
    <row r="322">
      <c r="A322" s="18" t="inlineStr">
        <is>
          <t>① 无负荷跳跃接触</t>
        </is>
      </c>
      <c r="B322" s="18" t="inlineStr">
        <is>
          <t>CMJ+SJ+箱跳</t>
        </is>
      </c>
      <c r="C322" s="19">
        <f>IFERROR(E319+E320,2)</f>
        <v/>
      </c>
    </row>
    <row r="323">
      <c r="A323" s="18" t="inlineStr">
        <is>
          <t>② 负重跳跃接触</t>
        </is>
      </c>
      <c r="B323" s="18" t="inlineStr">
        <is>
          <t>负重深蹲跳</t>
        </is>
      </c>
      <c r="C323" s="19">
        <f>IFERROR(E320,"")</f>
        <v/>
      </c>
    </row>
    <row r="324">
      <c r="A324" s="18" t="inlineStr">
        <is>
          <t>③ 跳跃总计</t>
        </is>
      </c>
      <c r="B324" s="18" t="inlineStr">
        <is>
          <t>①+②</t>
        </is>
      </c>
      <c r="C324" s="19">
        <f>IFERROR(B322+B323,"")</f>
        <v/>
      </c>
    </row>
    <row r="325">
      <c r="A325" s="18" t="inlineStr">
        <is>
          <t>④ 热身VL</t>
        </is>
      </c>
      <c r="B325" s="18" t="inlineStr">
        <is>
          <t>20×5+50%×3(+70%×2)</t>
        </is>
      </c>
      <c r="C325" s="19">
        <f>IFERROR(20*5+ROUND(V305*0.5,0)*3,"-")</f>
        <v/>
      </c>
    </row>
    <row r="326">
      <c r="A326" s="20" t="inlineStr">
        <is>
          <t>⑤ 主项工作组VL ★</t>
        </is>
      </c>
      <c r="B326" s="20" t="inlineStr">
        <is>
          <t>Σ(负荷×次数)</t>
        </is>
      </c>
      <c r="C326" s="21">
        <f>SUMPRODUCT($B$309:$B$314,$R$309:$R$314)</f>
        <v/>
      </c>
    </row>
    <row r="327">
      <c r="A327" s="18" t="inlineStr">
        <is>
          <t>⑥ 主项总VL</t>
        </is>
      </c>
      <c r="B327" s="18" t="inlineStr">
        <is>
          <t>④+⑤</t>
        </is>
      </c>
      <c r="C327" s="19">
        <f>IFERROR(D322+D323,"")</f>
        <v/>
      </c>
    </row>
    <row r="328">
      <c r="A328" s="18" t="inlineStr">
        <is>
          <t>⑦ 辅助VL</t>
        </is>
      </c>
      <c r="B328" s="18" t="inlineStr">
        <is>
          <t>RDL/保加利亚</t>
        </is>
      </c>
      <c r="C328" s="19">
        <f>IFERROR(I315,"")</f>
        <v/>
      </c>
    </row>
    <row r="329">
      <c r="A329" s="18" t="inlineStr">
        <is>
          <t>⑧ 总外部负荷</t>
        </is>
      </c>
      <c r="B329" s="18" t="inlineStr">
        <is>
          <t>⑥+⑦(+负重跳)</t>
        </is>
      </c>
      <c r="C329" s="19">
        <f>IFERROR(F322+G322,"")</f>
        <v/>
      </c>
    </row>
    <row r="330">
      <c r="A330" s="18" t="inlineStr">
        <is>
          <t>⑨ sRPE load</t>
        </is>
      </c>
      <c r="B330" s="18" t="inlineStr">
        <is>
          <t>sRPE×时长</t>
        </is>
      </c>
      <c r="C330" s="19">
        <f>IFERROR(F317,"")</f>
        <v/>
      </c>
    </row>
    <row r="333">
      <c r="A333" s="5" t="inlineStr">
        <is>
          <t>P009 王宏池  a=1.567 b=-0.0085 1RM=135</t>
        </is>
      </c>
    </row>
    <row r="334">
      <c r="A334" s="6" t="inlineStr">
        <is>
          <t>编号</t>
        </is>
      </c>
      <c r="B334" s="6" t="inlineStr">
        <is>
          <t>姓名</t>
        </is>
      </c>
      <c r="C334" s="6" t="inlineStr">
        <is>
          <t>身高</t>
        </is>
      </c>
      <c r="D334" s="6" t="inlineStr">
        <is>
          <t>1RM</t>
        </is>
      </c>
      <c r="E334" s="6" t="inlineStr">
        <is>
          <t>Hooper睡</t>
        </is>
      </c>
      <c r="F334" s="6" t="inlineStr">
        <is>
          <t>Hooper压</t>
        </is>
      </c>
      <c r="G334" s="6" t="inlineStr">
        <is>
          <t>Hooper疲</t>
        </is>
      </c>
      <c r="H334" s="6" t="inlineStr">
        <is>
          <t>Hooper酸</t>
        </is>
      </c>
      <c r="I334" s="6" t="inlineStr">
        <is>
          <t>H总</t>
        </is>
      </c>
      <c r="J334" s="6" t="inlineStr">
        <is>
          <t>不适?</t>
        </is>
      </c>
      <c r="K334" s="6" t="inlineStr">
        <is>
          <t>说明</t>
        </is>
      </c>
      <c r="L334" s="6" t="inlineStr">
        <is>
          <t>CMJ1</t>
        </is>
      </c>
      <c r="M334" s="6" t="inlineStr">
        <is>
          <t>CMJ2</t>
        </is>
      </c>
      <c r="N334" s="6" t="inlineStr">
        <is>
          <t>CMJ3</t>
        </is>
      </c>
      <c r="O334" s="6" t="inlineStr">
        <is>
          <t>CMJμ</t>
        </is>
      </c>
      <c r="P334" s="6" t="inlineStr">
        <is>
          <t>&lt;95%</t>
        </is>
      </c>
      <c r="Q334" s="6" t="inlineStr">
        <is>
          <t>减组</t>
        </is>
      </c>
      <c r="R334" s="6" t="inlineStr">
        <is>
          <t>组数</t>
        </is>
      </c>
      <c r="S334" s="6" t="inlineStr">
        <is>
          <t>a(V0)</t>
        </is>
      </c>
      <c r="T334" s="6" t="inlineStr">
        <is>
          <t>b</t>
        </is>
      </c>
      <c r="U334" s="6" t="inlineStr">
        <is>
          <t>等级</t>
        </is>
      </c>
      <c r="V334" s="6" t="inlineStr">
        <is>
          <t>预测起始</t>
        </is>
      </c>
    </row>
    <row r="335">
      <c r="A335" s="7" t="inlineStr">
        <is>
          <t>P009</t>
        </is>
      </c>
      <c r="B335" s="7" t="inlineStr">
        <is>
          <t>王宏池</t>
        </is>
      </c>
      <c r="C335" s="7" t="n">
        <v>185</v>
      </c>
      <c r="D335" s="8" t="n">
        <v>135</v>
      </c>
      <c r="E335" s="9" t="n"/>
      <c r="F335" s="9" t="n"/>
      <c r="G335" s="9" t="n"/>
      <c r="H335" s="9" t="n"/>
      <c r="I335" s="7">
        <f>IFERROR(SUM(E335:H335),"")</f>
        <v/>
      </c>
      <c r="J335" s="9" t="n"/>
      <c r="K335" s="9" t="n"/>
      <c r="L335" s="9" t="n"/>
      <c r="M335" s="9" t="n"/>
      <c r="N335" s="9" t="n"/>
      <c r="O335" s="7">
        <f>IFERROR(AVERAGE(L335:N335),"")</f>
        <v/>
      </c>
      <c r="P335" s="7">
        <f>IF(O335="","",IF(O335&lt;54.27,"是⚠","否"))</f>
        <v/>
      </c>
      <c r="Q335" s="7">
        <f>IF(O335="","",IF(O335&lt;54.27,3-1,3))</f>
        <v/>
      </c>
      <c r="R335" s="7" t="n"/>
      <c r="S335" s="8" t="n">
        <v>1.567</v>
      </c>
      <c r="T335" s="8" t="n">
        <v>-0.008500000000000001</v>
      </c>
      <c r="U335" s="7" t="inlineStr">
        <is>
          <t>B</t>
        </is>
      </c>
      <c r="V335" s="8" t="n">
        <v>95</v>
      </c>
    </row>
    <row r="336">
      <c r="A336" s="10" t="inlineStr">
        <is>
          <t>热身校准</t>
        </is>
      </c>
      <c r="B336" s="10" t="inlineStr">
        <is>
          <t>a</t>
        </is>
      </c>
      <c r="C336" s="10" t="inlineStr">
        <is>
          <t>b</t>
        </is>
      </c>
      <c r="D336" s="10" t="inlineStr">
        <is>
          <t>50%热身</t>
        </is>
      </c>
      <c r="E336" s="10" t="inlineStr">
        <is>
          <t>70%热身</t>
        </is>
      </c>
      <c r="F336" s="10" t="inlineStr">
        <is>
          <t>热身负荷</t>
        </is>
      </c>
      <c r="G336" s="10" t="inlineStr">
        <is>
          <t>实测MCV</t>
        </is>
      </c>
      <c r="H336" s="10" t="inlineStr">
        <is>
          <t>预测MCV</t>
        </is>
      </c>
      <c r="I336" s="10" t="inlineStr">
        <is>
          <t>Δv</t>
        </is>
      </c>
      <c r="J336" s="10" t="inlineStr">
        <is>
          <t>调整量</t>
        </is>
      </c>
      <c r="K336" s="10" t="inlineStr">
        <is>
          <t>校准第1组</t>
        </is>
      </c>
    </row>
    <row r="337">
      <c r="A337" s="7" t="n"/>
      <c r="B337" s="11" t="n">
        <v>1.567</v>
      </c>
      <c r="C337" s="11" t="n">
        <v>-0.008500000000000001</v>
      </c>
      <c r="D337" s="11">
        <f>IFERROR(ROUND(V335*0.5/2.5,0)*2.5,"")</f>
        <v/>
      </c>
      <c r="E337" s="11" t="inlineStr"/>
      <c r="F337" s="11">
        <f>IFERROR(ROUND(V335*0.5/2.5,0)*2.5,"")</f>
        <v/>
      </c>
      <c r="G337" s="9" t="n"/>
      <c r="H337" s="11">
        <f>IFERROR(B337+C337*F337,"")</f>
        <v/>
      </c>
      <c r="I337" s="11">
        <f>IFERROR(G337-H337,"")</f>
        <v/>
      </c>
      <c r="J337" s="11">
        <f>IFERROR(IF(I337&gt;0.08,5,IF(I337&gt;0.04,2.5,IF(I337&gt;=-0.04,0,IF(I337&gt;=-0.08,-2.5,-5)))),"")</f>
        <v/>
      </c>
      <c r="K337" s="11">
        <f>IFERROR(ROUND(V335+J337,0),"")</f>
        <v/>
      </c>
    </row>
    <row r="338">
      <c r="A338" s="12" t="inlineStr">
        <is>
          <t>组</t>
        </is>
      </c>
      <c r="B338" s="12" t="inlineStr">
        <is>
          <t>负荷</t>
        </is>
      </c>
      <c r="C338" s="12" t="inlineStr">
        <is>
          <t>rep1</t>
        </is>
      </c>
      <c r="D338" s="12" t="inlineStr">
        <is>
          <t>rep2</t>
        </is>
      </c>
      <c r="E338" s="12" t="inlineStr">
        <is>
          <t>rep3</t>
        </is>
      </c>
      <c r="F338" s="12" t="inlineStr">
        <is>
          <t>rep4</t>
        </is>
      </c>
      <c r="G338" s="12" t="inlineStr">
        <is>
          <t>rep5</t>
        </is>
      </c>
      <c r="H338" s="12" t="inlineStr">
        <is>
          <t>rep6</t>
        </is>
      </c>
      <c r="I338" s="12" t="inlineStr">
        <is>
          <t>best</t>
        </is>
      </c>
      <c r="J338" s="12" t="inlineStr">
        <is>
          <t>best#</t>
        </is>
      </c>
      <c r="K338" s="12" t="inlineStr">
        <is>
          <t>VL%</t>
        </is>
      </c>
      <c r="L338" s="12" t="inlineStr">
        <is>
          <t>stop_th</t>
        </is>
      </c>
      <c r="M338" s="12" t="inlineStr">
        <is>
          <t>latest</t>
        </is>
      </c>
      <c r="N338" s="12" t="inlineStr">
        <is>
          <t>VL_flag</t>
        </is>
      </c>
      <c r="O338" s="12" t="inlineStr">
        <is>
          <t>safety</t>
        </is>
      </c>
      <c r="P338" s="12" t="inlineStr">
        <is>
          <t>原因</t>
        </is>
      </c>
      <c r="Q338" s="12" t="inlineStr">
        <is>
          <t>建议</t>
        </is>
      </c>
      <c r="R338" s="12" t="inlineStr">
        <is>
          <t>次数</t>
        </is>
      </c>
    </row>
    <row r="339">
      <c r="A339" s="7" t="n">
        <v>1</v>
      </c>
      <c r="B339" s="9">
        <f>IFERROR(K337,"")</f>
        <v/>
      </c>
      <c r="C339" s="9" t="n"/>
      <c r="D339" s="9" t="n"/>
      <c r="E339" s="9" t="n"/>
      <c r="F339" s="9" t="n"/>
      <c r="G339" s="9" t="n"/>
      <c r="H339" s="9" t="n"/>
      <c r="I339" s="7">
        <f>IFERROR(MAX(C339:H339),"")</f>
        <v/>
      </c>
      <c r="J339" s="7">
        <f>IFERROR(MATCH(I339,C339:H339,0),"")</f>
        <v/>
      </c>
      <c r="K339" s="7" t="n">
        <v>10</v>
      </c>
      <c r="L339" s="7">
        <f>IFERROR(I339*(1-(K339/100)),"")</f>
        <v/>
      </c>
      <c r="M339" s="7">
        <f>IFERROR(LOOKUP(9.99E+307,C339:H339),"")</f>
        <v/>
      </c>
      <c r="N339" s="7">
        <f>IFERROR(IF(M339="","",IF(M339&lt;=N339,"停组🛑","继续✓")),"")</f>
        <v/>
      </c>
      <c r="O339" s="7">
        <f>IFERROR(IF(M339="","",IF(M339&lt;0.15,"SAFETY_STOP","")),"")</f>
        <v/>
      </c>
      <c r="P339" s="7">
        <f>IFERROR(IF(M339="","",IF(M339&lt;0.15,"SAFETY_STOP",IF(M339&lt;=N339,"VL_THRESHOLD",""))),"")</f>
        <v/>
      </c>
      <c r="Q339" s="7">
        <f>IFERROR(IF(I339="","",IF(I339&gt;(0.75+0.05),"+5kg",IF(I339&gt;(0.75+0.02),"+2.5kg",IF(I339&gt;=(0.75-0.05),"保持",IF(I339&gt;=(0.75-0.08),"-2.5kg","-5kg"))))),"")</f>
        <v/>
      </c>
      <c r="R339" s="9" t="n"/>
    </row>
    <row r="340">
      <c r="A340" s="7" t="n">
        <v>2</v>
      </c>
      <c r="B340" s="9" t="n"/>
      <c r="C340" s="9" t="n"/>
      <c r="D340" s="9" t="n"/>
      <c r="E340" s="9" t="n"/>
      <c r="F340" s="9" t="n"/>
      <c r="G340" s="9" t="n"/>
      <c r="H340" s="9" t="n"/>
      <c r="I340" s="7">
        <f>IFERROR(MAX(C340:H340),"")</f>
        <v/>
      </c>
      <c r="J340" s="7">
        <f>IFERROR(MATCH(I340,C340:H340,0),"")</f>
        <v/>
      </c>
      <c r="K340" s="7" t="n">
        <v>10</v>
      </c>
      <c r="L340" s="7">
        <f>IFERROR(I340*(1-(K340/100)),"")</f>
        <v/>
      </c>
      <c r="M340" s="7">
        <f>IFERROR(LOOKUP(9.99E+307,C340:H340),"")</f>
        <v/>
      </c>
      <c r="N340" s="7">
        <f>IFERROR(IF(M340="","",IF(M340&lt;=N340,"停组🛑","继续✓")),"")</f>
        <v/>
      </c>
      <c r="O340" s="7">
        <f>IFERROR(IF(M340="","",IF(M340&lt;0.15,"SAFETY_STOP","")),"")</f>
        <v/>
      </c>
      <c r="P340" s="7">
        <f>IFERROR(IF(M340="","",IF(M340&lt;0.15,"SAFETY_STOP",IF(M340&lt;=N340,"VL_THRESHOLD",""))),"")</f>
        <v/>
      </c>
      <c r="Q340" s="7">
        <f>IFERROR(IF(I340="","",IF(I340&gt;(0.75+0.05),"+5kg",IF(I340&gt;(0.75+0.02),"+2.5kg",IF(I340&gt;=(0.75-0.05),"保持",IF(I340&gt;=(0.75-0.08),"-2.5kg","-5kg"))))),"")</f>
        <v/>
      </c>
      <c r="R340" s="9" t="n"/>
    </row>
    <row r="341">
      <c r="A341" s="7" t="n">
        <v>3</v>
      </c>
      <c r="B341" s="9" t="n"/>
      <c r="C341" s="9" t="n"/>
      <c r="D341" s="9" t="n"/>
      <c r="E341" s="9" t="n"/>
      <c r="F341" s="9" t="n"/>
      <c r="G341" s="9" t="n"/>
      <c r="H341" s="9" t="n"/>
      <c r="I341" s="7">
        <f>IFERROR(MAX(C341:H341),"")</f>
        <v/>
      </c>
      <c r="J341" s="7">
        <f>IFERROR(MATCH(I341,C341:H341,0),"")</f>
        <v/>
      </c>
      <c r="K341" s="7" t="n">
        <v>10</v>
      </c>
      <c r="L341" s="7">
        <f>IFERROR(I341*(1-(K341/100)),"")</f>
        <v/>
      </c>
      <c r="M341" s="7">
        <f>IFERROR(LOOKUP(9.99E+307,C341:H341),"")</f>
        <v/>
      </c>
      <c r="N341" s="7">
        <f>IFERROR(IF(M341="","",IF(M341&lt;=N341,"停组🛑","继续✓")),"")</f>
        <v/>
      </c>
      <c r="O341" s="7">
        <f>IFERROR(IF(M341="","",IF(M341&lt;0.15,"SAFETY_STOP","")),"")</f>
        <v/>
      </c>
      <c r="P341" s="7">
        <f>IFERROR(IF(M341="","",IF(M341&lt;0.15,"SAFETY_STOP",IF(M341&lt;=N341,"VL_THRESHOLD",""))),"")</f>
        <v/>
      </c>
      <c r="Q341" s="7">
        <f>IFERROR(IF(I341="","",IF(I341&gt;(0.75+0.05),"+5kg",IF(I341&gt;(0.75+0.02),"+2.5kg",IF(I341&gt;=(0.75-0.05),"保持",IF(I341&gt;=(0.75-0.08),"-2.5kg","-5kg"))))),"")</f>
        <v/>
      </c>
      <c r="R341" s="9" t="n"/>
    </row>
    <row r="342">
      <c r="A342" s="7" t="n">
        <v>4</v>
      </c>
      <c r="B342" s="9" t="n"/>
      <c r="C342" s="9" t="n"/>
      <c r="D342" s="9" t="n"/>
      <c r="E342" s="9" t="n"/>
      <c r="F342" s="9" t="n"/>
      <c r="G342" s="9" t="n"/>
      <c r="H342" s="9" t="n"/>
      <c r="I342" s="7">
        <f>IFERROR(MAX(C342:H342),"")</f>
        <v/>
      </c>
      <c r="J342" s="7">
        <f>IFERROR(MATCH(I342,C342:H342,0),"")</f>
        <v/>
      </c>
      <c r="K342" s="7" t="n">
        <v>10</v>
      </c>
      <c r="L342" s="7">
        <f>IFERROR(I342*(1-(K342/100)),"")</f>
        <v/>
      </c>
      <c r="M342" s="7">
        <f>IFERROR(LOOKUP(9.99E+307,C342:H342),"")</f>
        <v/>
      </c>
      <c r="N342" s="7">
        <f>IFERROR(IF(M342="","",IF(M342&lt;=N342,"停组🛑","继续✓")),"")</f>
        <v/>
      </c>
      <c r="O342" s="7">
        <f>IFERROR(IF(M342="","",IF(M342&lt;0.15,"SAFETY_STOP","")),"")</f>
        <v/>
      </c>
      <c r="P342" s="7">
        <f>IFERROR(IF(M342="","",IF(M342&lt;0.15,"SAFETY_STOP",IF(M342&lt;=N342,"VL_THRESHOLD",""))),"")</f>
        <v/>
      </c>
      <c r="Q342" s="7">
        <f>IFERROR(IF(I342="","",IF(I342&gt;(0.75+0.05),"+5kg",IF(I342&gt;(0.75+0.02),"+2.5kg",IF(I342&gt;=(0.75-0.05),"保持",IF(I342&gt;=(0.75-0.08),"-2.5kg","-5kg"))))),"")</f>
        <v/>
      </c>
      <c r="R342" s="9" t="n"/>
    </row>
    <row r="343">
      <c r="A343" s="7" t="n">
        <v>5</v>
      </c>
      <c r="B343" s="9" t="n"/>
      <c r="C343" s="9" t="n"/>
      <c r="D343" s="9" t="n"/>
      <c r="E343" s="9" t="n"/>
      <c r="F343" s="9" t="n"/>
      <c r="G343" s="9" t="n"/>
      <c r="H343" s="9" t="n"/>
      <c r="I343" s="7">
        <f>IFERROR(MAX(C343:H343),"")</f>
        <v/>
      </c>
      <c r="J343" s="7">
        <f>IFERROR(MATCH(I343,C343:H343,0),"")</f>
        <v/>
      </c>
      <c r="K343" s="7" t="n">
        <v>10</v>
      </c>
      <c r="L343" s="7">
        <f>IFERROR(I343*(1-(K343/100)),"")</f>
        <v/>
      </c>
      <c r="M343" s="7">
        <f>IFERROR(LOOKUP(9.99E+307,C343:H343),"")</f>
        <v/>
      </c>
      <c r="N343" s="7">
        <f>IFERROR(IF(M343="","",IF(M343&lt;=N343,"停组🛑","继续✓")),"")</f>
        <v/>
      </c>
      <c r="O343" s="7">
        <f>IFERROR(IF(M343="","",IF(M343&lt;0.15,"SAFETY_STOP","")),"")</f>
        <v/>
      </c>
      <c r="P343" s="7">
        <f>IFERROR(IF(M343="","",IF(M343&lt;0.15,"SAFETY_STOP",IF(M343&lt;=N343,"VL_THRESHOLD",""))),"")</f>
        <v/>
      </c>
      <c r="Q343" s="7">
        <f>IFERROR(IF(I343="","",IF(I343&gt;(0.75+0.05),"+5kg",IF(I343&gt;(0.75+0.02),"+2.5kg",IF(I343&gt;=(0.75-0.05),"保持",IF(I343&gt;=(0.75-0.08),"-2.5kg","-5kg"))))),"")</f>
        <v/>
      </c>
      <c r="R343" s="9" t="n"/>
    </row>
    <row r="344">
      <c r="A344" s="7" t="n">
        <v>6</v>
      </c>
      <c r="B344" s="9" t="n"/>
      <c r="C344" s="9" t="n"/>
      <c r="D344" s="9" t="n"/>
      <c r="E344" s="9" t="n"/>
      <c r="F344" s="9" t="n"/>
      <c r="G344" s="9" t="n"/>
      <c r="H344" s="9" t="n"/>
      <c r="I344" s="7">
        <f>IFERROR(MAX(C344:H344),"")</f>
        <v/>
      </c>
      <c r="J344" s="7">
        <f>IFERROR(MATCH(I344,C344:H344,0),"")</f>
        <v/>
      </c>
      <c r="K344" s="7" t="n">
        <v>10</v>
      </c>
      <c r="L344" s="7">
        <f>IFERROR(I344*(1-(K344/100)),"")</f>
        <v/>
      </c>
      <c r="M344" s="7">
        <f>IFERROR(LOOKUP(9.99E+307,C344:H344),"")</f>
        <v/>
      </c>
      <c r="N344" s="7">
        <f>IFERROR(IF(M344="","",IF(M344&lt;=N344,"停组🛑","继续✓")),"")</f>
        <v/>
      </c>
      <c r="O344" s="7">
        <f>IFERROR(IF(M344="","",IF(M344&lt;0.15,"SAFETY_STOP","")),"")</f>
        <v/>
      </c>
      <c r="P344" s="7">
        <f>IFERROR(IF(M344="","",IF(M344&lt;0.15,"SAFETY_STOP",IF(M344&lt;=N344,"VL_THRESHOLD",""))),"")</f>
        <v/>
      </c>
      <c r="Q344" s="7">
        <f>IFERROR(IF(I344="","",IF(I344&gt;(0.75+0.05),"+5kg",IF(I344&gt;(0.75+0.02),"+2.5kg",IF(I344&gt;=(0.75-0.05),"保持",IF(I344&gt;=(0.75-0.08),"-2.5kg","-5kg"))))),"")</f>
        <v/>
      </c>
      <c r="R344" s="9" t="n"/>
    </row>
    <row r="345">
      <c r="A345" s="13" t="inlineStr">
        <is>
          <t>辅助</t>
        </is>
      </c>
      <c r="D345" s="14" t="inlineStr">
        <is>
          <t>保加利亚单腿蹲</t>
        </is>
      </c>
      <c r="E345" s="14" t="inlineStr">
        <is>
          <t>负荷</t>
        </is>
      </c>
      <c r="F345" s="14" t="inlineStr">
        <is>
          <t>完成</t>
        </is>
      </c>
      <c r="I345" t="inlineStr">
        <is>
          <t>VL</t>
        </is>
      </c>
    </row>
    <row r="346">
      <c r="A346" s="15" t="inlineStr">
        <is>
          <t>训练后</t>
        </is>
      </c>
      <c r="B346" s="15" t="inlineStr">
        <is>
          <t>开始</t>
        </is>
      </c>
      <c r="C346" s="15" t="inlineStr">
        <is>
          <t>结束</t>
        </is>
      </c>
      <c r="D346" s="15" t="inlineStr">
        <is>
          <t>时长min</t>
        </is>
      </c>
      <c r="E346" s="15" t="inlineStr">
        <is>
          <t>sRPE</t>
        </is>
      </c>
      <c r="F346" s="15" t="inlineStr">
        <is>
          <t>load</t>
        </is>
      </c>
      <c r="G346" s="15" t="inlineStr">
        <is>
          <t>不适?</t>
        </is>
      </c>
      <c r="H346" s="15" t="inlineStr">
        <is>
          <t>备注</t>
        </is>
      </c>
      <c r="I346" s="15" t="inlineStr">
        <is>
          <t>签名</t>
        </is>
      </c>
    </row>
    <row r="347">
      <c r="A347" s="7" t="n"/>
      <c r="B347" s="9" t="n"/>
      <c r="C347" s="9" t="n"/>
      <c r="D347" s="11">
        <f>IFERROR((C347-B347)*1440,"")</f>
        <v/>
      </c>
      <c r="E347" s="9" t="n"/>
      <c r="F347" s="11">
        <f>IFERROR(E347*D347,"")</f>
        <v/>
      </c>
      <c r="G347" s="9" t="n"/>
      <c r="H347" s="9" t="n"/>
      <c r="I347" s="9" t="n"/>
    </row>
    <row r="348">
      <c r="A348" s="16" t="inlineStr">
        <is>
          <t>跳跃</t>
        </is>
      </c>
      <c r="B348" s="16" t="inlineStr">
        <is>
          <t>类型</t>
        </is>
      </c>
      <c r="C348" s="16" t="inlineStr">
        <is>
          <t>组×次</t>
        </is>
      </c>
      <c r="D348" s="16" t="inlineStr">
        <is>
          <t>负荷kg</t>
        </is>
      </c>
      <c r="E348" s="16" t="inlineStr">
        <is>
          <t>接触</t>
        </is>
      </c>
    </row>
    <row r="349">
      <c r="B349" t="inlineStr">
        <is>
          <t>SJ</t>
        </is>
      </c>
      <c r="C349" t="inlineStr">
        <is>
          <t>2×3</t>
        </is>
      </c>
      <c r="D349" t="n">
        <v>0</v>
      </c>
      <c r="E349" t="n">
        <v>6</v>
      </c>
    </row>
    <row r="350">
      <c r="B350" t="inlineStr">
        <is>
          <t>负重跳</t>
        </is>
      </c>
      <c r="C350" t="inlineStr">
        <is>
          <t>2×4</t>
        </is>
      </c>
      <c r="D350" s="14" t="n"/>
      <c r="E350" s="14" t="n"/>
    </row>
    <row r="351">
      <c r="A351" s="17" t="inlineStr">
        <is>
          <t>▶ 暴露量汇总</t>
        </is>
      </c>
      <c r="B351" s="17" t="inlineStr">
        <is>
          <t>说明</t>
        </is>
      </c>
      <c r="C351" s="17" t="inlineStr">
        <is>
          <t>公式/来源</t>
        </is>
      </c>
      <c r="D351" s="17" t="inlineStr">
        <is>
          <t>数值</t>
        </is>
      </c>
    </row>
    <row r="352">
      <c r="A352" s="18" t="inlineStr">
        <is>
          <t>① 无负荷跳跃接触</t>
        </is>
      </c>
      <c r="B352" s="18" t="inlineStr">
        <is>
          <t>CMJ+SJ+箱跳</t>
        </is>
      </c>
      <c r="C352" s="19">
        <f>IFERROR(E349+E350,2)</f>
        <v/>
      </c>
    </row>
    <row r="353">
      <c r="A353" s="18" t="inlineStr">
        <is>
          <t>② 负重跳跃接触</t>
        </is>
      </c>
      <c r="B353" s="18" t="inlineStr">
        <is>
          <t>负重深蹲跳</t>
        </is>
      </c>
      <c r="C353" s="19">
        <f>IFERROR(E350,"")</f>
        <v/>
      </c>
    </row>
    <row r="354">
      <c r="A354" s="18" t="inlineStr">
        <is>
          <t>③ 跳跃总计</t>
        </is>
      </c>
      <c r="B354" s="18" t="inlineStr">
        <is>
          <t>①+②</t>
        </is>
      </c>
      <c r="C354" s="19">
        <f>IFERROR(B352+B353,"")</f>
        <v/>
      </c>
    </row>
    <row r="355">
      <c r="A355" s="18" t="inlineStr">
        <is>
          <t>④ 热身VL</t>
        </is>
      </c>
      <c r="B355" s="18" t="inlineStr">
        <is>
          <t>20×5+50%×3(+70%×2)</t>
        </is>
      </c>
      <c r="C355" s="19">
        <f>IFERROR(20*5+ROUND(V335*0.5,0)*3,"-")</f>
        <v/>
      </c>
    </row>
    <row r="356">
      <c r="A356" s="20" t="inlineStr">
        <is>
          <t>⑤ 主项工作组VL ★</t>
        </is>
      </c>
      <c r="B356" s="20" t="inlineStr">
        <is>
          <t>Σ(负荷×次数)</t>
        </is>
      </c>
      <c r="C356" s="21">
        <f>SUMPRODUCT($B$339:$B$344,$R$339:$R$344)</f>
        <v/>
      </c>
    </row>
    <row r="357">
      <c r="A357" s="18" t="inlineStr">
        <is>
          <t>⑥ 主项总VL</t>
        </is>
      </c>
      <c r="B357" s="18" t="inlineStr">
        <is>
          <t>④+⑤</t>
        </is>
      </c>
      <c r="C357" s="19">
        <f>IFERROR(D352+D353,"")</f>
        <v/>
      </c>
    </row>
    <row r="358">
      <c r="A358" s="18" t="inlineStr">
        <is>
          <t>⑦ 辅助VL</t>
        </is>
      </c>
      <c r="B358" s="18" t="inlineStr">
        <is>
          <t>RDL/保加利亚</t>
        </is>
      </c>
      <c r="C358" s="19">
        <f>IFERROR(I345,"")</f>
        <v/>
      </c>
    </row>
    <row r="359">
      <c r="A359" s="18" t="inlineStr">
        <is>
          <t>⑧ 总外部负荷</t>
        </is>
      </c>
      <c r="B359" s="18" t="inlineStr">
        <is>
          <t>⑥+⑦(+负重跳)</t>
        </is>
      </c>
      <c r="C359" s="19">
        <f>IFERROR(F352+G352,"")</f>
        <v/>
      </c>
    </row>
    <row r="360">
      <c r="A360" s="18" t="inlineStr">
        <is>
          <t>⑨ sRPE load</t>
        </is>
      </c>
      <c r="B360" s="18" t="inlineStr">
        <is>
          <t>sRPE×时长</t>
        </is>
      </c>
      <c r="C360" s="19">
        <f>IFERROR(F347,"")</f>
        <v/>
      </c>
    </row>
  </sheetData>
  <mergeCells count="25">
    <mergeCell ref="A213:V213"/>
    <mergeCell ref="A255:C255"/>
    <mergeCell ref="A33:V33"/>
    <mergeCell ref="A75:C75"/>
    <mergeCell ref="A303:V303"/>
    <mergeCell ref="A105:C105"/>
    <mergeCell ref="A285:C285"/>
    <mergeCell ref="A333:V333"/>
    <mergeCell ref="A195:C195"/>
    <mergeCell ref="A63:V63"/>
    <mergeCell ref="A93:V93"/>
    <mergeCell ref="A135:C135"/>
    <mergeCell ref="A165:C165"/>
    <mergeCell ref="A1:V1"/>
    <mergeCell ref="A123:V123"/>
    <mergeCell ref="A153:V153"/>
    <mergeCell ref="A15:C15"/>
    <mergeCell ref="A243:V243"/>
    <mergeCell ref="A183:V183"/>
    <mergeCell ref="A225:C225"/>
    <mergeCell ref="A45:C45"/>
    <mergeCell ref="A273:V273"/>
    <mergeCell ref="A315:C315"/>
    <mergeCell ref="A3:V3"/>
    <mergeCell ref="A345:C34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编号</t>
        </is>
      </c>
      <c r="B1" s="6" t="inlineStr">
        <is>
          <t>姓名</t>
        </is>
      </c>
      <c r="C1" s="6" t="inlineStr">
        <is>
          <t>身高</t>
        </is>
      </c>
      <c r="D1" s="6" t="inlineStr">
        <is>
          <t>体重</t>
        </is>
      </c>
      <c r="E1" s="6" t="inlineStr">
        <is>
          <t>1RM</t>
        </is>
      </c>
      <c r="F1" s="6" t="inlineStr">
        <is>
          <t>rel</t>
        </is>
      </c>
      <c r="G1" s="6" t="inlineStr">
        <is>
          <t>纳入</t>
        </is>
      </c>
      <c r="H1" s="6" t="inlineStr">
        <is>
          <t>分层</t>
        </is>
      </c>
      <c r="I1" s="6" t="inlineStr">
        <is>
          <t>备注</t>
        </is>
      </c>
    </row>
    <row r="2">
      <c r="A2" s="22" t="inlineStr">
        <is>
          <t>P001</t>
        </is>
      </c>
      <c r="B2" s="22" t="inlineStr">
        <is>
          <t>陈骏</t>
        </is>
      </c>
      <c r="C2" s="22" t="n">
        <v>174</v>
      </c>
      <c r="D2" s="22" t="n">
        <v>67.7</v>
      </c>
      <c r="E2" s="22" t="n">
        <v>120</v>
      </c>
      <c r="F2" s="22" t="n">
        <v>1.773</v>
      </c>
      <c r="G2" s="22" t="inlineStr">
        <is>
          <t>Y</t>
        </is>
      </c>
      <c r="H2" s="22" t="inlineStr">
        <is>
          <t>高</t>
        </is>
      </c>
      <c r="I2" s="22" t="n"/>
    </row>
    <row r="3">
      <c r="A3" s="22" t="inlineStr">
        <is>
          <t>P002</t>
        </is>
      </c>
      <c r="B3" s="22" t="inlineStr">
        <is>
          <t>何天元</t>
        </is>
      </c>
      <c r="C3" s="22" t="n">
        <v>178</v>
      </c>
      <c r="D3" s="22" t="n">
        <v>82.40000000000001</v>
      </c>
      <c r="E3" s="22" t="n">
        <v>150</v>
      </c>
      <c r="F3" s="22" t="n">
        <v>1.82</v>
      </c>
      <c r="G3" s="22" t="inlineStr">
        <is>
          <t>Y</t>
        </is>
      </c>
      <c r="H3" s="22" t="inlineStr">
        <is>
          <t>高</t>
        </is>
      </c>
      <c r="I3" s="22" t="n"/>
    </row>
    <row r="4">
      <c r="A4" s="22" t="inlineStr">
        <is>
          <t>P003</t>
        </is>
      </c>
      <c r="B4" s="22" t="inlineStr">
        <is>
          <t>余锋友</t>
        </is>
      </c>
      <c r="C4" s="22" t="n">
        <v>175.5</v>
      </c>
      <c r="D4" s="22" t="n">
        <v>64.8</v>
      </c>
      <c r="E4" s="22" t="n">
        <v>115</v>
      </c>
      <c r="F4" s="22" t="n">
        <v>1.775</v>
      </c>
      <c r="G4" s="22" t="inlineStr">
        <is>
          <t>Y</t>
        </is>
      </c>
      <c r="H4" s="22" t="inlineStr">
        <is>
          <t>高</t>
        </is>
      </c>
      <c r="I4" s="22" t="n"/>
    </row>
    <row r="5">
      <c r="A5" s="22" t="inlineStr">
        <is>
          <t>P004</t>
        </is>
      </c>
      <c r="B5" s="22" t="inlineStr">
        <is>
          <t>王慧宁</t>
        </is>
      </c>
      <c r="C5" s="22" t="n">
        <v>176</v>
      </c>
      <c r="D5" s="22" t="n">
        <v>77.59999999999999</v>
      </c>
      <c r="E5" s="22" t="n">
        <v>145</v>
      </c>
      <c r="F5" s="22" t="n">
        <v>1.869</v>
      </c>
      <c r="G5" s="22" t="inlineStr">
        <is>
          <t>Y</t>
        </is>
      </c>
      <c r="H5" s="22" t="inlineStr">
        <is>
          <t>高</t>
        </is>
      </c>
      <c r="I5" s="22" t="n"/>
    </row>
    <row r="6">
      <c r="A6" s="22" t="inlineStr">
        <is>
          <t>P005</t>
        </is>
      </c>
      <c r="B6" s="22" t="inlineStr">
        <is>
          <t>曾庆华</t>
        </is>
      </c>
      <c r="C6" s="22" t="n">
        <v>177</v>
      </c>
      <c r="D6" s="22" t="n">
        <v>77</v>
      </c>
      <c r="E6" s="22" t="n">
        <v>155</v>
      </c>
      <c r="F6" s="22" t="n">
        <v>2.013</v>
      </c>
      <c r="G6" s="22" t="inlineStr">
        <is>
          <t>Y</t>
        </is>
      </c>
      <c r="H6" s="22" t="inlineStr">
        <is>
          <t>高</t>
        </is>
      </c>
      <c r="I6" s="22" t="n"/>
    </row>
    <row r="7">
      <c r="A7" s="22" t="inlineStr">
        <is>
          <t>P006</t>
        </is>
      </c>
      <c r="B7" s="22" t="inlineStr">
        <is>
          <t>陈镕垚</t>
        </is>
      </c>
      <c r="C7" s="22" t="n">
        <v>181</v>
      </c>
      <c r="D7" s="22" t="n">
        <v>81.40000000000001</v>
      </c>
      <c r="E7" s="22" t="n">
        <v>145</v>
      </c>
      <c r="F7" s="22" t="n">
        <v>1.781</v>
      </c>
      <c r="G7" s="22" t="inlineStr">
        <is>
          <t>Y</t>
        </is>
      </c>
      <c r="H7" s="22" t="inlineStr">
        <is>
          <t>高</t>
        </is>
      </c>
      <c r="I7" s="22" t="n"/>
    </row>
    <row r="8">
      <c r="A8" s="22" t="inlineStr">
        <is>
          <t>P007</t>
        </is>
      </c>
      <c r="B8" s="22" t="inlineStr">
        <is>
          <t>陈鑫</t>
        </is>
      </c>
      <c r="C8" s="22" t="n">
        <v>173</v>
      </c>
      <c r="D8" s="22" t="n">
        <v>59.4</v>
      </c>
      <c r="E8" s="22" t="n">
        <v>110</v>
      </c>
      <c r="F8" s="22" t="n">
        <v>1.852</v>
      </c>
      <c r="G8" s="22" t="inlineStr">
        <is>
          <t>Y</t>
        </is>
      </c>
      <c r="H8" s="22" t="inlineStr">
        <is>
          <t>高</t>
        </is>
      </c>
      <c r="I8" s="22" t="n"/>
    </row>
    <row r="9">
      <c r="A9" s="22" t="inlineStr">
        <is>
          <t>P008</t>
        </is>
      </c>
      <c r="B9" s="22" t="inlineStr">
        <is>
          <t>马咏野</t>
        </is>
      </c>
      <c r="C9" s="22" t="n">
        <v>190</v>
      </c>
      <c r="D9" s="22" t="n">
        <v>88.3</v>
      </c>
      <c r="E9" s="22" t="n">
        <v>140</v>
      </c>
      <c r="F9" s="22" t="n">
        <v>1.586</v>
      </c>
      <c r="G9" s="22" t="inlineStr">
        <is>
          <t>Y</t>
        </is>
      </c>
      <c r="H9" s="22" t="inlineStr">
        <is>
          <t>中</t>
        </is>
      </c>
      <c r="I9" s="22" t="n"/>
    </row>
    <row r="10">
      <c r="A10" s="22" t="inlineStr">
        <is>
          <t>P009</t>
        </is>
      </c>
      <c r="B10" s="22" t="inlineStr">
        <is>
          <t>王宏池</t>
        </is>
      </c>
      <c r="C10" s="22" t="n">
        <v>185</v>
      </c>
      <c r="D10" s="22" t="n">
        <v>85.7</v>
      </c>
      <c r="E10" s="22" t="n">
        <v>135</v>
      </c>
      <c r="F10" s="22" t="n">
        <v>1.575</v>
      </c>
      <c r="G10" s="22" t="inlineStr">
        <is>
          <t>Y</t>
        </is>
      </c>
      <c r="H10" s="22" t="inlineStr">
        <is>
          <t>中</t>
        </is>
      </c>
      <c r="I10" s="22" t="n"/>
    </row>
    <row r="11">
      <c r="A11" s="22" t="inlineStr">
        <is>
          <t>P010</t>
        </is>
      </c>
      <c r="B11" s="22" t="inlineStr">
        <is>
          <t>张锦荣</t>
        </is>
      </c>
      <c r="C11" s="22" t="n">
        <v>174</v>
      </c>
      <c r="D11" s="22" t="n">
        <v>73</v>
      </c>
      <c r="E11" s="22" t="n">
        <v>120</v>
      </c>
      <c r="F11" s="22" t="n">
        <v>1.644</v>
      </c>
      <c r="G11" s="22" t="inlineStr">
        <is>
          <t>Y</t>
        </is>
      </c>
      <c r="H11" s="22" t="inlineStr">
        <is>
          <t>高</t>
        </is>
      </c>
      <c r="I11" s="22" t="n"/>
    </row>
    <row r="12">
      <c r="A12" s="22" t="inlineStr">
        <is>
          <t>P011</t>
        </is>
      </c>
      <c r="B12" s="22" t="inlineStr">
        <is>
          <t>朱怀远</t>
        </is>
      </c>
      <c r="C12" s="22" t="n">
        <v>165</v>
      </c>
      <c r="D12" s="22" t="n">
        <v>65</v>
      </c>
      <c r="E12" s="22" t="n">
        <v>125</v>
      </c>
      <c r="F12" s="22" t="n">
        <v>1.923</v>
      </c>
      <c r="G12" s="22" t="inlineStr">
        <is>
          <t>Y</t>
        </is>
      </c>
      <c r="H12" s="22" t="inlineStr">
        <is>
          <t>高</t>
        </is>
      </c>
      <c r="I12" s="22" t="n"/>
    </row>
    <row r="13">
      <c r="A13" s="22" t="inlineStr">
        <is>
          <t>P012</t>
        </is>
      </c>
      <c r="B13" s="22" t="inlineStr">
        <is>
          <t>李远熙</t>
        </is>
      </c>
      <c r="C13" s="22" t="n">
        <v>178</v>
      </c>
      <c r="D13" s="22" t="n">
        <v>70.40000000000001</v>
      </c>
      <c r="E13" s="22" t="n">
        <v>132.5</v>
      </c>
      <c r="F13" s="22" t="n">
        <v>1.882</v>
      </c>
      <c r="G13" s="22" t="inlineStr">
        <is>
          <t>Y</t>
        </is>
      </c>
      <c r="H13" s="22" t="inlineStr">
        <is>
          <t>高</t>
        </is>
      </c>
      <c r="I13" s="22" t="n"/>
    </row>
    <row r="14">
      <c r="A14" s="22" t="inlineStr">
        <is>
          <t>P013</t>
        </is>
      </c>
      <c r="B14" s="22" t="inlineStr">
        <is>
          <t>刘世灏</t>
        </is>
      </c>
      <c r="C14" s="22" t="n">
        <v>176</v>
      </c>
      <c r="D14" s="22" t="n">
        <v>76</v>
      </c>
      <c r="E14" s="22" t="n">
        <v>120</v>
      </c>
      <c r="F14" s="22" t="n">
        <v>1.579</v>
      </c>
      <c r="G14" s="22" t="inlineStr">
        <is>
          <t>Y</t>
        </is>
      </c>
      <c r="H14" s="22" t="inlineStr">
        <is>
          <t>中</t>
        </is>
      </c>
      <c r="I14" s="22" t="n"/>
    </row>
    <row r="15">
      <c r="A15" s="22" t="inlineStr">
        <is>
          <t>P014</t>
        </is>
      </c>
      <c r="B15" s="22" t="inlineStr">
        <is>
          <t>陶俊杰</t>
        </is>
      </c>
      <c r="C15" s="22" t="n">
        <v>170</v>
      </c>
      <c r="D15" s="22" t="n">
        <v>70</v>
      </c>
      <c r="E15" s="22" t="n"/>
      <c r="F15" s="22" t="n"/>
      <c r="G15" s="22" t="inlineStr">
        <is>
          <t>N</t>
        </is>
      </c>
      <c r="H15" s="22" t="inlineStr">
        <is>
          <t>中</t>
        </is>
      </c>
      <c r="I15" s="22" t="n"/>
    </row>
    <row r="16">
      <c r="A16" s="22" t="inlineStr">
        <is>
          <t>P015</t>
        </is>
      </c>
      <c r="B16" s="22" t="inlineStr">
        <is>
          <t>陈先栋</t>
        </is>
      </c>
      <c r="C16" s="22" t="n">
        <v>175</v>
      </c>
      <c r="D16" s="22" t="n">
        <v>75</v>
      </c>
      <c r="E16" s="22" t="n">
        <v>135</v>
      </c>
      <c r="F16" s="22" t="n">
        <v>1.8</v>
      </c>
      <c r="G16" s="22" t="inlineStr">
        <is>
          <t>Y</t>
        </is>
      </c>
      <c r="H16" s="22" t="inlineStr">
        <is>
          <t>高</t>
        </is>
      </c>
      <c r="I16" s="22" t="n"/>
    </row>
    <row r="17">
      <c r="A17" s="22" t="inlineStr">
        <is>
          <t>P016</t>
        </is>
      </c>
      <c r="B17" s="22" t="inlineStr">
        <is>
          <t>杜遥</t>
        </is>
      </c>
      <c r="C17" s="22" t="n">
        <v>180</v>
      </c>
      <c r="D17" s="22" t="n">
        <v>100</v>
      </c>
      <c r="E17" s="22" t="n">
        <v>135</v>
      </c>
      <c r="F17" s="22" t="n">
        <v>1.35</v>
      </c>
      <c r="G17" s="22" t="inlineStr">
        <is>
          <t>Y</t>
        </is>
      </c>
      <c r="H17" s="22" t="inlineStr">
        <is>
          <t>低</t>
        </is>
      </c>
      <c r="I17" s="22" t="n"/>
    </row>
    <row r="18">
      <c r="A18" s="22" t="inlineStr">
        <is>
          <t>P017</t>
        </is>
      </c>
      <c r="B18" s="22" t="inlineStr">
        <is>
          <t>林树志</t>
        </is>
      </c>
      <c r="C18" s="22" t="n">
        <v>172</v>
      </c>
      <c r="D18" s="22" t="n">
        <v>72</v>
      </c>
      <c r="E18" s="22" t="n"/>
      <c r="F18" s="22" t="n"/>
      <c r="G18" s="22" t="inlineStr">
        <is>
          <t>N</t>
        </is>
      </c>
      <c r="H18" s="22" t="inlineStr">
        <is>
          <t>中</t>
        </is>
      </c>
      <c r="I18" s="22" t="n"/>
    </row>
    <row r="19">
      <c r="A19" s="22" t="inlineStr">
        <is>
          <t>P018</t>
        </is>
      </c>
      <c r="B19" s="22" t="inlineStr">
        <is>
          <t>孟维宇</t>
        </is>
      </c>
      <c r="C19" s="22" t="n">
        <v>173</v>
      </c>
      <c r="D19" s="22" t="n">
        <v>75</v>
      </c>
      <c r="E19" s="22" t="n">
        <v>122.5</v>
      </c>
      <c r="F19" s="22" t="n">
        <v>1.633</v>
      </c>
      <c r="G19" s="22" t="inlineStr">
        <is>
          <t>Y</t>
        </is>
      </c>
      <c r="H19" s="22" t="inlineStr">
        <is>
          <t>高</t>
        </is>
      </c>
      <c r="I19" s="22" t="n"/>
    </row>
    <row r="20">
      <c r="A20" s="22" t="inlineStr">
        <is>
          <t>P019</t>
        </is>
      </c>
      <c r="B20" s="22" t="inlineStr">
        <is>
          <t>张陈生</t>
        </is>
      </c>
      <c r="C20" s="22" t="n">
        <v>175</v>
      </c>
      <c r="D20" s="22" t="n">
        <v>80</v>
      </c>
      <c r="E20" s="22" t="n"/>
      <c r="F20" s="22" t="n"/>
      <c r="G20" s="22" t="inlineStr">
        <is>
          <t>N</t>
        </is>
      </c>
      <c r="H20" s="22" t="inlineStr">
        <is>
          <t>中</t>
        </is>
      </c>
      <c r="I20" s="22" t="n"/>
    </row>
    <row r="21">
      <c r="A21" s="22" t="inlineStr">
        <is>
          <t>P020</t>
        </is>
      </c>
      <c r="B21" s="22" t="inlineStr">
        <is>
          <t>梁辉靖</t>
        </is>
      </c>
      <c r="C21" s="22" t="n">
        <v>170</v>
      </c>
      <c r="D21" s="22" t="n">
        <v>65</v>
      </c>
      <c r="E21" s="22" t="n"/>
      <c r="F21" s="22" t="n"/>
      <c r="G21" s="22" t="inlineStr">
        <is>
          <t>N</t>
        </is>
      </c>
      <c r="H21" s="22" t="inlineStr">
        <is>
          <t>中</t>
        </is>
      </c>
      <c r="I21" s="22" t="n"/>
    </row>
    <row r="22">
      <c r="A22" s="22" t="inlineStr">
        <is>
          <t>P021</t>
        </is>
      </c>
      <c r="B22" s="22" t="inlineStr">
        <is>
          <t>李浩然</t>
        </is>
      </c>
      <c r="C22" s="22" t="n">
        <v>172</v>
      </c>
      <c r="D22" s="22" t="n">
        <v>76.3</v>
      </c>
      <c r="E22" s="22" t="n">
        <v>110</v>
      </c>
      <c r="F22" s="22" t="n">
        <v>1.442</v>
      </c>
      <c r="G22" s="22" t="inlineStr">
        <is>
          <t>Y</t>
        </is>
      </c>
      <c r="H22" s="22" t="inlineStr">
        <is>
          <t>低</t>
        </is>
      </c>
      <c r="I22" s="22" t="n"/>
    </row>
    <row r="23">
      <c r="A23" s="22" t="inlineStr">
        <is>
          <t>P022</t>
        </is>
      </c>
      <c r="B23" s="22" t="inlineStr">
        <is>
          <t>卢狄</t>
        </is>
      </c>
      <c r="C23" s="22" t="n">
        <v>172</v>
      </c>
      <c r="D23" s="22" t="n">
        <v>72</v>
      </c>
      <c r="E23" s="22" t="n"/>
      <c r="F23" s="22" t="n"/>
      <c r="G23" s="22" t="inlineStr">
        <is>
          <t>N</t>
        </is>
      </c>
      <c r="H23" s="22" t="inlineStr">
        <is>
          <t>中</t>
        </is>
      </c>
      <c r="I23" s="22" t="n"/>
    </row>
    <row r="24">
      <c r="A24" s="22" t="inlineStr">
        <is>
          <t>P023</t>
        </is>
      </c>
      <c r="B24" s="22" t="inlineStr">
        <is>
          <t>杨子恒</t>
        </is>
      </c>
      <c r="C24" s="22" t="n">
        <v>181</v>
      </c>
      <c r="D24" s="22" t="n">
        <v>81.3</v>
      </c>
      <c r="E24" s="22" t="n">
        <v>170</v>
      </c>
      <c r="F24" s="22" t="n">
        <v>2.091</v>
      </c>
      <c r="G24" s="22" t="inlineStr">
        <is>
          <t>Y</t>
        </is>
      </c>
      <c r="H24" s="22" t="inlineStr">
        <is>
          <t>高</t>
        </is>
      </c>
      <c r="I24" s="22" t="n"/>
    </row>
    <row r="25">
      <c r="A25" s="22" t="inlineStr">
        <is>
          <t>P024</t>
        </is>
      </c>
      <c r="B25" s="22" t="inlineStr">
        <is>
          <t>黄天祺</t>
        </is>
      </c>
      <c r="C25" s="22" t="n">
        <v>175</v>
      </c>
      <c r="D25" s="22" t="n">
        <v>74.40000000000001</v>
      </c>
      <c r="E25" s="22" t="n">
        <v>130</v>
      </c>
      <c r="F25" s="22" t="n">
        <v>1.747</v>
      </c>
      <c r="G25" s="22" t="inlineStr">
        <is>
          <t>Y</t>
        </is>
      </c>
      <c r="H25" s="22" t="inlineStr">
        <is>
          <t>高</t>
        </is>
      </c>
      <c r="I25" s="22" t="n"/>
    </row>
    <row r="26">
      <c r="A26" s="22" t="inlineStr">
        <is>
          <t>P025</t>
        </is>
      </c>
      <c r="B26" s="22" t="inlineStr">
        <is>
          <t>范芳忠</t>
        </is>
      </c>
      <c r="C26" s="22" t="n">
        <v>178</v>
      </c>
      <c r="D26" s="22" t="n">
        <v>80.40000000000001</v>
      </c>
      <c r="E26" s="22" t="n">
        <v>135</v>
      </c>
      <c r="F26" s="22" t="n">
        <v>1.679</v>
      </c>
      <c r="G26" s="22" t="inlineStr">
        <is>
          <t>Y</t>
        </is>
      </c>
      <c r="H26" s="22" t="inlineStr">
        <is>
          <t>高</t>
        </is>
      </c>
      <c r="I26" s="22" t="n"/>
    </row>
    <row r="27">
      <c r="A27" s="22" t="inlineStr">
        <is>
          <t>P026</t>
        </is>
      </c>
      <c r="B27" s="22" t="inlineStr">
        <is>
          <t>古翔宇</t>
        </is>
      </c>
      <c r="C27" s="22" t="n">
        <v>180</v>
      </c>
      <c r="D27" s="22" t="n">
        <v>82.2</v>
      </c>
      <c r="E27" s="22" t="n">
        <v>135</v>
      </c>
      <c r="F27" s="22" t="n">
        <v>1.642</v>
      </c>
      <c r="G27" s="22" t="inlineStr">
        <is>
          <t>Y</t>
        </is>
      </c>
      <c r="H27" s="22" t="inlineStr">
        <is>
          <t>高</t>
        </is>
      </c>
      <c r="I27" s="2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编号</t>
        </is>
      </c>
      <c r="B1" s="6" t="inlineStr">
        <is>
          <t>姓名</t>
        </is>
      </c>
      <c r="C1" s="6" t="inlineStr">
        <is>
          <t>身高</t>
        </is>
      </c>
      <c r="D1" s="6" t="inlineStr">
        <is>
          <t>体重</t>
        </is>
      </c>
      <c r="E1" s="6" t="inlineStr">
        <is>
          <t>1RM</t>
        </is>
      </c>
      <c r="F1" s="6" t="inlineStr">
        <is>
          <t>rel</t>
        </is>
      </c>
      <c r="G1" s="6" t="inlineStr">
        <is>
          <t>CMJμ</t>
        </is>
      </c>
      <c r="H1" s="6" t="inlineStr">
        <is>
          <t>CMJ95</t>
        </is>
      </c>
      <c r="I1" s="6" t="inlineStr">
        <is>
          <t>SJμ</t>
        </is>
      </c>
      <c r="J1" s="6" t="inlineStr">
        <is>
          <t>LVP_a</t>
        </is>
      </c>
      <c r="K1" s="6" t="inlineStr">
        <is>
          <t>LVP_b</t>
        </is>
      </c>
      <c r="L1" s="6" t="inlineStr">
        <is>
          <t>等级</t>
        </is>
      </c>
    </row>
    <row r="2">
      <c r="A2" s="22" t="inlineStr">
        <is>
          <t>P001</t>
        </is>
      </c>
      <c r="B2" s="22" t="inlineStr">
        <is>
          <t>陈骏</t>
        </is>
      </c>
      <c r="C2" s="22" t="n">
        <v>174</v>
      </c>
      <c r="D2" s="22" t="n">
        <v>67.7</v>
      </c>
      <c r="E2" s="22" t="n">
        <v>120</v>
      </c>
      <c r="F2" s="22" t="n">
        <v>1.773</v>
      </c>
      <c r="G2" s="22" t="n">
        <v>58.64</v>
      </c>
      <c r="H2" s="22" t="n">
        <v>58.8</v>
      </c>
      <c r="I2" s="22" t="inlineStr">
        <is>
          <t>-</t>
        </is>
      </c>
      <c r="J2" s="22" t="n">
        <v>1.967</v>
      </c>
      <c r="K2" s="22" t="n">
        <v>-0.00748</v>
      </c>
      <c r="L2" s="22" t="inlineStr">
        <is>
          <t>D</t>
        </is>
      </c>
    </row>
    <row r="3">
      <c r="A3" s="22" t="inlineStr">
        <is>
          <t>P002</t>
        </is>
      </c>
      <c r="B3" s="22" t="inlineStr">
        <is>
          <t>何天元</t>
        </is>
      </c>
      <c r="C3" s="22" t="n">
        <v>178</v>
      </c>
      <c r="D3" s="22" t="n">
        <v>82.40000000000001</v>
      </c>
      <c r="E3" s="22" t="n">
        <v>150</v>
      </c>
      <c r="F3" s="22" t="n">
        <v>1.82</v>
      </c>
      <c r="G3" s="22" t="n">
        <v>60.54</v>
      </c>
      <c r="H3" s="22" t="n">
        <v>58.8</v>
      </c>
      <c r="I3" s="22" t="inlineStr">
        <is>
          <t>-</t>
        </is>
      </c>
      <c r="J3" s="22" t="n">
        <v>1.487</v>
      </c>
      <c r="K3" s="22" t="n">
        <v>-0.0054</v>
      </c>
      <c r="L3" s="22" t="inlineStr">
        <is>
          <t>B</t>
        </is>
      </c>
    </row>
    <row r="4">
      <c r="A4" s="22" t="inlineStr">
        <is>
          <t>P003</t>
        </is>
      </c>
      <c r="B4" s="22" t="inlineStr">
        <is>
          <t>余锋友</t>
        </is>
      </c>
      <c r="C4" s="22" t="n">
        <v>175.5</v>
      </c>
      <c r="D4" s="22" t="n">
        <v>64.8</v>
      </c>
      <c r="E4" s="22" t="n">
        <v>115</v>
      </c>
      <c r="F4" s="22" t="n">
        <v>1.775</v>
      </c>
      <c r="G4" s="22" t="n">
        <v>58.33</v>
      </c>
      <c r="H4" s="22" t="n">
        <v>58.1</v>
      </c>
      <c r="I4" s="22" t="inlineStr">
        <is>
          <t>-</t>
        </is>
      </c>
      <c r="J4" s="22" t="n">
        <v>1.782</v>
      </c>
      <c r="K4" s="22" t="n">
        <v>-0.01147</v>
      </c>
      <c r="L4" s="22" t="inlineStr">
        <is>
          <t>A</t>
        </is>
      </c>
    </row>
    <row r="5">
      <c r="A5" s="22" t="inlineStr">
        <is>
          <t>P004</t>
        </is>
      </c>
      <c r="B5" s="22" t="inlineStr">
        <is>
          <t>王慧宁</t>
        </is>
      </c>
      <c r="C5" s="22" t="n">
        <v>176</v>
      </c>
      <c r="D5" s="22" t="n">
        <v>77.59999999999999</v>
      </c>
      <c r="E5" s="22" t="n">
        <v>145</v>
      </c>
      <c r="F5" s="22" t="n">
        <v>1.869</v>
      </c>
      <c r="G5" s="22" t="n">
        <v>58.64</v>
      </c>
      <c r="H5" s="22" t="n">
        <v>56.87</v>
      </c>
      <c r="I5" s="22" t="inlineStr">
        <is>
          <t>-</t>
        </is>
      </c>
      <c r="J5" s="22" t="n">
        <v>1.557</v>
      </c>
      <c r="K5" s="22" t="n">
        <v>-0.00739</v>
      </c>
      <c r="L5" s="22" t="inlineStr">
        <is>
          <t>B</t>
        </is>
      </c>
    </row>
    <row r="6">
      <c r="A6" s="22" t="inlineStr">
        <is>
          <t>P005</t>
        </is>
      </c>
      <c r="B6" s="22" t="inlineStr">
        <is>
          <t>曾庆华</t>
        </is>
      </c>
      <c r="C6" s="22" t="n">
        <v>177</v>
      </c>
      <c r="D6" s="22" t="n">
        <v>77</v>
      </c>
      <c r="E6" s="22" t="n">
        <v>155</v>
      </c>
      <c r="F6" s="22" t="n">
        <v>2.013</v>
      </c>
      <c r="G6" s="22" t="n">
        <v>57.57</v>
      </c>
      <c r="H6" s="22" t="n">
        <v>59.13</v>
      </c>
      <c r="I6" s="22" t="inlineStr">
        <is>
          <t>-</t>
        </is>
      </c>
      <c r="J6" s="22" t="n">
        <v>1.775</v>
      </c>
      <c r="K6" s="22" t="n">
        <v>-0.008750000000000001</v>
      </c>
      <c r="L6" s="22" t="inlineStr">
        <is>
          <t>B</t>
        </is>
      </c>
    </row>
    <row r="7">
      <c r="A7" s="22" t="inlineStr">
        <is>
          <t>P006</t>
        </is>
      </c>
      <c r="B7" s="22" t="inlineStr">
        <is>
          <t>陈镕垚</t>
        </is>
      </c>
      <c r="C7" s="22" t="n">
        <v>181</v>
      </c>
      <c r="D7" s="22" t="n">
        <v>81.40000000000001</v>
      </c>
      <c r="E7" s="22" t="n">
        <v>145</v>
      </c>
      <c r="F7" s="22" t="n">
        <v>1.781</v>
      </c>
      <c r="G7" s="22" t="n">
        <v>59.06</v>
      </c>
      <c r="H7" s="22" t="n">
        <v>60.37</v>
      </c>
      <c r="I7" s="22" t="inlineStr">
        <is>
          <t>-</t>
        </is>
      </c>
      <c r="J7" s="22" t="n">
        <v>1.694</v>
      </c>
      <c r="K7" s="22" t="n">
        <v>-0.01015</v>
      </c>
      <c r="L7" s="22" t="inlineStr">
        <is>
          <t>A</t>
        </is>
      </c>
    </row>
    <row r="8">
      <c r="A8" s="22" t="inlineStr">
        <is>
          <t>P007</t>
        </is>
      </c>
      <c r="B8" s="22" t="inlineStr">
        <is>
          <t>陈鑫</t>
        </is>
      </c>
      <c r="C8" s="22" t="n">
        <v>173</v>
      </c>
      <c r="D8" s="22" t="n">
        <v>59.4</v>
      </c>
      <c r="E8" s="22" t="n">
        <v>110</v>
      </c>
      <c r="F8" s="22" t="n">
        <v>1.852</v>
      </c>
      <c r="G8" s="22" t="n">
        <v>63.01</v>
      </c>
      <c r="H8" s="22" t="n">
        <v>61.37</v>
      </c>
      <c r="I8" s="22" t="inlineStr">
        <is>
          <t>-</t>
        </is>
      </c>
      <c r="J8" s="22" t="n">
        <v>1.65</v>
      </c>
      <c r="K8" s="22" t="n">
        <v>-0.0125</v>
      </c>
      <c r="L8" s="22" t="inlineStr">
        <is>
          <t>A</t>
        </is>
      </c>
    </row>
    <row r="9">
      <c r="A9" s="22" t="inlineStr">
        <is>
          <t>P008</t>
        </is>
      </c>
      <c r="B9" s="22" t="inlineStr">
        <is>
          <t>马咏野</t>
        </is>
      </c>
      <c r="C9" s="22" t="n">
        <v>190</v>
      </c>
      <c r="D9" s="22" t="n">
        <v>88.3</v>
      </c>
      <c r="E9" s="22" t="n">
        <v>140</v>
      </c>
      <c r="F9" s="22" t="n">
        <v>1.586</v>
      </c>
      <c r="G9" s="22" t="n">
        <v>53.26</v>
      </c>
      <c r="H9" s="22" t="n">
        <v>55.13</v>
      </c>
      <c r="I9" s="22" t="inlineStr">
        <is>
          <t>-</t>
        </is>
      </c>
      <c r="J9" s="22" t="n">
        <v>1.586</v>
      </c>
      <c r="K9" s="22" t="n">
        <v>-0.009390000000000001</v>
      </c>
      <c r="L9" s="22" t="inlineStr">
        <is>
          <t>B</t>
        </is>
      </c>
    </row>
    <row r="10">
      <c r="A10" s="22" t="inlineStr">
        <is>
          <t>P009</t>
        </is>
      </c>
      <c r="B10" s="22" t="inlineStr">
        <is>
          <t>王宏池</t>
        </is>
      </c>
      <c r="C10" s="22" t="n">
        <v>185</v>
      </c>
      <c r="D10" s="22" t="n">
        <v>85.7</v>
      </c>
      <c r="E10" s="22" t="n">
        <v>135</v>
      </c>
      <c r="F10" s="22" t="n">
        <v>1.575</v>
      </c>
      <c r="G10" s="22" t="n">
        <v>54.27</v>
      </c>
      <c r="H10" s="22" t="n">
        <v>57.2</v>
      </c>
      <c r="I10" s="22" t="inlineStr">
        <is>
          <t>-</t>
        </is>
      </c>
      <c r="J10" s="22" t="n">
        <v>1.567</v>
      </c>
      <c r="K10" s="22" t="n">
        <v>-0.008500000000000001</v>
      </c>
      <c r="L10" s="22" t="inlineStr">
        <is>
          <t>B</t>
        </is>
      </c>
    </row>
    <row r="11">
      <c r="A11" s="22" t="inlineStr">
        <is>
          <t>P010</t>
        </is>
      </c>
      <c r="B11" s="22" t="inlineStr">
        <is>
          <t>张锦荣</t>
        </is>
      </c>
      <c r="C11" s="22" t="n">
        <v>174</v>
      </c>
      <c r="D11" s="22" t="n">
        <v>73</v>
      </c>
      <c r="E11" s="22" t="n">
        <v>120</v>
      </c>
      <c r="F11" s="22" t="n">
        <v>1.644</v>
      </c>
      <c r="G11" s="22" t="n">
        <v>50.42</v>
      </c>
      <c r="H11" s="22" t="n">
        <v>52.1</v>
      </c>
      <c r="I11" s="22" t="inlineStr">
        <is>
          <t>-</t>
        </is>
      </c>
      <c r="J11" s="22" t="n">
        <v>1.26</v>
      </c>
      <c r="K11" s="22" t="n">
        <v>-0.006</v>
      </c>
      <c r="L11" s="22" t="inlineStr">
        <is>
          <t>B</t>
        </is>
      </c>
    </row>
    <row r="12">
      <c r="A12" s="22" t="inlineStr">
        <is>
          <t>P011</t>
        </is>
      </c>
      <c r="B12" s="22" t="inlineStr">
        <is>
          <t>朱怀远</t>
        </is>
      </c>
      <c r="C12" s="22" t="n">
        <v>165</v>
      </c>
      <c r="D12" s="22" t="n">
        <v>65</v>
      </c>
      <c r="E12" s="22" t="n">
        <v>125</v>
      </c>
      <c r="F12" s="22" t="n">
        <v>1.923</v>
      </c>
      <c r="G12" s="22" t="n">
        <v>64.98</v>
      </c>
      <c r="H12" s="22" t="n">
        <v>58.8</v>
      </c>
      <c r="I12" s="22" t="inlineStr">
        <is>
          <t>-</t>
        </is>
      </c>
      <c r="J12" s="22" t="n">
        <v>1.258</v>
      </c>
      <c r="K12" s="22" t="n">
        <v>-0.00613</v>
      </c>
      <c r="L12" s="22" t="inlineStr">
        <is>
          <t>D</t>
        </is>
      </c>
    </row>
    <row r="13">
      <c r="A13" s="22" t="inlineStr">
        <is>
          <t>P012</t>
        </is>
      </c>
      <c r="B13" s="22" t="inlineStr">
        <is>
          <t>李远熙</t>
        </is>
      </c>
      <c r="C13" s="22" t="n">
        <v>178</v>
      </c>
      <c r="D13" s="22" t="n">
        <v>70.40000000000001</v>
      </c>
      <c r="E13" s="22" t="n">
        <v>132.5</v>
      </c>
      <c r="F13" s="22" t="n">
        <v>1.882</v>
      </c>
      <c r="G13" s="22" t="n">
        <v>52.5</v>
      </c>
      <c r="H13" s="22" t="n">
        <v>52.2</v>
      </c>
      <c r="I13" s="22" t="inlineStr">
        <is>
          <t>-</t>
        </is>
      </c>
      <c r="J13" s="22" t="n">
        <v>1.441</v>
      </c>
      <c r="K13" s="22" t="n">
        <v>-0.00839</v>
      </c>
      <c r="L13" s="22" t="inlineStr">
        <is>
          <t>A</t>
        </is>
      </c>
    </row>
    <row r="14">
      <c r="A14" s="22" t="inlineStr">
        <is>
          <t>P013</t>
        </is>
      </c>
      <c r="B14" s="22" t="inlineStr">
        <is>
          <t>刘世灏</t>
        </is>
      </c>
      <c r="C14" s="22" t="n">
        <v>176</v>
      </c>
      <c r="D14" s="22" t="n">
        <v>76</v>
      </c>
      <c r="E14" s="22" t="n">
        <v>120</v>
      </c>
      <c r="F14" s="22" t="n">
        <v>1.579</v>
      </c>
      <c r="G14" s="22" t="n">
        <v>55.64</v>
      </c>
      <c r="H14" s="22" t="n">
        <v>53.7</v>
      </c>
      <c r="I14" s="22" t="inlineStr">
        <is>
          <t>-</t>
        </is>
      </c>
      <c r="J14" s="22" t="n">
        <v>1.71</v>
      </c>
      <c r="K14" s="22" t="n">
        <v>-0.01025</v>
      </c>
      <c r="L14" s="22" t="inlineStr">
        <is>
          <t>C</t>
        </is>
      </c>
    </row>
    <row r="15">
      <c r="A15" s="22" t="inlineStr">
        <is>
          <t>P014</t>
        </is>
      </c>
      <c r="B15" s="22" t="inlineStr">
        <is>
          <t>陶俊杰</t>
        </is>
      </c>
      <c r="C15" s="22" t="n">
        <v>170</v>
      </c>
      <c r="D15" s="22" t="n">
        <v>70</v>
      </c>
      <c r="E15" s="22" t="inlineStr">
        <is>
          <t>-</t>
        </is>
      </c>
      <c r="F15" s="22" t="inlineStr">
        <is>
          <t>-</t>
        </is>
      </c>
      <c r="G15" s="22" t="n">
        <v>62.77</v>
      </c>
      <c r="H15" s="22" t="n">
        <v>63.97</v>
      </c>
      <c r="I15" s="22" t="inlineStr">
        <is>
          <t>-</t>
        </is>
      </c>
      <c r="J15" s="22" t="inlineStr">
        <is>
          <t>-</t>
        </is>
      </c>
      <c r="K15" s="22" t="inlineStr">
        <is>
          <t>-</t>
        </is>
      </c>
      <c r="L15" s="22" t="inlineStr">
        <is>
          <t>-</t>
        </is>
      </c>
    </row>
    <row r="16">
      <c r="A16" s="22" t="inlineStr">
        <is>
          <t>P015</t>
        </is>
      </c>
      <c r="B16" s="22" t="inlineStr">
        <is>
          <t>陈先栋</t>
        </is>
      </c>
      <c r="C16" s="22" t="n">
        <v>175</v>
      </c>
      <c r="D16" s="22" t="n">
        <v>75</v>
      </c>
      <c r="E16" s="22" t="n">
        <v>135</v>
      </c>
      <c r="F16" s="22" t="n">
        <v>1.8</v>
      </c>
      <c r="G16" s="22" t="n">
        <v>54.25</v>
      </c>
      <c r="H16" s="22" t="n">
        <v>56.5</v>
      </c>
      <c r="I16" s="22" t="inlineStr">
        <is>
          <t>-</t>
        </is>
      </c>
      <c r="J16" s="22" t="n">
        <v>1.77</v>
      </c>
      <c r="K16" s="22" t="n">
        <v>-0.01025</v>
      </c>
      <c r="L16" s="22" t="inlineStr">
        <is>
          <t>C</t>
        </is>
      </c>
    </row>
    <row r="17">
      <c r="A17" s="22" t="inlineStr">
        <is>
          <t>P016</t>
        </is>
      </c>
      <c r="B17" s="22" t="inlineStr">
        <is>
          <t>杜遥</t>
        </is>
      </c>
      <c r="C17" s="22" t="n">
        <v>180</v>
      </c>
      <c r="D17" s="22" t="n">
        <v>100</v>
      </c>
      <c r="E17" s="22" t="n">
        <v>135</v>
      </c>
      <c r="F17" s="22" t="n">
        <v>1.35</v>
      </c>
      <c r="G17" s="22" t="n">
        <v>49.75</v>
      </c>
      <c r="H17" s="22" t="n">
        <v>51</v>
      </c>
      <c r="I17" s="22" t="inlineStr">
        <is>
          <t>-</t>
        </is>
      </c>
      <c r="J17" s="22" t="n">
        <v>1.54</v>
      </c>
      <c r="K17" s="22" t="n">
        <v>-0.008500000000000001</v>
      </c>
      <c r="L17" s="22" t="inlineStr">
        <is>
          <t>B</t>
        </is>
      </c>
    </row>
    <row r="18">
      <c r="A18" s="22" t="inlineStr">
        <is>
          <t>P017</t>
        </is>
      </c>
      <c r="B18" s="22" t="inlineStr">
        <is>
          <t>林树志</t>
        </is>
      </c>
      <c r="C18" s="22" t="n">
        <v>172</v>
      </c>
      <c r="D18" s="22" t="n">
        <v>72</v>
      </c>
      <c r="E18" s="22" t="inlineStr">
        <is>
          <t>-</t>
        </is>
      </c>
      <c r="F18" s="22" t="inlineStr">
        <is>
          <t>-</t>
        </is>
      </c>
      <c r="G18" s="22" t="n">
        <v>65.05</v>
      </c>
      <c r="H18" s="22" t="n">
        <v>65.3</v>
      </c>
      <c r="I18" s="22" t="inlineStr">
        <is>
          <t>-</t>
        </is>
      </c>
      <c r="J18" s="22" t="inlineStr">
        <is>
          <t>-</t>
        </is>
      </c>
      <c r="K18" s="22" t="inlineStr">
        <is>
          <t>-</t>
        </is>
      </c>
      <c r="L18" s="22" t="inlineStr">
        <is>
          <t>-</t>
        </is>
      </c>
    </row>
    <row r="19">
      <c r="A19" s="22" t="inlineStr">
        <is>
          <t>P018</t>
        </is>
      </c>
      <c r="B19" s="22" t="inlineStr">
        <is>
          <t>孟维宇</t>
        </is>
      </c>
      <c r="C19" s="22" t="n">
        <v>173</v>
      </c>
      <c r="D19" s="22" t="n">
        <v>75</v>
      </c>
      <c r="E19" s="22" t="n">
        <v>122.5</v>
      </c>
      <c r="F19" s="22" t="n">
        <v>1.633</v>
      </c>
      <c r="G19" s="22" t="n">
        <v>52.6</v>
      </c>
      <c r="H19" s="22" t="n">
        <v>52.13</v>
      </c>
      <c r="I19" s="22" t="inlineStr">
        <is>
          <t>-</t>
        </is>
      </c>
      <c r="J19" s="22" t="n">
        <v>1.71</v>
      </c>
      <c r="K19" s="22" t="n">
        <v>-0.0105</v>
      </c>
      <c r="L19" s="22" t="inlineStr">
        <is>
          <t>B</t>
        </is>
      </c>
    </row>
    <row r="20">
      <c r="A20" s="22" t="inlineStr">
        <is>
          <t>P019</t>
        </is>
      </c>
      <c r="B20" s="22" t="inlineStr">
        <is>
          <t>张陈生</t>
        </is>
      </c>
      <c r="C20" s="22" t="n">
        <v>175</v>
      </c>
      <c r="D20" s="22" t="n">
        <v>80</v>
      </c>
      <c r="E20" s="22" t="inlineStr">
        <is>
          <t>-</t>
        </is>
      </c>
      <c r="F20" s="22" t="inlineStr">
        <is>
          <t>-</t>
        </is>
      </c>
      <c r="G20" s="22" t="n">
        <v>62.1</v>
      </c>
      <c r="H20" s="22" t="n">
        <v>59.87</v>
      </c>
      <c r="I20" s="22" t="inlineStr">
        <is>
          <t>-</t>
        </is>
      </c>
      <c r="J20" s="22" t="inlineStr">
        <is>
          <t>-</t>
        </is>
      </c>
      <c r="K20" s="22" t="inlineStr">
        <is>
          <t>-</t>
        </is>
      </c>
      <c r="L20" s="22" t="inlineStr">
        <is>
          <t>-</t>
        </is>
      </c>
    </row>
    <row r="21">
      <c r="A21" s="22" t="inlineStr">
        <is>
          <t>P020</t>
        </is>
      </c>
      <c r="B21" s="22" t="inlineStr">
        <is>
          <t>梁辉靖</t>
        </is>
      </c>
      <c r="C21" s="22" t="n">
        <v>170</v>
      </c>
      <c r="D21" s="22" t="n">
        <v>65</v>
      </c>
      <c r="E21" s="22" t="inlineStr">
        <is>
          <t>-</t>
        </is>
      </c>
      <c r="F21" s="22" t="inlineStr">
        <is>
          <t>-</t>
        </is>
      </c>
      <c r="G21" s="22" t="n">
        <v>54.69</v>
      </c>
      <c r="H21" s="22" t="n">
        <v>52.63</v>
      </c>
      <c r="I21" s="22" t="inlineStr">
        <is>
          <t>-</t>
        </is>
      </c>
      <c r="J21" s="22" t="inlineStr">
        <is>
          <t>-</t>
        </is>
      </c>
      <c r="K21" s="22" t="inlineStr">
        <is>
          <t>-</t>
        </is>
      </c>
      <c r="L21" s="22" t="inlineStr">
        <is>
          <t>-</t>
        </is>
      </c>
    </row>
    <row r="22">
      <c r="A22" s="22" t="inlineStr">
        <is>
          <t>P021</t>
        </is>
      </c>
      <c r="B22" s="22" t="inlineStr">
        <is>
          <t>李浩然</t>
        </is>
      </c>
      <c r="C22" s="22" t="n">
        <v>172</v>
      </c>
      <c r="D22" s="22" t="n">
        <v>76.3</v>
      </c>
      <c r="E22" s="22" t="n">
        <v>110</v>
      </c>
      <c r="F22" s="22" t="n">
        <v>1.442</v>
      </c>
      <c r="G22" s="22" t="n">
        <v>49.65</v>
      </c>
      <c r="H22" s="22" t="n">
        <v>43.87</v>
      </c>
      <c r="I22" s="22" t="inlineStr">
        <is>
          <t>-</t>
        </is>
      </c>
      <c r="J22" s="22" t="n">
        <v>1.682</v>
      </c>
      <c r="K22" s="22" t="n">
        <v>-0.01265</v>
      </c>
      <c r="L22" s="22" t="inlineStr">
        <is>
          <t>A</t>
        </is>
      </c>
    </row>
    <row r="23">
      <c r="A23" s="22" t="inlineStr">
        <is>
          <t>P022</t>
        </is>
      </c>
      <c r="B23" s="22" t="inlineStr">
        <is>
          <t>卢狄</t>
        </is>
      </c>
      <c r="C23" s="22" t="n">
        <v>172</v>
      </c>
      <c r="D23" s="22" t="n">
        <v>72</v>
      </c>
      <c r="E23" s="22" t="inlineStr">
        <is>
          <t>-</t>
        </is>
      </c>
      <c r="F23" s="22" t="inlineStr">
        <is>
          <t>-</t>
        </is>
      </c>
      <c r="G23" s="22" t="n">
        <v>53.77</v>
      </c>
      <c r="H23" s="22" t="n">
        <v>53.9</v>
      </c>
      <c r="I23" s="22" t="inlineStr">
        <is>
          <t>-</t>
        </is>
      </c>
      <c r="J23" s="22" t="inlineStr">
        <is>
          <t>-</t>
        </is>
      </c>
      <c r="K23" s="22" t="inlineStr">
        <is>
          <t>-</t>
        </is>
      </c>
      <c r="L23" s="22" t="inlineStr">
        <is>
          <t>-</t>
        </is>
      </c>
    </row>
    <row r="24">
      <c r="A24" s="22" t="inlineStr">
        <is>
          <t>P023</t>
        </is>
      </c>
      <c r="B24" s="22" t="inlineStr">
        <is>
          <t>杨子恒</t>
        </is>
      </c>
      <c r="C24" s="22" t="n">
        <v>181</v>
      </c>
      <c r="D24" s="22" t="n">
        <v>81.3</v>
      </c>
      <c r="E24" s="22" t="n">
        <v>170</v>
      </c>
      <c r="F24" s="22" t="n">
        <v>2.091</v>
      </c>
      <c r="G24" s="22" t="n">
        <v>62.61</v>
      </c>
      <c r="H24" s="22" t="n">
        <v>64.8</v>
      </c>
      <c r="I24" s="22" t="inlineStr">
        <is>
          <t>-</t>
        </is>
      </c>
      <c r="J24" s="22" t="n">
        <v>2.021</v>
      </c>
      <c r="K24" s="22" t="n">
        <v>-0.00975</v>
      </c>
      <c r="L24" s="22" t="inlineStr">
        <is>
          <t>B</t>
        </is>
      </c>
    </row>
    <row r="25">
      <c r="A25" s="22" t="inlineStr">
        <is>
          <t>P024</t>
        </is>
      </c>
      <c r="B25" s="22" t="inlineStr">
        <is>
          <t>黄天祺</t>
        </is>
      </c>
      <c r="C25" s="22" t="n">
        <v>175</v>
      </c>
      <c r="D25" s="22" t="n">
        <v>74.40000000000001</v>
      </c>
      <c r="E25" s="22" t="n">
        <v>130</v>
      </c>
      <c r="F25" s="22" t="n">
        <v>1.747</v>
      </c>
      <c r="G25" s="22" t="n">
        <v>52.7</v>
      </c>
      <c r="H25" s="22" t="n">
        <v>53.07</v>
      </c>
      <c r="I25" s="22" t="inlineStr">
        <is>
          <t>-</t>
        </is>
      </c>
      <c r="J25" s="22" t="n">
        <v>1.32</v>
      </c>
      <c r="K25" s="22" t="n">
        <v>-0.007849999999999999</v>
      </c>
      <c r="L25" s="22" t="inlineStr">
        <is>
          <t>A</t>
        </is>
      </c>
    </row>
    <row r="26">
      <c r="A26" s="22" t="inlineStr">
        <is>
          <t>P025</t>
        </is>
      </c>
      <c r="B26" s="22" t="inlineStr">
        <is>
          <t>范芳忠</t>
        </is>
      </c>
      <c r="C26" s="22" t="n">
        <v>178</v>
      </c>
      <c r="D26" s="22" t="n">
        <v>80.40000000000001</v>
      </c>
      <c r="E26" s="22" t="n">
        <v>135</v>
      </c>
      <c r="F26" s="22" t="n">
        <v>1.679</v>
      </c>
      <c r="G26" s="22" t="n">
        <v>58.43</v>
      </c>
      <c r="H26" s="22" t="n">
        <v>59.13</v>
      </c>
      <c r="I26" s="22" t="inlineStr">
        <is>
          <t>-</t>
        </is>
      </c>
      <c r="J26" s="22" t="n">
        <v>1.77</v>
      </c>
      <c r="K26" s="22" t="n">
        <v>-0.0105</v>
      </c>
      <c r="L26" s="22" t="inlineStr">
        <is>
          <t>A</t>
        </is>
      </c>
    </row>
    <row r="27">
      <c r="A27" s="22" t="inlineStr">
        <is>
          <t>P026</t>
        </is>
      </c>
      <c r="B27" s="22" t="inlineStr">
        <is>
          <t>古翔宇</t>
        </is>
      </c>
      <c r="C27" s="22" t="n">
        <v>180</v>
      </c>
      <c r="D27" s="22" t="n">
        <v>82.2</v>
      </c>
      <c r="E27" s="22" t="n">
        <v>135</v>
      </c>
      <c r="F27" s="22" t="n">
        <v>1.642</v>
      </c>
      <c r="G27" s="22" t="n">
        <v>45.51</v>
      </c>
      <c r="H27" s="22" t="n">
        <v>45.77</v>
      </c>
      <c r="I27" s="22" t="inlineStr">
        <is>
          <t>-</t>
        </is>
      </c>
      <c r="J27" s="22" t="n">
        <v>1.64</v>
      </c>
      <c r="K27" s="22" t="n">
        <v>-0.00975</v>
      </c>
      <c r="L27" s="22" t="inlineStr">
        <is>
          <t>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编号</t>
        </is>
      </c>
      <c r="B1" s="6" t="inlineStr">
        <is>
          <t>姓名</t>
        </is>
      </c>
      <c r="C1" s="6" t="inlineStr">
        <is>
          <t>类别</t>
        </is>
      </c>
      <c r="D1" s="6" t="inlineStr">
        <is>
          <t>问题</t>
        </is>
      </c>
      <c r="E1" s="6" t="inlineStr">
        <is>
          <t>日期</t>
        </is>
      </c>
      <c r="F1" s="6" t="inlineStr">
        <is>
          <t>核对</t>
        </is>
      </c>
      <c r="G1" s="6" t="inlineStr">
        <is>
          <t>处理</t>
        </is>
      </c>
      <c r="H1" s="6" t="inlineStr">
        <is>
          <t>备注</t>
        </is>
      </c>
    </row>
    <row r="2">
      <c r="A2" s="22" t="inlineStr">
        <is>
          <t>P001</t>
        </is>
      </c>
      <c r="B2" s="22" t="inlineStr">
        <is>
          <t>陈骏</t>
        </is>
      </c>
      <c r="C2" s="22" t="inlineStr">
        <is>
          <t>LVP</t>
        </is>
      </c>
      <c r="D2" s="22" t="inlineStr">
        <is>
          <t>96kg速度异常</t>
        </is>
      </c>
      <c r="E2" s="22" t="inlineStr">
        <is>
          <t>2026-07</t>
        </is>
      </c>
      <c r="F2" s="22" t="inlineStr">
        <is>
          <t>Y</t>
        </is>
      </c>
      <c r="G2" s="22" t="inlineStr">
        <is>
          <t>待重测</t>
        </is>
      </c>
      <c r="H2" s="22" t="inlineStr">
        <is>
          <t>-</t>
        </is>
      </c>
    </row>
    <row r="3">
      <c r="A3" s="22" t="inlineStr">
        <is>
          <t>P009</t>
        </is>
      </c>
      <c r="B3" s="22" t="inlineStr">
        <is>
          <t>王宏池</t>
        </is>
      </c>
      <c r="C3" s="22" t="inlineStr">
        <is>
          <t>LVP</t>
        </is>
      </c>
      <c r="D3" s="22" t="inlineStr">
        <is>
          <t>40kg第三次0.81 outlier</t>
        </is>
      </c>
      <c r="E3" s="22" t="inlineStr">
        <is>
          <t>2026-07</t>
        </is>
      </c>
      <c r="F3" s="22" t="inlineStr">
        <is>
          <t>Y</t>
        </is>
      </c>
      <c r="G3" s="22" t="inlineStr">
        <is>
          <t>已标记</t>
        </is>
      </c>
      <c r="H3" s="22" t="inlineStr">
        <is>
          <t>-</t>
        </is>
      </c>
    </row>
    <row r="4">
      <c r="A4" s="22" t="inlineStr">
        <is>
          <t>P011</t>
        </is>
      </c>
      <c r="B4" s="22" t="inlineStr">
        <is>
          <t>朱怀远</t>
        </is>
      </c>
      <c r="C4" s="22" t="inlineStr">
        <is>
          <t>LVP</t>
        </is>
      </c>
      <c r="D4" s="22" t="inlineStr">
        <is>
          <t>R²=0.75 D级</t>
        </is>
      </c>
      <c r="E4" s="22" t="inlineStr">
        <is>
          <t>2026-07</t>
        </is>
      </c>
      <c r="F4" s="22" t="inlineStr">
        <is>
          <t>Y</t>
        </is>
      </c>
      <c r="G4" s="22" t="inlineStr">
        <is>
          <t>建议重测</t>
        </is>
      </c>
      <c r="H4" s="22" t="inlineStr">
        <is>
          <t>-</t>
        </is>
      </c>
    </row>
    <row r="5">
      <c r="A5" s="22" t="inlineStr">
        <is>
          <t>P015</t>
        </is>
      </c>
      <c r="B5" s="22" t="inlineStr">
        <is>
          <t>陈先栋</t>
        </is>
      </c>
      <c r="C5" s="22" t="inlineStr">
        <is>
          <t>LVP</t>
        </is>
      </c>
      <c r="D5" s="22" t="inlineStr">
        <is>
          <t>R²=0.87 轻端偏高</t>
        </is>
      </c>
      <c r="E5" s="22" t="inlineStr">
        <is>
          <t>2026-07</t>
        </is>
      </c>
      <c r="F5" s="22" t="inlineStr">
        <is>
          <t>Y</t>
        </is>
      </c>
      <c r="G5" s="22" t="inlineStr">
        <is>
          <t>轻端剔除</t>
        </is>
      </c>
      <c r="H5" s="22" t="inlineStr">
        <is>
          <t>-</t>
        </is>
      </c>
    </row>
    <row r="6">
      <c r="A6" s="22" t="inlineStr">
        <is>
          <t>P017</t>
        </is>
      </c>
      <c r="B6" s="22" t="inlineStr">
        <is>
          <t>林树志</t>
        </is>
      </c>
      <c r="C6" s="22" t="inlineStr">
        <is>
          <t>伤病</t>
        </is>
      </c>
      <c r="D6" s="22" t="inlineStr">
        <is>
          <t>80kg腰伤暂停</t>
        </is>
      </c>
      <c r="E6" s="22" t="inlineStr">
        <is>
          <t>2026-07</t>
        </is>
      </c>
      <c r="F6" s="22" t="inlineStr">
        <is>
          <t>Y</t>
        </is>
      </c>
      <c r="G6" s="22" t="inlineStr">
        <is>
          <t>恢复后测</t>
        </is>
      </c>
      <c r="H6" s="22" t="inlineStr">
        <is>
          <t>-</t>
        </is>
      </c>
    </row>
    <row r="7">
      <c r="A7" s="22" t="inlineStr">
        <is>
          <t>P023</t>
        </is>
      </c>
      <c r="B7" s="22" t="inlineStr">
        <is>
          <t>杨子恒</t>
        </is>
      </c>
      <c r="C7" s="22" t="inlineStr">
        <is>
          <t>信息</t>
        </is>
      </c>
      <c r="D7" s="22" t="inlineStr">
        <is>
          <t>姓名更正</t>
        </is>
      </c>
      <c r="E7" s="22" t="inlineStr">
        <is>
          <t>2026-07</t>
        </is>
      </c>
      <c r="F7" s="22" t="inlineStr">
        <is>
          <t>Y</t>
        </is>
      </c>
      <c r="G7" s="22" t="inlineStr">
        <is>
          <t>已改</t>
        </is>
      </c>
      <c r="H7" s="22" t="inlineStr">
        <is>
          <t>-</t>
        </is>
      </c>
    </row>
    <row r="8">
      <c r="A8" s="22" t="inlineStr">
        <is>
          <t>P026</t>
        </is>
      </c>
      <c r="B8" s="22" t="inlineStr">
        <is>
          <t>古翔宇</t>
        </is>
      </c>
      <c r="C8" s="22" t="inlineStr">
        <is>
          <t>代谢</t>
        </is>
      </c>
      <c r="D8" s="22" t="inlineStr">
        <is>
          <t>内脏脂肪7级</t>
        </is>
      </c>
      <c r="E8" s="22" t="inlineStr">
        <is>
          <t>2026-07</t>
        </is>
      </c>
      <c r="F8" s="22" t="inlineStr">
        <is>
          <t>Y</t>
        </is>
      </c>
      <c r="G8" s="22" t="inlineStr">
        <is>
          <t>纳入观察</t>
        </is>
      </c>
      <c r="H8" s="22" t="inlineStr">
        <is>
          <t>-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编号</t>
        </is>
      </c>
      <c r="B1" s="6" t="inlineStr">
        <is>
          <t>姓名</t>
        </is>
      </c>
      <c r="C1" s="6" t="inlineStr">
        <is>
          <t>1RM</t>
        </is>
      </c>
      <c r="D1" s="6" t="inlineStr">
        <is>
          <t>体重</t>
        </is>
      </c>
      <c r="E1" s="6" t="inlineStr">
        <is>
          <t>rel</t>
        </is>
      </c>
      <c r="F1" s="6" t="inlineStr">
        <is>
          <t>a(V0)</t>
        </is>
      </c>
      <c r="G1" s="6" t="inlineStr">
        <is>
          <t>b</t>
        </is>
      </c>
      <c r="H1" s="6" t="inlineStr">
        <is>
          <t>R²</t>
        </is>
      </c>
      <c r="I1" s="6" t="inlineStr">
        <is>
          <t>v@1RM</t>
        </is>
      </c>
      <c r="J1" s="6" t="inlineStr">
        <is>
          <t>MVTdev</t>
        </is>
      </c>
      <c r="K1" s="6" t="inlineStr">
        <is>
          <t>F0</t>
        </is>
      </c>
      <c r="L1" s="6" t="inlineStr">
        <is>
          <t>Pmax</t>
        </is>
      </c>
      <c r="M1" s="6" t="inlineStr">
        <is>
          <t>类型</t>
        </is>
      </c>
      <c r="N1" s="6" t="inlineStr">
        <is>
          <t>等级</t>
        </is>
      </c>
    </row>
    <row r="2">
      <c r="A2" s="22" t="inlineStr">
        <is>
          <t>P001</t>
        </is>
      </c>
      <c r="B2" s="22" t="inlineStr">
        <is>
          <t>陈骏</t>
        </is>
      </c>
      <c r="C2" s="22" t="n">
        <v>120</v>
      </c>
      <c r="D2" s="22" t="n">
        <v>67.7</v>
      </c>
      <c r="E2" s="22" t="n">
        <v>1.773</v>
      </c>
      <c r="F2" s="22" t="n">
        <v>1.967</v>
      </c>
      <c r="G2" s="22" t="n">
        <v>-0.00748</v>
      </c>
      <c r="H2" s="22" t="n">
        <v>0.826</v>
      </c>
      <c r="I2" s="22" t="n">
        <v>1.36</v>
      </c>
      <c r="J2" s="22" t="n">
        <v>1.03</v>
      </c>
      <c r="K2" s="22" t="n">
        <v>263</v>
      </c>
      <c r="L2" s="22" t="n">
        <v>129.3</v>
      </c>
      <c r="M2" s="22" t="inlineStr">
        <is>
          <t>异常</t>
        </is>
      </c>
      <c r="N2" s="22" t="inlineStr">
        <is>
          <t>D</t>
        </is>
      </c>
    </row>
    <row r="3">
      <c r="A3" s="22" t="inlineStr">
        <is>
          <t>P002</t>
        </is>
      </c>
      <c r="B3" s="22" t="inlineStr">
        <is>
          <t>何天元</t>
        </is>
      </c>
      <c r="C3" s="22" t="n">
        <v>150</v>
      </c>
      <c r="D3" s="22" t="n">
        <v>82.40000000000001</v>
      </c>
      <c r="E3" s="22" t="n">
        <v>1.82</v>
      </c>
      <c r="F3" s="22" t="n">
        <v>1.487</v>
      </c>
      <c r="G3" s="22" t="n">
        <v>-0.0054</v>
      </c>
      <c r="H3" s="22" t="n">
        <v>0.97</v>
      </c>
      <c r="I3" s="22" t="n">
        <v>0.481</v>
      </c>
      <c r="J3" s="22" t="n">
        <v>0.151</v>
      </c>
      <c r="K3" s="22" t="n">
        <v>275.4</v>
      </c>
      <c r="L3" s="22" t="n">
        <v>102.4</v>
      </c>
      <c r="M3" s="22" t="inlineStr">
        <is>
          <t>力量型</t>
        </is>
      </c>
      <c r="N3" s="22" t="inlineStr">
        <is>
          <t>B</t>
        </is>
      </c>
    </row>
    <row r="4">
      <c r="A4" s="22" t="inlineStr">
        <is>
          <t>P003</t>
        </is>
      </c>
      <c r="B4" s="22" t="inlineStr">
        <is>
          <t>余锋友</t>
        </is>
      </c>
      <c r="C4" s="22" t="n">
        <v>115</v>
      </c>
      <c r="D4" s="22" t="n">
        <v>64.8</v>
      </c>
      <c r="E4" s="22" t="n">
        <v>1.775</v>
      </c>
      <c r="F4" s="22" t="n">
        <v>1.782</v>
      </c>
      <c r="G4" s="22" t="n">
        <v>-0.01147</v>
      </c>
      <c r="H4" s="22" t="n">
        <v>0.998</v>
      </c>
      <c r="I4" s="22" t="n">
        <v>0.275</v>
      </c>
      <c r="J4" s="22" t="n">
        <v>-0.055</v>
      </c>
      <c r="K4" s="22" t="n">
        <v>155.4</v>
      </c>
      <c r="L4" s="22" t="n">
        <v>69.2</v>
      </c>
      <c r="M4" s="22" t="inlineStr">
        <is>
          <t>速度型</t>
        </is>
      </c>
      <c r="N4" s="22" t="inlineStr">
        <is>
          <t>A</t>
        </is>
      </c>
    </row>
    <row r="5">
      <c r="A5" s="22" t="inlineStr">
        <is>
          <t>P004</t>
        </is>
      </c>
      <c r="B5" s="22" t="inlineStr">
        <is>
          <t>王慧宁</t>
        </is>
      </c>
      <c r="C5" s="22" t="n">
        <v>145</v>
      </c>
      <c r="D5" s="22" t="n">
        <v>77.59999999999999</v>
      </c>
      <c r="E5" s="22" t="n">
        <v>1.869</v>
      </c>
      <c r="F5" s="22" t="n">
        <v>1.557</v>
      </c>
      <c r="G5" s="22" t="n">
        <v>-0.00739</v>
      </c>
      <c r="H5" s="22" t="n">
        <v>0.897</v>
      </c>
      <c r="I5" s="22" t="n">
        <v>0.505</v>
      </c>
      <c r="J5" s="22" t="n">
        <v>0.175</v>
      </c>
      <c r="K5" s="22" t="n">
        <v>210.6</v>
      </c>
      <c r="L5" s="22" t="n">
        <v>82</v>
      </c>
      <c r="M5" s="22" t="inlineStr">
        <is>
          <t>中间型</t>
        </is>
      </c>
      <c r="N5" s="22" t="inlineStr">
        <is>
          <t>B</t>
        </is>
      </c>
    </row>
    <row r="6">
      <c r="A6" s="22" t="inlineStr">
        <is>
          <t>P005</t>
        </is>
      </c>
      <c r="B6" s="22" t="inlineStr">
        <is>
          <t>曾庆华</t>
        </is>
      </c>
      <c r="C6" s="22" t="n">
        <v>155</v>
      </c>
      <c r="D6" s="22" t="n">
        <v>77</v>
      </c>
      <c r="E6" s="22" t="n">
        <v>2.013</v>
      </c>
      <c r="F6" s="22" t="n">
        <v>1.775</v>
      </c>
      <c r="G6" s="22" t="n">
        <v>-0.008750000000000001</v>
      </c>
      <c r="H6" s="22" t="n">
        <v>0.978</v>
      </c>
      <c r="I6" s="22" t="n">
        <v>0.419</v>
      </c>
      <c r="J6" s="22" t="n">
        <v>0.089</v>
      </c>
      <c r="K6" s="22" t="n">
        <v>202.9</v>
      </c>
      <c r="L6" s="22" t="n">
        <v>90</v>
      </c>
      <c r="M6" s="22" t="inlineStr">
        <is>
          <t>中间型</t>
        </is>
      </c>
      <c r="N6" s="22" t="inlineStr">
        <is>
          <t>B</t>
        </is>
      </c>
    </row>
    <row r="7">
      <c r="A7" s="22" t="inlineStr">
        <is>
          <t>P006</t>
        </is>
      </c>
      <c r="B7" s="22" t="inlineStr">
        <is>
          <t>陈镕垚</t>
        </is>
      </c>
      <c r="C7" s="22" t="n">
        <v>145</v>
      </c>
      <c r="D7" s="22" t="n">
        <v>81.40000000000001</v>
      </c>
      <c r="E7" s="22" t="n">
        <v>1.781</v>
      </c>
      <c r="F7" s="22" t="n">
        <v>1.694</v>
      </c>
      <c r="G7" s="22" t="n">
        <v>-0.01015</v>
      </c>
      <c r="H7" s="22" t="n">
        <v>0.971</v>
      </c>
      <c r="I7" s="22" t="n">
        <v>0.21</v>
      </c>
      <c r="J7" s="22" t="n">
        <v>-0.12</v>
      </c>
      <c r="K7" s="22" t="n">
        <v>166.9</v>
      </c>
      <c r="L7" s="22" t="n">
        <v>70.7</v>
      </c>
      <c r="M7" s="22" t="inlineStr">
        <is>
          <t>力量型</t>
        </is>
      </c>
      <c r="N7" s="22" t="inlineStr">
        <is>
          <t>A</t>
        </is>
      </c>
    </row>
    <row r="8">
      <c r="A8" s="22" t="inlineStr">
        <is>
          <t>P007</t>
        </is>
      </c>
      <c r="B8" s="22" t="inlineStr">
        <is>
          <t>陈鑫</t>
        </is>
      </c>
      <c r="C8" s="22" t="n">
        <v>110</v>
      </c>
      <c r="D8" s="22" t="n">
        <v>59.4</v>
      </c>
      <c r="E8" s="22" t="n">
        <v>1.852</v>
      </c>
      <c r="F8" s="22" t="n">
        <v>1.65</v>
      </c>
      <c r="G8" s="22" t="n">
        <v>-0.0125</v>
      </c>
      <c r="H8" s="22" t="n">
        <v>1</v>
      </c>
      <c r="I8" s="22" t="n">
        <v>0.275</v>
      </c>
      <c r="J8" s="22" t="n">
        <v>-0.055</v>
      </c>
      <c r="K8" s="22" t="n">
        <v>132</v>
      </c>
      <c r="L8" s="22" t="n">
        <v>54.4</v>
      </c>
      <c r="M8" s="22" t="inlineStr">
        <is>
          <t>速度型</t>
        </is>
      </c>
      <c r="N8" s="22" t="inlineStr">
        <is>
          <t>A</t>
        </is>
      </c>
    </row>
    <row r="9">
      <c r="A9" s="22" t="inlineStr">
        <is>
          <t>P008</t>
        </is>
      </c>
      <c r="B9" s="22" t="inlineStr">
        <is>
          <t>马咏野</t>
        </is>
      </c>
      <c r="C9" s="22" t="n">
        <v>140</v>
      </c>
      <c r="D9" s="22" t="n">
        <v>88.3</v>
      </c>
      <c r="E9" s="22" t="n">
        <v>1.586</v>
      </c>
      <c r="F9" s="22" t="n">
        <v>1.586</v>
      </c>
      <c r="G9" s="22" t="n">
        <v>-0.009390000000000001</v>
      </c>
      <c r="H9" s="22" t="n">
        <v>0.985</v>
      </c>
      <c r="I9" s="22" t="n">
        <v>0.26</v>
      </c>
      <c r="J9" s="22" t="n">
        <v>-0.07000000000000001</v>
      </c>
      <c r="K9" s="22" t="n">
        <v>168.9</v>
      </c>
      <c r="L9" s="22" t="n">
        <v>67</v>
      </c>
      <c r="M9" s="22" t="inlineStr">
        <is>
          <t>力量型</t>
        </is>
      </c>
      <c r="N9" s="22" t="inlineStr">
        <is>
          <t>B</t>
        </is>
      </c>
    </row>
    <row r="10">
      <c r="A10" s="22" t="inlineStr">
        <is>
          <t>P009</t>
        </is>
      </c>
      <c r="B10" s="22" t="inlineStr">
        <is>
          <t>王宏池</t>
        </is>
      </c>
      <c r="C10" s="22" t="n">
        <v>135</v>
      </c>
      <c r="D10" s="22" t="n">
        <v>85.7</v>
      </c>
      <c r="E10" s="22" t="n">
        <v>1.575</v>
      </c>
      <c r="F10" s="22" t="n">
        <v>1.567</v>
      </c>
      <c r="G10" s="22" t="n">
        <v>-0.008500000000000001</v>
      </c>
      <c r="H10" s="22" t="n">
        <v>0.999</v>
      </c>
      <c r="I10" s="22" t="n">
        <v>0.419</v>
      </c>
      <c r="J10" s="22" t="n">
        <v>0.089</v>
      </c>
      <c r="K10" s="22" t="n">
        <v>184.4</v>
      </c>
      <c r="L10" s="22" t="n">
        <v>72.2</v>
      </c>
      <c r="M10" s="22" t="inlineStr">
        <is>
          <t>中间型</t>
        </is>
      </c>
      <c r="N10" s="22" t="inlineStr">
        <is>
          <t>B</t>
        </is>
      </c>
    </row>
    <row r="11">
      <c r="A11" s="22" t="inlineStr">
        <is>
          <t>P010</t>
        </is>
      </c>
      <c r="B11" s="22" t="inlineStr">
        <is>
          <t>张锦荣</t>
        </is>
      </c>
      <c r="C11" s="22" t="n">
        <v>120</v>
      </c>
      <c r="D11" s="22" t="n">
        <v>73</v>
      </c>
      <c r="E11" s="22" t="n">
        <v>1.644</v>
      </c>
      <c r="F11" s="22" t="n">
        <v>1.26</v>
      </c>
      <c r="G11" s="22" t="n">
        <v>-0.006</v>
      </c>
      <c r="H11" s="22" t="n">
        <v>1</v>
      </c>
      <c r="I11" s="22" t="n">
        <v>0.54</v>
      </c>
      <c r="J11" s="22" t="n">
        <v>0.21</v>
      </c>
      <c r="K11" s="22" t="n">
        <v>210</v>
      </c>
      <c r="L11" s="22" t="n">
        <v>66.2</v>
      </c>
      <c r="M11" s="22" t="inlineStr">
        <is>
          <t>中间型</t>
        </is>
      </c>
      <c r="N11" s="22" t="inlineStr">
        <is>
          <t>B</t>
        </is>
      </c>
    </row>
    <row r="12">
      <c r="A12" s="22" t="inlineStr">
        <is>
          <t>P011</t>
        </is>
      </c>
      <c r="B12" s="22" t="inlineStr">
        <is>
          <t>朱怀远</t>
        </is>
      </c>
      <c r="C12" s="22" t="n">
        <v>125</v>
      </c>
      <c r="D12" s="22" t="n">
        <v>65</v>
      </c>
      <c r="E12" s="22" t="n">
        <v>1.923</v>
      </c>
      <c r="F12" s="22" t="n">
        <v>1.258</v>
      </c>
      <c r="G12" s="22" t="n">
        <v>-0.00613</v>
      </c>
      <c r="H12" s="22" t="n">
        <v>0.75</v>
      </c>
      <c r="I12" s="22" t="n">
        <v>0.493</v>
      </c>
      <c r="J12" s="22" t="n">
        <v>0.163</v>
      </c>
      <c r="K12" s="22" t="n">
        <v>205.2</v>
      </c>
      <c r="L12" s="22" t="n">
        <v>64.5</v>
      </c>
      <c r="M12" s="22" t="inlineStr">
        <is>
          <t>异常</t>
        </is>
      </c>
      <c r="N12" s="22" t="inlineStr">
        <is>
          <t>D</t>
        </is>
      </c>
    </row>
    <row r="13">
      <c r="A13" s="22" t="inlineStr">
        <is>
          <t>P012</t>
        </is>
      </c>
      <c r="B13" s="22" t="inlineStr">
        <is>
          <t>李远熙</t>
        </is>
      </c>
      <c r="C13" s="22" t="n">
        <v>132.5</v>
      </c>
      <c r="D13" s="22" t="n">
        <v>70.40000000000001</v>
      </c>
      <c r="E13" s="22" t="n">
        <v>1.882</v>
      </c>
      <c r="F13" s="22" t="n">
        <v>1.441</v>
      </c>
      <c r="G13" s="22" t="n">
        <v>-0.00839</v>
      </c>
      <c r="H13" s="22" t="n">
        <v>0.973</v>
      </c>
      <c r="I13" s="22" t="n">
        <v>0.33</v>
      </c>
      <c r="J13" s="22" t="n">
        <v>0</v>
      </c>
      <c r="K13" s="22" t="n">
        <v>171.8</v>
      </c>
      <c r="L13" s="22" t="n">
        <v>61.9</v>
      </c>
      <c r="M13" s="22" t="inlineStr">
        <is>
          <t>速度型</t>
        </is>
      </c>
      <c r="N13" s="22" t="inlineStr">
        <is>
          <t>A</t>
        </is>
      </c>
    </row>
    <row r="14">
      <c r="A14" s="22" t="inlineStr">
        <is>
          <t>P013</t>
        </is>
      </c>
      <c r="B14" s="22" t="inlineStr">
        <is>
          <t>刘世灏</t>
        </is>
      </c>
      <c r="C14" s="22" t="n">
        <v>120</v>
      </c>
      <c r="D14" s="22" t="n">
        <v>76</v>
      </c>
      <c r="E14" s="22" t="n">
        <v>1.579</v>
      </c>
      <c r="F14" s="22" t="n">
        <v>1.71</v>
      </c>
      <c r="G14" s="22" t="n">
        <v>-0.01025</v>
      </c>
      <c r="H14" s="22" t="n">
        <v>0.874</v>
      </c>
      <c r="I14" s="22" t="n">
        <v>0.424</v>
      </c>
      <c r="J14" s="22" t="n">
        <v>0.094</v>
      </c>
      <c r="K14" s="22" t="n">
        <v>166.8</v>
      </c>
      <c r="L14" s="22" t="n">
        <v>71.3</v>
      </c>
      <c r="M14" s="22" t="inlineStr">
        <is>
          <t>中间型</t>
        </is>
      </c>
      <c r="N14" s="22" t="inlineStr">
        <is>
          <t>C</t>
        </is>
      </c>
    </row>
    <row r="15">
      <c r="A15" s="22" t="inlineStr">
        <is>
          <t>P014</t>
        </is>
      </c>
      <c r="B15" s="22" t="inlineStr">
        <is>
          <t>陶俊杰</t>
        </is>
      </c>
      <c r="C15" s="22" t="inlineStr">
        <is>
          <t>-</t>
        </is>
      </c>
      <c r="D15" s="22" t="n">
        <v>70</v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2" t="inlineStr">
        <is>
          <t>-</t>
        </is>
      </c>
      <c r="L15" s="22" t="inlineStr">
        <is>
          <t>-</t>
        </is>
      </c>
      <c r="M15" s="22" t="inlineStr">
        <is>
          <t>-</t>
        </is>
      </c>
      <c r="N15" s="22" t="inlineStr">
        <is>
          <t>-</t>
        </is>
      </c>
    </row>
    <row r="16">
      <c r="A16" s="22" t="inlineStr">
        <is>
          <t>P015</t>
        </is>
      </c>
      <c r="B16" s="22" t="inlineStr">
        <is>
          <t>陈先栋</t>
        </is>
      </c>
      <c r="C16" s="22" t="n">
        <v>135</v>
      </c>
      <c r="D16" s="22" t="n">
        <v>75</v>
      </c>
      <c r="E16" s="22" t="n">
        <v>1.8</v>
      </c>
      <c r="F16" s="22" t="n">
        <v>1.77</v>
      </c>
      <c r="G16" s="22" t="n">
        <v>-0.01025</v>
      </c>
      <c r="H16" s="22" t="n">
        <v>0.874</v>
      </c>
      <c r="I16" s="22" t="n">
        <v>0.386</v>
      </c>
      <c r="J16" s="22" t="n">
        <v>0.056</v>
      </c>
      <c r="K16" s="22" t="n">
        <v>172.7</v>
      </c>
      <c r="L16" s="22" t="n">
        <v>76.40000000000001</v>
      </c>
      <c r="M16" s="22" t="inlineStr">
        <is>
          <t>中间型</t>
        </is>
      </c>
      <c r="N16" s="22" t="inlineStr">
        <is>
          <t>C</t>
        </is>
      </c>
    </row>
    <row r="17">
      <c r="A17" s="22" t="inlineStr">
        <is>
          <t>P016</t>
        </is>
      </c>
      <c r="B17" s="22" t="inlineStr">
        <is>
          <t>杜遥</t>
        </is>
      </c>
      <c r="C17" s="22" t="n">
        <v>135</v>
      </c>
      <c r="D17" s="22" t="n">
        <v>100</v>
      </c>
      <c r="E17" s="22" t="n">
        <v>1.35</v>
      </c>
      <c r="F17" s="22" t="n">
        <v>1.54</v>
      </c>
      <c r="G17" s="22" t="n">
        <v>-0.008500000000000001</v>
      </c>
      <c r="H17" s="22" t="n">
        <v>1</v>
      </c>
      <c r="I17" s="22" t="n">
        <v>0.393</v>
      </c>
      <c r="J17" s="22" t="n">
        <v>0.063</v>
      </c>
      <c r="K17" s="22" t="n">
        <v>181.2</v>
      </c>
      <c r="L17" s="22" t="n">
        <v>69.8</v>
      </c>
      <c r="M17" s="22" t="inlineStr">
        <is>
          <t>中间型</t>
        </is>
      </c>
      <c r="N17" s="22" t="inlineStr">
        <is>
          <t>B</t>
        </is>
      </c>
    </row>
    <row r="18">
      <c r="A18" s="22" t="inlineStr">
        <is>
          <t>P017</t>
        </is>
      </c>
      <c r="B18" s="22" t="inlineStr">
        <is>
          <t>林树志</t>
        </is>
      </c>
      <c r="C18" s="22" t="inlineStr">
        <is>
          <t>-</t>
        </is>
      </c>
      <c r="D18" s="22" t="n">
        <v>72</v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2" t="inlineStr">
        <is>
          <t>-</t>
        </is>
      </c>
      <c r="L18" s="22" t="inlineStr">
        <is>
          <t>-</t>
        </is>
      </c>
      <c r="M18" s="22" t="inlineStr">
        <is>
          <t>-</t>
        </is>
      </c>
      <c r="N18" s="22" t="inlineStr">
        <is>
          <t>-</t>
        </is>
      </c>
    </row>
    <row r="19">
      <c r="A19" s="22" t="inlineStr">
        <is>
          <t>P018</t>
        </is>
      </c>
      <c r="B19" s="22" t="inlineStr">
        <is>
          <t>孟维宇</t>
        </is>
      </c>
      <c r="C19" s="22" t="n">
        <v>122.5</v>
      </c>
      <c r="D19" s="22" t="n">
        <v>75</v>
      </c>
      <c r="E19" s="22" t="n">
        <v>1.633</v>
      </c>
      <c r="F19" s="22" t="n">
        <v>1.71</v>
      </c>
      <c r="G19" s="22" t="n">
        <v>-0.0105</v>
      </c>
      <c r="H19" s="22" t="n">
        <v>1</v>
      </c>
      <c r="I19" s="22" t="n">
        <v>0.424</v>
      </c>
      <c r="J19" s="22" t="n">
        <v>0.094</v>
      </c>
      <c r="K19" s="22" t="n">
        <v>162.9</v>
      </c>
      <c r="L19" s="22" t="n">
        <v>69.59999999999999</v>
      </c>
      <c r="M19" s="22" t="inlineStr">
        <is>
          <t>速度型</t>
        </is>
      </c>
      <c r="N19" s="22" t="inlineStr">
        <is>
          <t>B</t>
        </is>
      </c>
    </row>
    <row r="20">
      <c r="A20" s="22" t="inlineStr">
        <is>
          <t>P019</t>
        </is>
      </c>
      <c r="B20" s="22" t="inlineStr">
        <is>
          <t>张陈生</t>
        </is>
      </c>
      <c r="C20" s="22" t="inlineStr">
        <is>
          <t>-</t>
        </is>
      </c>
      <c r="D20" s="22" t="n">
        <v>80</v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2" t="inlineStr">
        <is>
          <t>-</t>
        </is>
      </c>
      <c r="L20" s="22" t="inlineStr">
        <is>
          <t>-</t>
        </is>
      </c>
      <c r="M20" s="22" t="inlineStr">
        <is>
          <t>-</t>
        </is>
      </c>
      <c r="N20" s="22" t="inlineStr">
        <is>
          <t>-</t>
        </is>
      </c>
    </row>
    <row r="21">
      <c r="A21" s="22" t="inlineStr">
        <is>
          <t>P020</t>
        </is>
      </c>
      <c r="B21" s="22" t="inlineStr">
        <is>
          <t>梁辉靖</t>
        </is>
      </c>
      <c r="C21" s="22" t="inlineStr">
        <is>
          <t>-</t>
        </is>
      </c>
      <c r="D21" s="22" t="n">
        <v>65</v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2" t="inlineStr">
        <is>
          <t>-</t>
        </is>
      </c>
      <c r="L21" s="22" t="inlineStr">
        <is>
          <t>-</t>
        </is>
      </c>
      <c r="M21" s="22" t="inlineStr">
        <is>
          <t>-</t>
        </is>
      </c>
      <c r="N21" s="22" t="inlineStr">
        <is>
          <t>-</t>
        </is>
      </c>
    </row>
    <row r="22">
      <c r="A22" s="22" t="inlineStr">
        <is>
          <t>P021</t>
        </is>
      </c>
      <c r="B22" s="22" t="inlineStr">
        <is>
          <t>李浩然</t>
        </is>
      </c>
      <c r="C22" s="22" t="n">
        <v>110</v>
      </c>
      <c r="D22" s="22" t="n">
        <v>76.3</v>
      </c>
      <c r="E22" s="22" t="n">
        <v>1.442</v>
      </c>
      <c r="F22" s="22" t="n">
        <v>1.682</v>
      </c>
      <c r="G22" s="22" t="n">
        <v>-0.01265</v>
      </c>
      <c r="H22" s="22" t="n">
        <v>0.973</v>
      </c>
      <c r="I22" s="22" t="n">
        <v>0.29</v>
      </c>
      <c r="J22" s="22" t="n">
        <v>-0.04</v>
      </c>
      <c r="K22" s="22" t="n">
        <v>133</v>
      </c>
      <c r="L22" s="22" t="n">
        <v>55.9</v>
      </c>
      <c r="M22" s="22" t="inlineStr">
        <is>
          <t>速度型</t>
        </is>
      </c>
      <c r="N22" s="22" t="inlineStr">
        <is>
          <t>A</t>
        </is>
      </c>
    </row>
    <row r="23">
      <c r="A23" s="22" t="inlineStr">
        <is>
          <t>P022</t>
        </is>
      </c>
      <c r="B23" s="22" t="inlineStr">
        <is>
          <t>卢狄</t>
        </is>
      </c>
      <c r="C23" s="22" t="inlineStr">
        <is>
          <t>-</t>
        </is>
      </c>
      <c r="D23" s="22" t="n">
        <v>72</v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2" t="inlineStr">
        <is>
          <t>-</t>
        </is>
      </c>
      <c r="L23" s="22" t="inlineStr">
        <is>
          <t>-</t>
        </is>
      </c>
      <c r="M23" s="22" t="inlineStr">
        <is>
          <t>-</t>
        </is>
      </c>
      <c r="N23" s="22" t="inlineStr">
        <is>
          <t>-</t>
        </is>
      </c>
    </row>
    <row r="24">
      <c r="A24" s="22" t="inlineStr">
        <is>
          <t>P023</t>
        </is>
      </c>
      <c r="B24" s="22" t="inlineStr">
        <is>
          <t>杨子恒</t>
        </is>
      </c>
      <c r="C24" s="22" t="n">
        <v>170</v>
      </c>
      <c r="D24" s="22" t="n">
        <v>81.3</v>
      </c>
      <c r="E24" s="22" t="n">
        <v>2.091</v>
      </c>
      <c r="F24" s="22" t="n">
        <v>2.021</v>
      </c>
      <c r="G24" s="22" t="n">
        <v>-0.00975</v>
      </c>
      <c r="H24" s="22" t="n">
        <v>0.988</v>
      </c>
      <c r="I24" s="22" t="n">
        <v>0.51</v>
      </c>
      <c r="J24" s="22" t="n">
        <v>0.18</v>
      </c>
      <c r="K24" s="22" t="n">
        <v>168.8</v>
      </c>
      <c r="L24" s="22" t="n">
        <v>104.8</v>
      </c>
      <c r="M24" s="22" t="inlineStr">
        <is>
          <t>力量型</t>
        </is>
      </c>
      <c r="N24" s="22" t="inlineStr">
        <is>
          <t>B</t>
        </is>
      </c>
    </row>
    <row r="25">
      <c r="A25" s="22" t="inlineStr">
        <is>
          <t>P024</t>
        </is>
      </c>
      <c r="B25" s="22" t="inlineStr">
        <is>
          <t>黄天祺</t>
        </is>
      </c>
      <c r="C25" s="22" t="n">
        <v>130</v>
      </c>
      <c r="D25" s="22" t="n">
        <v>74.40000000000001</v>
      </c>
      <c r="E25" s="22" t="n">
        <v>1.747</v>
      </c>
      <c r="F25" s="22" t="n">
        <v>1.32</v>
      </c>
      <c r="G25" s="22" t="n">
        <v>-0.007849999999999999</v>
      </c>
      <c r="H25" s="22" t="n">
        <v>0.985</v>
      </c>
      <c r="I25" s="22" t="n">
        <v>0.3</v>
      </c>
      <c r="J25" s="22" t="n">
        <v>-0.03</v>
      </c>
      <c r="K25" s="22" t="n">
        <v>168.2</v>
      </c>
      <c r="L25" s="22" t="n">
        <v>65.5</v>
      </c>
      <c r="M25" s="22" t="inlineStr">
        <is>
          <t>速度型</t>
        </is>
      </c>
      <c r="N25" s="22" t="inlineStr">
        <is>
          <t>A</t>
        </is>
      </c>
    </row>
    <row r="26">
      <c r="A26" s="22" t="inlineStr">
        <is>
          <t>P025</t>
        </is>
      </c>
      <c r="B26" s="22" t="inlineStr">
        <is>
          <t>范芳忠</t>
        </is>
      </c>
      <c r="C26" s="22" t="n">
        <v>135</v>
      </c>
      <c r="D26" s="22" t="n">
        <v>80.40000000000001</v>
      </c>
      <c r="E26" s="22" t="n">
        <v>1.679</v>
      </c>
      <c r="F26" s="22" t="n">
        <v>1.77</v>
      </c>
      <c r="G26" s="22" t="n">
        <v>-0.0105</v>
      </c>
      <c r="H26" s="22" t="n">
        <v>0.997</v>
      </c>
      <c r="I26" s="22" t="n">
        <v>0.353</v>
      </c>
      <c r="J26" s="22" t="n">
        <v>0.023</v>
      </c>
      <c r="K26" s="22" t="n">
        <v>163.8</v>
      </c>
      <c r="L26" s="22" t="n">
        <v>74.59999999999999</v>
      </c>
      <c r="M26" s="22" t="inlineStr">
        <is>
          <t>速度型</t>
        </is>
      </c>
      <c r="N26" s="22" t="inlineStr">
        <is>
          <t>A</t>
        </is>
      </c>
    </row>
    <row r="27">
      <c r="A27" s="22" t="inlineStr">
        <is>
          <t>P026</t>
        </is>
      </c>
      <c r="B27" s="22" t="inlineStr">
        <is>
          <t>古翔宇</t>
        </is>
      </c>
      <c r="C27" s="22" t="n">
        <v>135</v>
      </c>
      <c r="D27" s="22" t="n">
        <v>82.2</v>
      </c>
      <c r="E27" s="22" t="n">
        <v>1.642</v>
      </c>
      <c r="F27" s="22" t="n">
        <v>1.64</v>
      </c>
      <c r="G27" s="22" t="n">
        <v>-0.00975</v>
      </c>
      <c r="H27" s="22" t="n">
        <v>0.998</v>
      </c>
      <c r="I27" s="22" t="n">
        <v>0.3</v>
      </c>
      <c r="J27" s="22" t="n">
        <v>-0.03</v>
      </c>
      <c r="K27" s="22" t="n">
        <v>168.6</v>
      </c>
      <c r="L27" s="22" t="n">
        <v>69</v>
      </c>
      <c r="M27" s="22" t="inlineStr">
        <is>
          <t>中间型</t>
        </is>
      </c>
      <c r="N27" s="2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2026-07-28T05:59:06Z</dcterms:created>
  <dcterms:modified xmlns:dcterms="http://purl.org/dc/terms/" xmlns:xsi="http://www.w3.org/2001/XMLSchema-instance" xsi:type="dcterms:W3CDTF">2026-07-28T05:59:07Z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{"Label":"1","ContentProducer":"001191440300708461136T1WFUO","ProduceID":"910b1aaf9c4343dc75b7a96dd24c62af-itaE","ReservedCode1":"{\"Type\":\" TC260PG\",\"Version\":1,\"Bindings\":[{\"Type\":\"soft\",\"AlgID\":\"sm3\",\"Value\":\"7dc5784df374d5373090bce321d2c1d36596634e1b5dafafd2638782401241a9\"},{\"Type\":\"hash\",\"AlgID\":\"sm3\",\"Value\":\"5e6cea12c5f90043953015de9349c71b34fd05081501ee4356a00639c2d83f4d\"}],\"PubSD\":[{\"Type\":\"DS\",\"AlgID\":\"sm2\",\"TBSData\":{\"Type\":\"Binding\",\"BType\":\"hash\"},\"Signature\":\"304402207a323d1c5d112aaba0376975397e46e84629d158dca95178f2ebcd4715bad14f022023d63e3829d17b4bdf35205ef100fea611ab681bbbcde6deb633f82447c4aec3\"},{\"Type\":\"PubKey\",\"AlgID\":\"sm2\",\"KeyValue\":\"0407f79b28a17a752b3aae4305c98b48978213832729a2571850b1310b2bc9fe8fee039ccf25ebfeac27502414d9fcef792d777183c98893d226171c2f7a3289a2\"}],\"Extension\":{\"Timestamp\":1785218407,\"KeyVersion\":\"v1-TxLeOmf7bqU223\"}}","ContentPropagator":"001191440300708461136T1WFUO","PropagateID":"910b1aaf9c4343dc75b7a96dd24c62af-itaE","ReservedCode2":"{\"Type\":\" TC260PG\",\"Version\":1,\"Bindings\":[{\"Type\":\"soft\",\"AlgID\":\"sm3\",\"Value\":\"7dc5784df374d5373090bce321d2c1d36596634e1b5dafafd2638782401241a9\"},{\"Type\":\"hash\",\"AlgID\":\"sm3\",\"Value\":\"5e6cea12c5f90043953015de9349c71b34fd05081501ee4356a00639c2d83f4d\"}],\"PubSD\":[{\"Type\":\"DS\",\"AlgID\":\"sm2\",\"TBSData\":{\"Type\":\"Binding\",\"BType\":\"hash\"},\"Signature\":\"3045022051c89897aa2f96f21c32737df8c5cbece092739489789bbc704aa336e1b6681302210083782171e8db7cb3d403625e6e3976c733a9a9268926d58158d711aea54e90f9\"},{\"Type\":\"PubKey\",\"AlgID\":\"sm2\",\"KeyValue\":\"0407f79b28a17a752b3aae4305c98b48978213832729a2571850b1310b2bc9fe8fee039ccf25ebfeac27502414d9fcef792d777183c98893d226171c2f7a3289a2\"}],\"Extension\":{\"Timestamp\":1785218407,\"KeyVersion\":\"v1-TxLeOmf7bqU223\"}}"}</vt:lpwstr>
  </property>
</Properties>
</file>