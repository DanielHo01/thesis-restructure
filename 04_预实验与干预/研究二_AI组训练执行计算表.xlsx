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_A" sheetId="1" state="visible" r:id="rId1"/>
    <sheet xmlns:r="http://schemas.openxmlformats.org/officeDocument/2006/relationships" name="W1_B" sheetId="2" state="visible" r:id="rId2"/>
    <sheet xmlns:r="http://schemas.openxmlformats.org/officeDocument/2006/relationships" name="W2_A" sheetId="3" state="visible" r:id="rId3"/>
    <sheet xmlns:r="http://schemas.openxmlformats.org/officeDocument/2006/relationships" name="W2_B" sheetId="4" state="visible" r:id="rId4"/>
    <sheet xmlns:r="http://schemas.openxmlformats.org/officeDocument/2006/relationships" name="W3_A" sheetId="5" state="visible" r:id="rId5"/>
    <sheet xmlns:r="http://schemas.openxmlformats.org/officeDocument/2006/relationships" name="W3_B" sheetId="6" state="visible" r:id="rId6"/>
    <sheet xmlns:r="http://schemas.openxmlformats.org/officeDocument/2006/relationships" name="W4_A" sheetId="7" state="visible" r:id="rId7"/>
    <sheet xmlns:r="http://schemas.openxmlformats.org/officeDocument/2006/relationships" name="W4_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WenQuanYi Micro Hei"/>
      <b val="1"/>
      <color rgb="001F4E79"/>
      <sz val="13"/>
    </font>
    <font>
      <name val="WenQuanYi Micro Hei"/>
      <b val="1"/>
      <sz val="10"/>
    </font>
    <font>
      <name val="WenQuanYi Micro Hei"/>
      <b val="1"/>
      <color rgb="00C00000"/>
      <sz val="12"/>
    </font>
    <font>
      <name val="WenQuanYi Micro Hei"/>
      <b val="1"/>
      <color rgb="001F4E79"/>
      <sz val="10"/>
    </font>
    <font>
      <name val="WenQuanYi Micro Hei"/>
      <b val="1"/>
      <color rgb="00FFFFFF"/>
      <sz val="10"/>
    </font>
    <font>
      <name val="WenQuanYi Micro Hei"/>
      <sz val="10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FE0B2"/>
      </patternFill>
    </fill>
    <fill>
      <patternFill patternType="solid">
        <fgColor rgb="00E0F7FA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6" customWidth="1" min="15" max="15"/>
    <col width="12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>
      <c r="A1" s="1" t="inlineStr">
        <is>
          <t>研究二 AI组训练执行计算表 — W1_A（Day A）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目标MCV区间</t>
        </is>
      </c>
      <c r="B2" s="4" t="inlineStr">
        <is>
          <t>0.55-0.65</t>
        </is>
      </c>
      <c r="C2" s="3" t="inlineStr">
        <is>
          <t>目标MCV中点</t>
        </is>
      </c>
      <c r="D2" s="4" t="n">
        <v>0.6</v>
      </c>
      <c r="E2" s="3" t="inlineStr">
        <is>
          <t>VL阈值%</t>
        </is>
      </c>
      <c r="F2" s="4" t="n">
        <v>18</v>
      </c>
      <c r="G2" s="3" t="inlineStr">
        <is>
          <t>安全停止(m/s)</t>
        </is>
      </c>
      <c r="H2" s="4" t="n">
        <v>0.15</v>
      </c>
      <c r="I2" s="3" t="inlineStr">
        <is>
          <t>计划组数</t>
        </is>
      </c>
      <c r="J2" s="4" t="n">
        <v>4</v>
      </c>
      <c r="K2" s="3" t="inlineStr">
        <is>
          <t>每组次数</t>
        </is>
      </c>
      <c r="L2" s="4" t="inlineStr">
        <is>
          <t>4-5</t>
        </is>
      </c>
    </row>
    <row r="4">
      <c r="A4" s="5" t="inlineStr">
        <is>
          <t>── P007 陈鑫 ──────────────────────────────────────────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7" t="n"/>
    </row>
    <row r="5">
      <c r="A5" s="8" t="inlineStr">
        <is>
          <t>编号</t>
        </is>
      </c>
      <c r="B5" s="8" t="inlineStr">
        <is>
          <t>姓名</t>
        </is>
      </c>
      <c r="C5" s="8" t="inlineStr">
        <is>
          <t>身高</t>
        </is>
      </c>
      <c r="D5" s="8" t="inlineStr">
        <is>
          <t>1RM</t>
        </is>
      </c>
      <c r="E5" s="8" t="inlineStr">
        <is>
          <t>睡眠</t>
        </is>
      </c>
      <c r="F5" s="8" t="inlineStr">
        <is>
          <t>压力</t>
        </is>
      </c>
      <c r="G5" s="8" t="inlineStr">
        <is>
          <t>疲劳</t>
        </is>
      </c>
      <c r="H5" s="8" t="inlineStr">
        <is>
          <t>酸痛</t>
        </is>
      </c>
      <c r="I5" s="8" t="inlineStr">
        <is>
          <t>Hooper总</t>
        </is>
      </c>
      <c r="J5" s="8" t="inlineStr">
        <is>
          <t>CMJ1</t>
        </is>
      </c>
      <c r="K5" s="8" t="inlineStr">
        <is>
          <t>CMJ2</t>
        </is>
      </c>
      <c r="L5" s="8" t="inlineStr">
        <is>
          <t>CMJ3</t>
        </is>
      </c>
      <c r="M5" s="8" t="inlineStr">
        <is>
          <t>CMJ均值</t>
        </is>
      </c>
      <c r="N5" s="8" t="inlineStr">
        <is>
          <t>&lt;95%?</t>
        </is>
      </c>
      <c r="O5" s="8" t="inlineStr">
        <is>
          <t>减组?</t>
        </is>
      </c>
      <c r="P5" s="8" t="inlineStr">
        <is>
          <t>实做组数</t>
        </is>
      </c>
      <c r="Q5" s="8" t="inlineStr">
        <is>
          <t>LVP_a</t>
        </is>
      </c>
      <c r="R5" s="8" t="inlineStr">
        <is>
          <t>LVP_b</t>
        </is>
      </c>
      <c r="S5" s="8" t="inlineStr">
        <is>
          <t>等级</t>
        </is>
      </c>
      <c r="T5" s="8" t="inlineStr">
        <is>
          <t>预测起始</t>
        </is>
      </c>
    </row>
    <row r="6">
      <c r="A6" s="9" t="inlineStr">
        <is>
          <t>P007</t>
        </is>
      </c>
      <c r="B6" s="9" t="inlineStr">
        <is>
          <t>陈鑫</t>
        </is>
      </c>
      <c r="C6" s="9" t="n">
        <v>173</v>
      </c>
      <c r="D6" s="9" t="n">
        <v>110</v>
      </c>
      <c r="E6" s="9" t="n"/>
      <c r="F6" s="9" t="n"/>
      <c r="G6" s="9" t="n"/>
      <c r="H6" s="9" t="n"/>
      <c r="I6" s="10">
        <f>IFERROR(SUM(E6:H6),"")</f>
        <v/>
      </c>
      <c r="J6" s="9" t="n"/>
      <c r="K6" s="9" t="n"/>
      <c r="L6" s="9" t="n"/>
      <c r="M6" s="10">
        <f>IFERROR(AVERAGE(J6:L6),"")</f>
        <v/>
      </c>
      <c r="N6" s="10">
        <f>IF(M6="","",IF(M6&lt;63.01,"是⚠","否"))</f>
        <v/>
      </c>
      <c r="O6" s="10">
        <f>IF(M6="","",IF(M6&lt;63.01,"减1组","正常"))</f>
        <v/>
      </c>
      <c r="P6" s="10">
        <f>IF(M6="","",IF(M6&lt;63.01,4-1,4))</f>
        <v/>
      </c>
      <c r="Q6" s="9" t="n">
        <v>1.65</v>
      </c>
      <c r="R6" s="9" t="n">
        <v>-0.0125</v>
      </c>
      <c r="S6" s="9" t="inlineStr">
        <is>
          <t>A</t>
        </is>
      </c>
      <c r="T6" s="10">
        <f>IFERROR(ROUND((0.6-1.65)/-0.0125,0.5),"")</f>
        <v/>
      </c>
    </row>
    <row r="7">
      <c r="A7" s="8" t="inlineStr">
        <is>
          <t>热身校准</t>
        </is>
      </c>
      <c r="B7" s="8" t="inlineStr">
        <is>
          <t>LVP_a</t>
        </is>
      </c>
      <c r="C7" s="8" t="inlineStr">
        <is>
          <t>LVP_b</t>
        </is>
      </c>
      <c r="D7" s="8" t="inlineStr">
        <is>
          <t>50%热身kg</t>
        </is>
      </c>
      <c r="E7" s="8" t="inlineStr">
        <is>
          <t>70%热身kg</t>
        </is>
      </c>
      <c r="F7" s="8" t="inlineStr">
        <is>
          <t>热身负荷kg</t>
        </is>
      </c>
      <c r="G7" s="8" t="inlineStr">
        <is>
          <t>实测MCV</t>
        </is>
      </c>
      <c r="H7" s="8" t="inlineStr">
        <is>
          <t>预测MCV</t>
        </is>
      </c>
      <c r="I7" s="8" t="inlineStr">
        <is>
          <t>Δv</t>
        </is>
      </c>
      <c r="J7" s="8" t="inlineStr">
        <is>
          <t>调整量kg</t>
        </is>
      </c>
      <c r="K7" s="8" t="inlineStr">
        <is>
          <t>校准后第1组kg</t>
        </is>
      </c>
    </row>
    <row r="8">
      <c r="A8" s="11" t="inlineStr"/>
      <c r="B8" s="11" t="n">
        <v>1.65</v>
      </c>
      <c r="C8" s="11" t="n">
        <v>-0.0125</v>
      </c>
      <c r="D8" s="10">
        <f>IFERROR(ROUND(T6*0.5,2.5),"")</f>
        <v/>
      </c>
      <c r="E8" s="10">
        <f>IFERROR(ROUND(T6*0.7,2.5),"")</f>
        <v/>
      </c>
      <c r="F8" s="10">
        <f>E8</f>
        <v/>
      </c>
      <c r="G8" s="9" t="n"/>
      <c r="H8" s="10">
        <f>IF(F8="","",B8+C8*F8)</f>
        <v/>
      </c>
      <c r="I8" s="10">
        <f>IF(OR(G8="",H8=""),"",G8-H8)</f>
        <v/>
      </c>
      <c r="J8" s="10">
        <f>IF(I8="","",IF(I8&gt;0.08,5,IF(I8&gt;0.04,2.5,IF(I8&gt;=-0.04,0,IF(I8&gt;=-0.08,-2.5,-5)))))</f>
        <v/>
      </c>
      <c r="K8" s="10">
        <f>IFERROR(ROUND(T6+J8,2.5),"")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8" t="inlineStr">
        <is>
          <t>组次</t>
        </is>
      </c>
      <c r="B9" s="8" t="inlineStr">
        <is>
          <t>负荷kg</t>
        </is>
      </c>
      <c r="C9" s="8" t="inlineStr">
        <is>
          <t>rep1</t>
        </is>
      </c>
      <c r="D9" s="8" t="inlineStr">
        <is>
          <t>rep2</t>
        </is>
      </c>
      <c r="E9" s="8" t="inlineStr">
        <is>
          <t>rep3</t>
        </is>
      </c>
      <c r="F9" s="8" t="inlineStr">
        <is>
          <t>rep4</t>
        </is>
      </c>
      <c r="G9" s="8" t="inlineStr">
        <is>
          <t>rep5</t>
        </is>
      </c>
      <c r="H9" s="8" t="inlineStr">
        <is>
          <t>rep6</t>
        </is>
      </c>
      <c r="I9" s="8" t="inlineStr">
        <is>
          <t>首rep</t>
        </is>
      </c>
      <c r="J9" s="8" t="inlineStr">
        <is>
          <t>最低速</t>
        </is>
      </c>
      <c r="K9" s="8" t="inlineStr">
        <is>
          <t>最低rep#</t>
        </is>
      </c>
      <c r="L9" s="8" t="inlineStr">
        <is>
          <t>VL%</t>
        </is>
      </c>
      <c r="M9" s="8" t="inlineStr">
        <is>
          <t>VL达标?</t>
        </is>
      </c>
      <c r="N9" s="8" t="inlineStr">
        <is>
          <t>安全停止?</t>
        </is>
      </c>
      <c r="O9" s="8" t="inlineStr">
        <is>
          <t>停组原因</t>
        </is>
      </c>
      <c r="P9" s="8" t="inlineStr">
        <is>
          <t>下组建议</t>
        </is>
      </c>
      <c r="Q9" s="8" t="inlineStr">
        <is>
          <t>实做次数</t>
        </is>
      </c>
    </row>
    <row r="10">
      <c r="A10" s="12" t="n">
        <v>1</v>
      </c>
      <c r="B10" s="10">
        <f>IF(K8="","",K8)</f>
        <v/>
      </c>
      <c r="C10" s="9" t="n"/>
      <c r="D10" s="9" t="n"/>
      <c r="E10" s="9" t="n"/>
      <c r="F10" s="9" t="n"/>
      <c r="G10" s="9" t="n"/>
      <c r="H10" s="9" t="n"/>
      <c r="I10" s="10">
        <f>IFERROR(INDEX(C10:H10,MATCH(TRUE,INDEX(C10:H10&lt;&gt;"",0),0)),"")</f>
        <v/>
      </c>
      <c r="J10" s="10">
        <f>IFERROR(MIN(IF(C10:H10&lt;&gt;"",C10:H10)),"")</f>
        <v/>
      </c>
      <c r="K10" s="10">
        <f>IFERROR(MATCH(I10,C10:H10,0),"")</f>
        <v/>
      </c>
      <c r="L10" s="10">
        <f>IF(OR(I10="",J10=""),"",ROUND((I10-J10)/I10*100,1))</f>
        <v/>
      </c>
      <c r="M10" s="10">
        <f>IF(L10="","",IF(L10&gt;=18,"是","否"))</f>
        <v/>
      </c>
      <c r="N10" s="10">
        <f>IF(J10="","",IF(J10&lt;0.15,"是","否"))</f>
        <v/>
      </c>
      <c r="O10" s="10">
        <f>IF(I10="","",IF(J10&lt;0.15,"SAFETY_STOP",IF(L10&gt;=18,"VL_THRESHOLD","PLANNED_END")))</f>
        <v/>
      </c>
      <c r="P10" s="10">
        <f>IF(I10="","",IF(I10&gt;($D$2+0.05),"+5kg",IF(I10&gt;($D$2+0.02),"+2.5kg",IF(I10&gt;=($D$2-0.05),"保持",IF(I10&gt;=($D$2-0.08),"-2.5kg","-5kg")))))</f>
        <v/>
      </c>
      <c r="Q10" s="9" t="n"/>
      <c r="R10" s="12" t="n"/>
      <c r="S10" s="12" t="n"/>
      <c r="T10" s="12" t="n"/>
    </row>
    <row r="11">
      <c r="A11" s="12" t="n">
        <v>2</v>
      </c>
      <c r="B11" s="9" t="n"/>
      <c r="C11" s="9" t="n"/>
      <c r="D11" s="9" t="n"/>
      <c r="E11" s="9" t="n"/>
      <c r="F11" s="9" t="n"/>
      <c r="G11" s="9" t="n"/>
      <c r="H11" s="9" t="n"/>
      <c r="I11" s="10">
        <f>IFERROR(INDEX(C11:H11,MATCH(TRUE,INDEX(C11:H11&lt;&gt;"",0),0)),"")</f>
        <v/>
      </c>
      <c r="J11" s="10">
        <f>IFERROR(MIN(IF(C11:H11&lt;&gt;"",C11:H11)),"")</f>
        <v/>
      </c>
      <c r="K11" s="10">
        <f>IFERROR(MATCH(I11,C11:H11,0),"")</f>
        <v/>
      </c>
      <c r="L11" s="10">
        <f>IF(OR(I11="",J11=""),"",ROUND((I11-J11)/I11*100,1))</f>
        <v/>
      </c>
      <c r="M11" s="10">
        <f>IF(L11="","",IF(L11&gt;=18,"是","否"))</f>
        <v/>
      </c>
      <c r="N11" s="10">
        <f>IF(J11="","",IF(J11&lt;0.15,"是","否"))</f>
        <v/>
      </c>
      <c r="O11" s="10">
        <f>IF(I11="","",IF(J11&lt;0.15,"SAFETY_STOP",IF(L11&gt;=18,"VL_THRESHOLD","PLANNED_END")))</f>
        <v/>
      </c>
      <c r="P11" s="10">
        <f>IF(I11="","",IF(I11&gt;($D$2+0.05),"+5kg",IF(I11&gt;($D$2+0.02),"+2.5kg",IF(I11&gt;=($D$2-0.05),"保持",IF(I11&gt;=($D$2-0.08),"-2.5kg","-5kg")))))</f>
        <v/>
      </c>
      <c r="Q11" s="9" t="n"/>
      <c r="R11" s="12" t="n"/>
      <c r="S11" s="12" t="n"/>
      <c r="T11" s="12" t="n"/>
    </row>
    <row r="12">
      <c r="A12" s="12" t="n">
        <v>3</v>
      </c>
      <c r="B12" s="9" t="n"/>
      <c r="C12" s="9" t="n"/>
      <c r="D12" s="9" t="n"/>
      <c r="E12" s="9" t="n"/>
      <c r="F12" s="9" t="n"/>
      <c r="G12" s="9" t="n"/>
      <c r="H12" s="9" t="n"/>
      <c r="I12" s="10">
        <f>IFERROR(INDEX(C12:H12,MATCH(TRUE,INDEX(C12:H12&lt;&gt;"",0),0)),"")</f>
        <v/>
      </c>
      <c r="J12" s="10">
        <f>IFERROR(MIN(IF(C12:H12&lt;&gt;"",C12:H12)),"")</f>
        <v/>
      </c>
      <c r="K12" s="10">
        <f>IFERROR(MATCH(I12,C12:H12,0),"")</f>
        <v/>
      </c>
      <c r="L12" s="10">
        <f>IF(OR(I12="",J12=""),"",ROUND((I12-J12)/I12*100,1))</f>
        <v/>
      </c>
      <c r="M12" s="10">
        <f>IF(L12="","",IF(L12&gt;=18,"是","否"))</f>
        <v/>
      </c>
      <c r="N12" s="10">
        <f>IF(J12="","",IF(J12&lt;0.15,"是","否"))</f>
        <v/>
      </c>
      <c r="O12" s="10">
        <f>IF(I12="","",IF(J12&lt;0.15,"SAFETY_STOP",IF(L12&gt;=18,"VL_THRESHOLD","PLANNED_END")))</f>
        <v/>
      </c>
      <c r="P12" s="10">
        <f>IF(I12="","",IF(I12&gt;($D$2+0.05),"+5kg",IF(I12&gt;($D$2+0.02),"+2.5kg",IF(I12&gt;=($D$2-0.05),"保持",IF(I12&gt;=($D$2-0.08),"-2.5kg","-5kg")))))</f>
        <v/>
      </c>
      <c r="Q12" s="9" t="n"/>
      <c r="R12" s="12" t="n"/>
      <c r="S12" s="12" t="n"/>
      <c r="T12" s="12" t="n"/>
    </row>
    <row r="13">
      <c r="A13" s="12" t="n">
        <v>4</v>
      </c>
      <c r="B13" s="9" t="n"/>
      <c r="C13" s="9" t="n"/>
      <c r="D13" s="9" t="n"/>
      <c r="E13" s="9" t="n"/>
      <c r="F13" s="9" t="n"/>
      <c r="G13" s="9" t="n"/>
      <c r="H13" s="9" t="n"/>
      <c r="I13" s="10">
        <f>IFERROR(INDEX(C13:H13,MATCH(TRUE,INDEX(C13:H13&lt;&gt;"",0),0)),"")</f>
        <v/>
      </c>
      <c r="J13" s="10">
        <f>IFERROR(MIN(IF(C13:H13&lt;&gt;"",C13:H13)),"")</f>
        <v/>
      </c>
      <c r="K13" s="10">
        <f>IFERROR(MATCH(I13,C13:H13,0),"")</f>
        <v/>
      </c>
      <c r="L13" s="10">
        <f>IF(OR(I13="",J13=""),"",ROUND((I13-J13)/I13*100,1))</f>
        <v/>
      </c>
      <c r="M13" s="10">
        <f>IF(L13="","",IF(L13&gt;=18,"是","否"))</f>
        <v/>
      </c>
      <c r="N13" s="10">
        <f>IF(J13="","",IF(J13&lt;0.15,"是","否"))</f>
        <v/>
      </c>
      <c r="O13" s="10">
        <f>IF(I13="","",IF(J13&lt;0.15,"SAFETY_STOP",IF(L13&gt;=18,"VL_THRESHOLD","PLANNED_END")))</f>
        <v/>
      </c>
      <c r="P13" s="10">
        <f>IF(I13="","",IF(I13&gt;($D$2+0.05),"+5kg",IF(I13&gt;($D$2+0.02),"+2.5kg",IF(I13&gt;=($D$2-0.05),"保持",IF(I13&gt;=($D$2-0.08),"-2.5kg","-5kg")))))</f>
        <v/>
      </c>
      <c r="Q13" s="9" t="n"/>
      <c r="R13" s="12" t="n"/>
      <c r="S13" s="12" t="n"/>
      <c r="T13" s="12" t="n"/>
    </row>
    <row r="14">
      <c r="A14" s="12" t="n">
        <v>5</v>
      </c>
      <c r="B14" s="9" t="n"/>
      <c r="C14" s="9" t="n"/>
      <c r="D14" s="9" t="n"/>
      <c r="E14" s="9" t="n"/>
      <c r="F14" s="9" t="n"/>
      <c r="G14" s="9" t="n"/>
      <c r="H14" s="9" t="n"/>
      <c r="I14" s="10">
        <f>IFERROR(INDEX(C14:H14,MATCH(TRUE,INDEX(C14:H14&lt;&gt;"",0),0)),"")</f>
        <v/>
      </c>
      <c r="J14" s="10">
        <f>IFERROR(MIN(IF(C14:H14&lt;&gt;"",C14:H14)),"")</f>
        <v/>
      </c>
      <c r="K14" s="10">
        <f>IFERROR(MATCH(I14,C14:H14,0),"")</f>
        <v/>
      </c>
      <c r="L14" s="10">
        <f>IF(OR(I14="",J14=""),"",ROUND((I14-J14)/I14*100,1))</f>
        <v/>
      </c>
      <c r="M14" s="10">
        <f>IF(L14="","",IF(L14&gt;=18,"是","否"))</f>
        <v/>
      </c>
      <c r="N14" s="10">
        <f>IF(J14="","",IF(J14&lt;0.15,"是","否"))</f>
        <v/>
      </c>
      <c r="O14" s="10">
        <f>IF(I14="","",IF(J14&lt;0.15,"SAFETY_STOP",IF(L14&gt;=18,"VL_THRESHOLD","PLANNED_END")))</f>
        <v/>
      </c>
      <c r="P14" s="10">
        <f>IF(I14="","",IF(I14&gt;($D$2+0.05),"+5kg",IF(I14&gt;($D$2+0.02),"+2.5kg",IF(I14&gt;=($D$2-0.05),"保持",IF(I14&gt;=($D$2-0.08),"-2.5kg","-5kg")))))</f>
        <v/>
      </c>
      <c r="Q14" s="9" t="n"/>
      <c r="R14" s="12" t="n"/>
      <c r="S14" s="12" t="n"/>
      <c r="T14" s="12" t="n"/>
    </row>
    <row r="15">
      <c r="A15" s="12" t="n">
        <v>6</v>
      </c>
      <c r="B15" s="9" t="n"/>
      <c r="C15" s="9" t="n"/>
      <c r="D15" s="9" t="n"/>
      <c r="E15" s="9" t="n"/>
      <c r="F15" s="9" t="n"/>
      <c r="G15" s="9" t="n"/>
      <c r="H15" s="9" t="n"/>
      <c r="I15" s="10">
        <f>IFERROR(INDEX(C15:H15,MATCH(TRUE,INDEX(C15:H15&lt;&gt;"",0),0)),"")</f>
        <v/>
      </c>
      <c r="J15" s="10">
        <f>IFERROR(MIN(IF(C15:H15&lt;&gt;"",C15:H15)),"")</f>
        <v/>
      </c>
      <c r="K15" s="10">
        <f>IFERROR(MATCH(I15,C15:H15,0),"")</f>
        <v/>
      </c>
      <c r="L15" s="10">
        <f>IF(OR(I15="",J15=""),"",ROUND((I15-J15)/I15*100,1))</f>
        <v/>
      </c>
      <c r="M15" s="10">
        <f>IF(L15="","",IF(L15&gt;=18,"是","否"))</f>
        <v/>
      </c>
      <c r="N15" s="10">
        <f>IF(J15="","",IF(J15&lt;0.15,"是","否"))</f>
        <v/>
      </c>
      <c r="O15" s="10">
        <f>IF(I15="","",IF(J15&lt;0.15,"SAFETY_STOP",IF(L15&gt;=18,"VL_THRESHOLD","PLANNED_END")))</f>
        <v/>
      </c>
      <c r="P15" s="10">
        <f>IF(I15="","",IF(I15&gt;($D$2+0.05),"+5kg",IF(I15&gt;($D$2+0.02),"+2.5kg",IF(I15&gt;=($D$2-0.05),"保持",IF(I15&gt;=($D$2-0.08),"-2.5kg","-5kg")))))</f>
        <v/>
      </c>
      <c r="Q15" s="9" t="n"/>
      <c r="R15" s="12" t="n"/>
      <c r="S15" s="12" t="n"/>
      <c r="T15" s="12" t="n"/>
    </row>
    <row r="16">
      <c r="A16" s="8" t="inlineStr">
        <is>
          <t>辅助动作</t>
        </is>
      </c>
      <c r="B16" s="8" t="inlineStr">
        <is>
          <t>动作名称</t>
        </is>
      </c>
      <c r="C16" s="8" t="inlineStr">
        <is>
          <t>负荷kg</t>
        </is>
      </c>
      <c r="D16" s="8" t="inlineStr">
        <is>
          <t>完成(组×次)</t>
        </is>
      </c>
    </row>
    <row r="17">
      <c r="A17" s="9" t="inlineStr"/>
      <c r="B17" s="9" t="n"/>
      <c r="C17" s="9" t="n"/>
      <c r="D17" s="9" t="n"/>
    </row>
    <row r="18">
      <c r="A18" s="8" t="inlineStr">
        <is>
          <t>训练后</t>
        </is>
      </c>
      <c r="B18" s="8" t="inlineStr">
        <is>
          <t>开始时间</t>
        </is>
      </c>
      <c r="C18" s="8" t="inlineStr">
        <is>
          <t>结束时间</t>
        </is>
      </c>
      <c r="D18" s="8" t="inlineStr">
        <is>
          <t>总时长min</t>
        </is>
      </c>
      <c r="E18" s="8" t="inlineStr">
        <is>
          <t>sRPE</t>
        </is>
      </c>
      <c r="F18" s="8" t="inlineStr">
        <is>
          <t>session_load</t>
        </is>
      </c>
      <c r="G18" s="8" t="inlineStr">
        <is>
          <t>有无不适</t>
        </is>
      </c>
      <c r="H18" s="8" t="inlineStr">
        <is>
          <t>备注</t>
        </is>
      </c>
      <c r="I18" s="8" t="inlineStr">
        <is>
          <t>研究员签名</t>
        </is>
      </c>
    </row>
    <row r="19">
      <c r="A19" s="13" t="inlineStr"/>
      <c r="B19" s="13" t="n"/>
      <c r="C19" s="13" t="n"/>
      <c r="D19" s="10">
        <f>IF(OR(B19="",C19=""),"",(C19-B19)*1440)</f>
        <v/>
      </c>
      <c r="E19" s="13" t="n"/>
      <c r="F19" s="10">
        <f>IF(OR(D19="",E19=""),"",D19*E19)</f>
        <v/>
      </c>
      <c r="G19" s="13" t="n"/>
      <c r="H19" s="13" t="n"/>
      <c r="I19" s="13" t="n"/>
    </row>
    <row r="21">
      <c r="A21" s="5" t="inlineStr">
        <is>
          <t>── P005 曾庆华 ──────────────────────────────────────────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inlineStr">
        <is>
          <t>编号</t>
        </is>
      </c>
      <c r="B22" s="8" t="inlineStr">
        <is>
          <t>姓名</t>
        </is>
      </c>
      <c r="C22" s="8" t="inlineStr">
        <is>
          <t>身高</t>
        </is>
      </c>
      <c r="D22" s="8" t="inlineStr">
        <is>
          <t>1RM</t>
        </is>
      </c>
      <c r="E22" s="8" t="inlineStr">
        <is>
          <t>睡眠</t>
        </is>
      </c>
      <c r="F22" s="8" t="inlineStr">
        <is>
          <t>压力</t>
        </is>
      </c>
      <c r="G22" s="8" t="inlineStr">
        <is>
          <t>疲劳</t>
        </is>
      </c>
      <c r="H22" s="8" t="inlineStr">
        <is>
          <t>酸痛</t>
        </is>
      </c>
      <c r="I22" s="8" t="inlineStr">
        <is>
          <t>Hooper总</t>
        </is>
      </c>
      <c r="J22" s="8" t="inlineStr">
        <is>
          <t>CMJ1</t>
        </is>
      </c>
      <c r="K22" s="8" t="inlineStr">
        <is>
          <t>CMJ2</t>
        </is>
      </c>
      <c r="L22" s="8" t="inlineStr">
        <is>
          <t>CMJ3</t>
        </is>
      </c>
      <c r="M22" s="8" t="inlineStr">
        <is>
          <t>CMJ均值</t>
        </is>
      </c>
      <c r="N22" s="8" t="inlineStr">
        <is>
          <t>&lt;95%?</t>
        </is>
      </c>
      <c r="O22" s="8" t="inlineStr">
        <is>
          <t>减组?</t>
        </is>
      </c>
      <c r="P22" s="8" t="inlineStr">
        <is>
          <t>实做组数</t>
        </is>
      </c>
      <c r="Q22" s="8" t="inlineStr">
        <is>
          <t>LVP_a</t>
        </is>
      </c>
      <c r="R22" s="8" t="inlineStr">
        <is>
          <t>LVP_b</t>
        </is>
      </c>
      <c r="S22" s="8" t="inlineStr">
        <is>
          <t>等级</t>
        </is>
      </c>
      <c r="T22" s="8" t="inlineStr">
        <is>
          <t>预测起始</t>
        </is>
      </c>
    </row>
    <row r="23">
      <c r="A23" s="9" t="inlineStr">
        <is>
          <t>P005</t>
        </is>
      </c>
      <c r="B23" s="9" t="inlineStr">
        <is>
          <t>曾庆华</t>
        </is>
      </c>
      <c r="C23" s="9" t="n">
        <v>177</v>
      </c>
      <c r="D23" s="9" t="n">
        <v>155</v>
      </c>
      <c r="E23" s="9" t="n"/>
      <c r="F23" s="9" t="n"/>
      <c r="G23" s="9" t="n"/>
      <c r="H23" s="9" t="n"/>
      <c r="I23" s="10">
        <f>IFERROR(SUM(E23:H23),"")</f>
        <v/>
      </c>
      <c r="J23" s="9" t="n"/>
      <c r="K23" s="9" t="n"/>
      <c r="L23" s="9" t="n"/>
      <c r="M23" s="10">
        <f>IFERROR(AVERAGE(J23:L23),"")</f>
        <v/>
      </c>
      <c r="N23" s="10">
        <f>IF(M23="","",IF(M23&lt;57.57,"是⚠","否"))</f>
        <v/>
      </c>
      <c r="O23" s="10">
        <f>IF(M23="","",IF(M23&lt;57.57,"减1组","正常"))</f>
        <v/>
      </c>
      <c r="P23" s="10">
        <f>IF(M23="","",IF(M23&lt;57.57,4-1,4))</f>
        <v/>
      </c>
      <c r="Q23" s="9" t="n">
        <v>1.775</v>
      </c>
      <c r="R23" s="9" t="n">
        <v>-0.008750000000000001</v>
      </c>
      <c r="S23" s="9" t="inlineStr">
        <is>
          <t>B</t>
        </is>
      </c>
      <c r="T23" s="10">
        <f>IFERROR(ROUND((0.6-1.775)/-0.00875,0.5),"")</f>
        <v/>
      </c>
    </row>
    <row r="24">
      <c r="A24" s="8" t="inlineStr">
        <is>
          <t>热身校准</t>
        </is>
      </c>
      <c r="B24" s="8" t="inlineStr">
        <is>
          <t>LVP_a</t>
        </is>
      </c>
      <c r="C24" s="8" t="inlineStr">
        <is>
          <t>LVP_b</t>
        </is>
      </c>
      <c r="D24" s="8" t="inlineStr">
        <is>
          <t>50%热身kg</t>
        </is>
      </c>
      <c r="E24" s="8" t="inlineStr">
        <is>
          <t>70%热身kg</t>
        </is>
      </c>
      <c r="F24" s="8" t="inlineStr">
        <is>
          <t>热身负荷kg</t>
        </is>
      </c>
      <c r="G24" s="8" t="inlineStr">
        <is>
          <t>实测MCV</t>
        </is>
      </c>
      <c r="H24" s="8" t="inlineStr">
        <is>
          <t>预测MCV</t>
        </is>
      </c>
      <c r="I24" s="8" t="inlineStr">
        <is>
          <t>Δv</t>
        </is>
      </c>
      <c r="J24" s="8" t="inlineStr">
        <is>
          <t>调整量kg</t>
        </is>
      </c>
      <c r="K24" s="8" t="inlineStr">
        <is>
          <t>校准后第1组kg</t>
        </is>
      </c>
    </row>
    <row r="25">
      <c r="A25" s="11" t="inlineStr"/>
      <c r="B25" s="11" t="n">
        <v>1.775</v>
      </c>
      <c r="C25" s="11" t="n">
        <v>-0.008750000000000001</v>
      </c>
      <c r="D25" s="10">
        <f>IFERROR(ROUND(T23*0.5,2.5),"")</f>
        <v/>
      </c>
      <c r="E25" s="10">
        <f>IFERROR(ROUND(T23*0.7,2.5),"")</f>
        <v/>
      </c>
      <c r="F25" s="10">
        <f>E25</f>
        <v/>
      </c>
      <c r="G25" s="9" t="n"/>
      <c r="H25" s="10">
        <f>IF(F25="","",B25+C25*F25)</f>
        <v/>
      </c>
      <c r="I25" s="10">
        <f>IF(OR(G25="",H25=""),"",G25-H25)</f>
        <v/>
      </c>
      <c r="J25" s="10">
        <f>IF(I25="","",IF(I25&gt;0.08,5,IF(I25&gt;0.04,2.5,IF(I25&gt;=-0.04,0,IF(I25&gt;=-0.08,-2.5,-5)))))</f>
        <v/>
      </c>
      <c r="K25" s="10">
        <f>IFERROR(ROUND(T23+J25,2.5),"")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8" t="inlineStr">
        <is>
          <t>组次</t>
        </is>
      </c>
      <c r="B26" s="8" t="inlineStr">
        <is>
          <t>负荷kg</t>
        </is>
      </c>
      <c r="C26" s="8" t="inlineStr">
        <is>
          <t>rep1</t>
        </is>
      </c>
      <c r="D26" s="8" t="inlineStr">
        <is>
          <t>rep2</t>
        </is>
      </c>
      <c r="E26" s="8" t="inlineStr">
        <is>
          <t>rep3</t>
        </is>
      </c>
      <c r="F26" s="8" t="inlineStr">
        <is>
          <t>rep4</t>
        </is>
      </c>
      <c r="G26" s="8" t="inlineStr">
        <is>
          <t>rep5</t>
        </is>
      </c>
      <c r="H26" s="8" t="inlineStr">
        <is>
          <t>rep6</t>
        </is>
      </c>
      <c r="I26" s="8" t="inlineStr">
        <is>
          <t>首rep</t>
        </is>
      </c>
      <c r="J26" s="8" t="inlineStr">
        <is>
          <t>最低速</t>
        </is>
      </c>
      <c r="K26" s="8" t="inlineStr">
        <is>
          <t>最低rep#</t>
        </is>
      </c>
      <c r="L26" s="8" t="inlineStr">
        <is>
          <t>VL%</t>
        </is>
      </c>
      <c r="M26" s="8" t="inlineStr">
        <is>
          <t>VL达标?</t>
        </is>
      </c>
      <c r="N26" s="8" t="inlineStr">
        <is>
          <t>安全停止?</t>
        </is>
      </c>
      <c r="O26" s="8" t="inlineStr">
        <is>
          <t>停组原因</t>
        </is>
      </c>
      <c r="P26" s="8" t="inlineStr">
        <is>
          <t>下组建议</t>
        </is>
      </c>
      <c r="Q26" s="8" t="inlineStr">
        <is>
          <t>实做次数</t>
        </is>
      </c>
    </row>
    <row r="27">
      <c r="A27" s="12" t="n">
        <v>1</v>
      </c>
      <c r="B27" s="10">
        <f>IF(K25="","",K25)</f>
        <v/>
      </c>
      <c r="C27" s="9" t="n"/>
      <c r="D27" s="9" t="n"/>
      <c r="E27" s="9" t="n"/>
      <c r="F27" s="9" t="n"/>
      <c r="G27" s="9" t="n"/>
      <c r="H27" s="9" t="n"/>
      <c r="I27" s="10">
        <f>IFERROR(INDEX(C27:H27,MATCH(TRUE,INDEX(C27:H27&lt;&gt;"",0),0)),"")</f>
        <v/>
      </c>
      <c r="J27" s="10">
        <f>IFERROR(MIN(IF(C27:H27&lt;&gt;"",C27:H27)),"")</f>
        <v/>
      </c>
      <c r="K27" s="10">
        <f>IFERROR(MATCH(I27,C27:H27,0),"")</f>
        <v/>
      </c>
      <c r="L27" s="10">
        <f>IF(OR(I27="",J27=""),"",ROUND((I27-J27)/I27*100,1))</f>
        <v/>
      </c>
      <c r="M27" s="10">
        <f>IF(L27="","",IF(L27&gt;=18,"是","否"))</f>
        <v/>
      </c>
      <c r="N27" s="10">
        <f>IF(J27="","",IF(J27&lt;0.15,"是","否"))</f>
        <v/>
      </c>
      <c r="O27" s="10">
        <f>IF(I27="","",IF(J27&lt;0.15,"SAFETY_STOP",IF(L27&gt;=18,"VL_THRESHOLD","PLANNED_END")))</f>
        <v/>
      </c>
      <c r="P27" s="10">
        <f>IF(I27="","",IF(I27&gt;($D$2+0.05),"+5kg",IF(I27&gt;($D$2+0.02),"+2.5kg",IF(I27&gt;=($D$2-0.05),"保持",IF(I27&gt;=($D$2-0.08),"-2.5kg","-5kg")))))</f>
        <v/>
      </c>
      <c r="Q27" s="9" t="n"/>
      <c r="R27" s="12" t="n"/>
      <c r="S27" s="12" t="n"/>
      <c r="T27" s="12" t="n"/>
    </row>
    <row r="28">
      <c r="A28" s="12" t="n">
        <v>2</v>
      </c>
      <c r="B28" s="9" t="n"/>
      <c r="C28" s="9" t="n"/>
      <c r="D28" s="9" t="n"/>
      <c r="E28" s="9" t="n"/>
      <c r="F28" s="9" t="n"/>
      <c r="G28" s="9" t="n"/>
      <c r="H28" s="9" t="n"/>
      <c r="I28" s="10">
        <f>IFERROR(INDEX(C28:H28,MATCH(TRUE,INDEX(C28:H28&lt;&gt;"",0),0)),"")</f>
        <v/>
      </c>
      <c r="J28" s="10">
        <f>IFERROR(MIN(IF(C28:H28&lt;&gt;"",C28:H28)),"")</f>
        <v/>
      </c>
      <c r="K28" s="10">
        <f>IFERROR(MATCH(I28,C28:H28,0),"")</f>
        <v/>
      </c>
      <c r="L28" s="10">
        <f>IF(OR(I28="",J28=""),"",ROUND((I28-J28)/I28*100,1))</f>
        <v/>
      </c>
      <c r="M28" s="10">
        <f>IF(L28="","",IF(L28&gt;=18,"是","否"))</f>
        <v/>
      </c>
      <c r="N28" s="10">
        <f>IF(J28="","",IF(J28&lt;0.15,"是","否"))</f>
        <v/>
      </c>
      <c r="O28" s="10">
        <f>IF(I28="","",IF(J28&lt;0.15,"SAFETY_STOP",IF(L28&gt;=18,"VL_THRESHOLD","PLANNED_END")))</f>
        <v/>
      </c>
      <c r="P28" s="10">
        <f>IF(I28="","",IF(I28&gt;($D$2+0.05),"+5kg",IF(I28&gt;($D$2+0.02),"+2.5kg",IF(I28&gt;=($D$2-0.05),"保持",IF(I28&gt;=($D$2-0.08),"-2.5kg","-5kg")))))</f>
        <v/>
      </c>
      <c r="Q28" s="9" t="n"/>
      <c r="R28" s="12" t="n"/>
      <c r="S28" s="12" t="n"/>
      <c r="T28" s="12" t="n"/>
    </row>
    <row r="29">
      <c r="A29" s="12" t="n">
        <v>3</v>
      </c>
      <c r="B29" s="9" t="n"/>
      <c r="C29" s="9" t="n"/>
      <c r="D29" s="9" t="n"/>
      <c r="E29" s="9" t="n"/>
      <c r="F29" s="9" t="n"/>
      <c r="G29" s="9" t="n"/>
      <c r="H29" s="9" t="n"/>
      <c r="I29" s="10">
        <f>IFERROR(INDEX(C29:H29,MATCH(TRUE,INDEX(C29:H29&lt;&gt;"",0),0)),"")</f>
        <v/>
      </c>
      <c r="J29" s="10">
        <f>IFERROR(MIN(IF(C29:H29&lt;&gt;"",C29:H29)),"")</f>
        <v/>
      </c>
      <c r="K29" s="10">
        <f>IFERROR(MATCH(I29,C29:H29,0),"")</f>
        <v/>
      </c>
      <c r="L29" s="10">
        <f>IF(OR(I29="",J29=""),"",ROUND((I29-J29)/I29*100,1))</f>
        <v/>
      </c>
      <c r="M29" s="10">
        <f>IF(L29="","",IF(L29&gt;=18,"是","否"))</f>
        <v/>
      </c>
      <c r="N29" s="10">
        <f>IF(J29="","",IF(J29&lt;0.15,"是","否"))</f>
        <v/>
      </c>
      <c r="O29" s="10">
        <f>IF(I29="","",IF(J29&lt;0.15,"SAFETY_STOP",IF(L29&gt;=18,"VL_THRESHOLD","PLANNED_END")))</f>
        <v/>
      </c>
      <c r="P29" s="10">
        <f>IF(I29="","",IF(I29&gt;($D$2+0.05),"+5kg",IF(I29&gt;($D$2+0.02),"+2.5kg",IF(I29&gt;=($D$2-0.05),"保持",IF(I29&gt;=($D$2-0.08),"-2.5kg","-5kg")))))</f>
        <v/>
      </c>
      <c r="Q29" s="9" t="n"/>
      <c r="R29" s="12" t="n"/>
      <c r="S29" s="12" t="n"/>
      <c r="T29" s="12" t="n"/>
    </row>
    <row r="30">
      <c r="A30" s="12" t="n">
        <v>4</v>
      </c>
      <c r="B30" s="9" t="n"/>
      <c r="C30" s="9" t="n"/>
      <c r="D30" s="9" t="n"/>
      <c r="E30" s="9" t="n"/>
      <c r="F30" s="9" t="n"/>
      <c r="G30" s="9" t="n"/>
      <c r="H30" s="9" t="n"/>
      <c r="I30" s="10">
        <f>IFERROR(INDEX(C30:H30,MATCH(TRUE,INDEX(C30:H30&lt;&gt;"",0),0)),"")</f>
        <v/>
      </c>
      <c r="J30" s="10">
        <f>IFERROR(MIN(IF(C30:H30&lt;&gt;"",C30:H30)),"")</f>
        <v/>
      </c>
      <c r="K30" s="10">
        <f>IFERROR(MATCH(I30,C30:H30,0),"")</f>
        <v/>
      </c>
      <c r="L30" s="10">
        <f>IF(OR(I30="",J30=""),"",ROUND((I30-J30)/I30*100,1))</f>
        <v/>
      </c>
      <c r="M30" s="10">
        <f>IF(L30="","",IF(L30&gt;=18,"是","否"))</f>
        <v/>
      </c>
      <c r="N30" s="10">
        <f>IF(J30="","",IF(J30&lt;0.15,"是","否"))</f>
        <v/>
      </c>
      <c r="O30" s="10">
        <f>IF(I30="","",IF(J30&lt;0.15,"SAFETY_STOP",IF(L30&gt;=18,"VL_THRESHOLD","PLANNED_END")))</f>
        <v/>
      </c>
      <c r="P30" s="10">
        <f>IF(I30="","",IF(I30&gt;($D$2+0.05),"+5kg",IF(I30&gt;($D$2+0.02),"+2.5kg",IF(I30&gt;=($D$2-0.05),"保持",IF(I30&gt;=($D$2-0.08),"-2.5kg","-5kg")))))</f>
        <v/>
      </c>
      <c r="Q30" s="9" t="n"/>
      <c r="R30" s="12" t="n"/>
      <c r="S30" s="12" t="n"/>
      <c r="T30" s="12" t="n"/>
    </row>
    <row r="31">
      <c r="A31" s="12" t="n">
        <v>5</v>
      </c>
      <c r="B31" s="9" t="n"/>
      <c r="C31" s="9" t="n"/>
      <c r="D31" s="9" t="n"/>
      <c r="E31" s="9" t="n"/>
      <c r="F31" s="9" t="n"/>
      <c r="G31" s="9" t="n"/>
      <c r="H31" s="9" t="n"/>
      <c r="I31" s="10">
        <f>IFERROR(INDEX(C31:H31,MATCH(TRUE,INDEX(C31:H31&lt;&gt;"",0),0)),"")</f>
        <v/>
      </c>
      <c r="J31" s="10">
        <f>IFERROR(MIN(IF(C31:H31&lt;&gt;"",C31:H31)),"")</f>
        <v/>
      </c>
      <c r="K31" s="10">
        <f>IFERROR(MATCH(I31,C31:H31,0),"")</f>
        <v/>
      </c>
      <c r="L31" s="10">
        <f>IF(OR(I31="",J31=""),"",ROUND((I31-J31)/I31*100,1))</f>
        <v/>
      </c>
      <c r="M31" s="10">
        <f>IF(L31="","",IF(L31&gt;=18,"是","否"))</f>
        <v/>
      </c>
      <c r="N31" s="10">
        <f>IF(J31="","",IF(J31&lt;0.15,"是","否"))</f>
        <v/>
      </c>
      <c r="O31" s="10">
        <f>IF(I31="","",IF(J31&lt;0.15,"SAFETY_STOP",IF(L31&gt;=18,"VL_THRESHOLD","PLANNED_END")))</f>
        <v/>
      </c>
      <c r="P31" s="10">
        <f>IF(I31="","",IF(I31&gt;($D$2+0.05),"+5kg",IF(I31&gt;($D$2+0.02),"+2.5kg",IF(I31&gt;=($D$2-0.05),"保持",IF(I31&gt;=($D$2-0.08),"-2.5kg","-5kg")))))</f>
        <v/>
      </c>
      <c r="Q31" s="9" t="n"/>
      <c r="R31" s="12" t="n"/>
      <c r="S31" s="12" t="n"/>
      <c r="T31" s="12" t="n"/>
    </row>
    <row r="32">
      <c r="A32" s="12" t="n">
        <v>6</v>
      </c>
      <c r="B32" s="9" t="n"/>
      <c r="C32" s="9" t="n"/>
      <c r="D32" s="9" t="n"/>
      <c r="E32" s="9" t="n"/>
      <c r="F32" s="9" t="n"/>
      <c r="G32" s="9" t="n"/>
      <c r="H32" s="9" t="n"/>
      <c r="I32" s="10">
        <f>IFERROR(INDEX(C32:H32,MATCH(TRUE,INDEX(C32:H32&lt;&gt;"",0),0)),"")</f>
        <v/>
      </c>
      <c r="J32" s="10">
        <f>IFERROR(MIN(IF(C32:H32&lt;&gt;"",C32:H32)),"")</f>
        <v/>
      </c>
      <c r="K32" s="10">
        <f>IFERROR(MATCH(I32,C32:H32,0),"")</f>
        <v/>
      </c>
      <c r="L32" s="10">
        <f>IF(OR(I32="",J32=""),"",ROUND((I32-J32)/I32*100,1))</f>
        <v/>
      </c>
      <c r="M32" s="10">
        <f>IF(L32="","",IF(L32&gt;=18,"是","否"))</f>
        <v/>
      </c>
      <c r="N32" s="10">
        <f>IF(J32="","",IF(J32&lt;0.15,"是","否"))</f>
        <v/>
      </c>
      <c r="O32" s="10">
        <f>IF(I32="","",IF(J32&lt;0.15,"SAFETY_STOP",IF(L32&gt;=18,"VL_THRESHOLD","PLANNED_END")))</f>
        <v/>
      </c>
      <c r="P32" s="10">
        <f>IF(I32="","",IF(I32&gt;($D$2+0.05),"+5kg",IF(I32&gt;($D$2+0.02),"+2.5kg",IF(I32&gt;=($D$2-0.05),"保持",IF(I32&gt;=($D$2-0.08),"-2.5kg","-5kg")))))</f>
        <v/>
      </c>
      <c r="Q32" s="9" t="n"/>
      <c r="R32" s="12" t="n"/>
      <c r="S32" s="12" t="n"/>
      <c r="T32" s="12" t="n"/>
    </row>
    <row r="33">
      <c r="A33" s="8" t="inlineStr">
        <is>
          <t>辅助动作</t>
        </is>
      </c>
      <c r="B33" s="8" t="inlineStr">
        <is>
          <t>动作名称</t>
        </is>
      </c>
      <c r="C33" s="8" t="inlineStr">
        <is>
          <t>负荷kg</t>
        </is>
      </c>
      <c r="D33" s="8" t="inlineStr">
        <is>
          <t>完成(组×次)</t>
        </is>
      </c>
    </row>
    <row r="34">
      <c r="A34" s="9" t="inlineStr"/>
      <c r="B34" s="9" t="n"/>
      <c r="C34" s="9" t="n"/>
      <c r="D34" s="9" t="n"/>
    </row>
    <row r="35">
      <c r="A35" s="8" t="inlineStr">
        <is>
          <t>训练后</t>
        </is>
      </c>
      <c r="B35" s="8" t="inlineStr">
        <is>
          <t>开始时间</t>
        </is>
      </c>
      <c r="C35" s="8" t="inlineStr">
        <is>
          <t>结束时间</t>
        </is>
      </c>
      <c r="D35" s="8" t="inlineStr">
        <is>
          <t>总时长min</t>
        </is>
      </c>
      <c r="E35" s="8" t="inlineStr">
        <is>
          <t>sRPE</t>
        </is>
      </c>
      <c r="F35" s="8" t="inlineStr">
        <is>
          <t>session_load</t>
        </is>
      </c>
      <c r="G35" s="8" t="inlineStr">
        <is>
          <t>有无不适</t>
        </is>
      </c>
      <c r="H35" s="8" t="inlineStr">
        <is>
          <t>备注</t>
        </is>
      </c>
      <c r="I35" s="8" t="inlineStr">
        <is>
          <t>研究员签名</t>
        </is>
      </c>
    </row>
    <row r="36">
      <c r="A36" s="13" t="inlineStr"/>
      <c r="B36" s="13" t="n"/>
      <c r="C36" s="13" t="n"/>
      <c r="D36" s="10">
        <f>IF(OR(B36="",C36=""),"",(C36-B36)*1440)</f>
        <v/>
      </c>
      <c r="E36" s="13" t="n"/>
      <c r="F36" s="10">
        <f>IF(OR(D36="",E36=""),"",D36*E36)</f>
        <v/>
      </c>
      <c r="G36" s="13" t="n"/>
      <c r="H36" s="13" t="n"/>
      <c r="I36" s="13" t="n"/>
    </row>
    <row r="38">
      <c r="A38" s="5" t="inlineStr">
        <is>
          <t>── P002 何天元 ──────────────────────────────────────────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</row>
    <row r="39">
      <c r="A39" s="8" t="inlineStr">
        <is>
          <t>编号</t>
        </is>
      </c>
      <c r="B39" s="8" t="inlineStr">
        <is>
          <t>姓名</t>
        </is>
      </c>
      <c r="C39" s="8" t="inlineStr">
        <is>
          <t>身高</t>
        </is>
      </c>
      <c r="D39" s="8" t="inlineStr">
        <is>
          <t>1RM</t>
        </is>
      </c>
      <c r="E39" s="8" t="inlineStr">
        <is>
          <t>睡眠</t>
        </is>
      </c>
      <c r="F39" s="8" t="inlineStr">
        <is>
          <t>压力</t>
        </is>
      </c>
      <c r="G39" s="8" t="inlineStr">
        <is>
          <t>疲劳</t>
        </is>
      </c>
      <c r="H39" s="8" t="inlineStr">
        <is>
          <t>酸痛</t>
        </is>
      </c>
      <c r="I39" s="8" t="inlineStr">
        <is>
          <t>Hooper总</t>
        </is>
      </c>
      <c r="J39" s="8" t="inlineStr">
        <is>
          <t>CMJ1</t>
        </is>
      </c>
      <c r="K39" s="8" t="inlineStr">
        <is>
          <t>CMJ2</t>
        </is>
      </c>
      <c r="L39" s="8" t="inlineStr">
        <is>
          <t>CMJ3</t>
        </is>
      </c>
      <c r="M39" s="8" t="inlineStr">
        <is>
          <t>CMJ均值</t>
        </is>
      </c>
      <c r="N39" s="8" t="inlineStr">
        <is>
          <t>&lt;95%?</t>
        </is>
      </c>
      <c r="O39" s="8" t="inlineStr">
        <is>
          <t>减组?</t>
        </is>
      </c>
      <c r="P39" s="8" t="inlineStr">
        <is>
          <t>实做组数</t>
        </is>
      </c>
      <c r="Q39" s="8" t="inlineStr">
        <is>
          <t>LVP_a</t>
        </is>
      </c>
      <c r="R39" s="8" t="inlineStr">
        <is>
          <t>LVP_b</t>
        </is>
      </c>
      <c r="S39" s="8" t="inlineStr">
        <is>
          <t>等级</t>
        </is>
      </c>
      <c r="T39" s="8" t="inlineStr">
        <is>
          <t>预测起始</t>
        </is>
      </c>
    </row>
    <row r="40">
      <c r="A40" s="9" t="inlineStr">
        <is>
          <t>P002</t>
        </is>
      </c>
      <c r="B40" s="9" t="inlineStr">
        <is>
          <t>何天元</t>
        </is>
      </c>
      <c r="C40" s="9" t="n">
        <v>178</v>
      </c>
      <c r="D40" s="9" t="n">
        <v>150</v>
      </c>
      <c r="E40" s="9" t="n"/>
      <c r="F40" s="9" t="n"/>
      <c r="G40" s="9" t="n"/>
      <c r="H40" s="9" t="n"/>
      <c r="I40" s="10">
        <f>IFERROR(SUM(E40:H40),"")</f>
        <v/>
      </c>
      <c r="J40" s="9" t="n"/>
      <c r="K40" s="9" t="n"/>
      <c r="L40" s="9" t="n"/>
      <c r="M40" s="10">
        <f>IFERROR(AVERAGE(J40:L40),"")</f>
        <v/>
      </c>
      <c r="N40" s="10">
        <f>IF(M40="","",IF(M40&lt;60.54,"是⚠","否"))</f>
        <v/>
      </c>
      <c r="O40" s="10">
        <f>IF(M40="","",IF(M40&lt;60.54,"减1组","正常"))</f>
        <v/>
      </c>
      <c r="P40" s="10">
        <f>IF(M40="","",IF(M40&lt;60.54,4-1,4))</f>
        <v/>
      </c>
      <c r="Q40" s="9" t="n">
        <v>1.291</v>
      </c>
      <c r="R40" s="9" t="n">
        <v>-0.0054</v>
      </c>
      <c r="S40" s="9" t="inlineStr">
        <is>
          <t>B</t>
        </is>
      </c>
      <c r="T40" s="10">
        <f>IFERROR(ROUND((0.6-1.291)/-0.0054,0.5),"")</f>
        <v/>
      </c>
    </row>
    <row r="41">
      <c r="A41" s="8" t="inlineStr">
        <is>
          <t>热身校准</t>
        </is>
      </c>
      <c r="B41" s="8" t="inlineStr">
        <is>
          <t>LVP_a</t>
        </is>
      </c>
      <c r="C41" s="8" t="inlineStr">
        <is>
          <t>LVP_b</t>
        </is>
      </c>
      <c r="D41" s="8" t="inlineStr">
        <is>
          <t>50%热身kg</t>
        </is>
      </c>
      <c r="E41" s="8" t="inlineStr">
        <is>
          <t>70%热身kg</t>
        </is>
      </c>
      <c r="F41" s="8" t="inlineStr">
        <is>
          <t>热身负荷kg</t>
        </is>
      </c>
      <c r="G41" s="8" t="inlineStr">
        <is>
          <t>实测MCV</t>
        </is>
      </c>
      <c r="H41" s="8" t="inlineStr">
        <is>
          <t>预测MCV</t>
        </is>
      </c>
      <c r="I41" s="8" t="inlineStr">
        <is>
          <t>Δv</t>
        </is>
      </c>
      <c r="J41" s="8" t="inlineStr">
        <is>
          <t>调整量kg</t>
        </is>
      </c>
      <c r="K41" s="8" t="inlineStr">
        <is>
          <t>校准后第1组kg</t>
        </is>
      </c>
    </row>
    <row r="42">
      <c r="A42" s="11" t="inlineStr"/>
      <c r="B42" s="11" t="n">
        <v>1.291</v>
      </c>
      <c r="C42" s="11" t="n">
        <v>-0.0054</v>
      </c>
      <c r="D42" s="10">
        <f>IFERROR(ROUND(T40*0.5,2.5),"")</f>
        <v/>
      </c>
      <c r="E42" s="10">
        <f>IFERROR(ROUND(T40*0.7,2.5),"")</f>
        <v/>
      </c>
      <c r="F42" s="10">
        <f>E42</f>
        <v/>
      </c>
      <c r="G42" s="9" t="n"/>
      <c r="H42" s="10">
        <f>IF(F42="","",B42+C42*F42)</f>
        <v/>
      </c>
      <c r="I42" s="10">
        <f>IF(OR(G42="",H42=""),"",G42-H42)</f>
        <v/>
      </c>
      <c r="J42" s="10">
        <f>IF(I42="","",IF(I42&gt;0.08,5,IF(I42&gt;0.04,2.5,IF(I42&gt;=-0.04,0,IF(I42&gt;=-0.08,-2.5,-5)))))</f>
        <v/>
      </c>
      <c r="K42" s="10">
        <f>IFERROR(ROUND(T40+J42,2.5),"")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8" t="inlineStr">
        <is>
          <t>组次</t>
        </is>
      </c>
      <c r="B43" s="8" t="inlineStr">
        <is>
          <t>负荷kg</t>
        </is>
      </c>
      <c r="C43" s="8" t="inlineStr">
        <is>
          <t>rep1</t>
        </is>
      </c>
      <c r="D43" s="8" t="inlineStr">
        <is>
          <t>rep2</t>
        </is>
      </c>
      <c r="E43" s="8" t="inlineStr">
        <is>
          <t>rep3</t>
        </is>
      </c>
      <c r="F43" s="8" t="inlineStr">
        <is>
          <t>rep4</t>
        </is>
      </c>
      <c r="G43" s="8" t="inlineStr">
        <is>
          <t>rep5</t>
        </is>
      </c>
      <c r="H43" s="8" t="inlineStr">
        <is>
          <t>rep6</t>
        </is>
      </c>
      <c r="I43" s="8" t="inlineStr">
        <is>
          <t>首rep</t>
        </is>
      </c>
      <c r="J43" s="8" t="inlineStr">
        <is>
          <t>最低速</t>
        </is>
      </c>
      <c r="K43" s="8" t="inlineStr">
        <is>
          <t>最低rep#</t>
        </is>
      </c>
      <c r="L43" s="8" t="inlineStr">
        <is>
          <t>VL%</t>
        </is>
      </c>
      <c r="M43" s="8" t="inlineStr">
        <is>
          <t>VL达标?</t>
        </is>
      </c>
      <c r="N43" s="8" t="inlineStr">
        <is>
          <t>安全停止?</t>
        </is>
      </c>
      <c r="O43" s="8" t="inlineStr">
        <is>
          <t>停组原因</t>
        </is>
      </c>
      <c r="P43" s="8" t="inlineStr">
        <is>
          <t>下组建议</t>
        </is>
      </c>
      <c r="Q43" s="8" t="inlineStr">
        <is>
          <t>实做次数</t>
        </is>
      </c>
    </row>
    <row r="44">
      <c r="A44" s="12" t="n">
        <v>1</v>
      </c>
      <c r="B44" s="10">
        <f>IF(K42="","",K42)</f>
        <v/>
      </c>
      <c r="C44" s="9" t="n"/>
      <c r="D44" s="9" t="n"/>
      <c r="E44" s="9" t="n"/>
      <c r="F44" s="9" t="n"/>
      <c r="G44" s="9" t="n"/>
      <c r="H44" s="9" t="n"/>
      <c r="I44" s="10">
        <f>IFERROR(INDEX(C44:H44,MATCH(TRUE,INDEX(C44:H44&lt;&gt;"",0),0)),"")</f>
        <v/>
      </c>
      <c r="J44" s="10">
        <f>IFERROR(MIN(IF(C44:H44&lt;&gt;"",C44:H44)),"")</f>
        <v/>
      </c>
      <c r="K44" s="10">
        <f>IFERROR(MATCH(I44,C44:H44,0),"")</f>
        <v/>
      </c>
      <c r="L44" s="10">
        <f>IF(OR(I44="",J44=""),"",ROUND((I44-J44)/I44*100,1))</f>
        <v/>
      </c>
      <c r="M44" s="10">
        <f>IF(L44="","",IF(L44&gt;=18,"是","否"))</f>
        <v/>
      </c>
      <c r="N44" s="10">
        <f>IF(J44="","",IF(J44&lt;0.15,"是","否"))</f>
        <v/>
      </c>
      <c r="O44" s="10">
        <f>IF(I44="","",IF(J44&lt;0.15,"SAFETY_STOP",IF(L44&gt;=18,"VL_THRESHOLD","PLANNED_END")))</f>
        <v/>
      </c>
      <c r="P44" s="10">
        <f>IF(I44="","",IF(I44&gt;($D$2+0.05),"+5kg",IF(I44&gt;($D$2+0.02),"+2.5kg",IF(I44&gt;=($D$2-0.05),"保持",IF(I44&gt;=($D$2-0.08),"-2.5kg","-5kg")))))</f>
        <v/>
      </c>
      <c r="Q44" s="9" t="n"/>
      <c r="R44" s="12" t="n"/>
      <c r="S44" s="12" t="n"/>
      <c r="T44" s="12" t="n"/>
    </row>
    <row r="45">
      <c r="A45" s="12" t="n">
        <v>2</v>
      </c>
      <c r="B45" s="9" t="n"/>
      <c r="C45" s="9" t="n"/>
      <c r="D45" s="9" t="n"/>
      <c r="E45" s="9" t="n"/>
      <c r="F45" s="9" t="n"/>
      <c r="G45" s="9" t="n"/>
      <c r="H45" s="9" t="n"/>
      <c r="I45" s="10">
        <f>IFERROR(INDEX(C45:H45,MATCH(TRUE,INDEX(C45:H45&lt;&gt;"",0),0)),"")</f>
        <v/>
      </c>
      <c r="J45" s="10">
        <f>IFERROR(MIN(IF(C45:H45&lt;&gt;"",C45:H45)),"")</f>
        <v/>
      </c>
      <c r="K45" s="10">
        <f>IFERROR(MATCH(I45,C45:H45,0),"")</f>
        <v/>
      </c>
      <c r="L45" s="10">
        <f>IF(OR(I45="",J45=""),"",ROUND((I45-J45)/I45*100,1))</f>
        <v/>
      </c>
      <c r="M45" s="10">
        <f>IF(L45="","",IF(L45&gt;=18,"是","否"))</f>
        <v/>
      </c>
      <c r="N45" s="10">
        <f>IF(J45="","",IF(J45&lt;0.15,"是","否"))</f>
        <v/>
      </c>
      <c r="O45" s="10">
        <f>IF(I45="","",IF(J45&lt;0.15,"SAFETY_STOP",IF(L45&gt;=18,"VL_THRESHOLD","PLANNED_END")))</f>
        <v/>
      </c>
      <c r="P45" s="10">
        <f>IF(I45="","",IF(I45&gt;($D$2+0.05),"+5kg",IF(I45&gt;($D$2+0.02),"+2.5kg",IF(I45&gt;=($D$2-0.05),"保持",IF(I45&gt;=($D$2-0.08),"-2.5kg","-5kg")))))</f>
        <v/>
      </c>
      <c r="Q45" s="9" t="n"/>
      <c r="R45" s="12" t="n"/>
      <c r="S45" s="12" t="n"/>
      <c r="T45" s="12" t="n"/>
    </row>
    <row r="46">
      <c r="A46" s="12" t="n">
        <v>3</v>
      </c>
      <c r="B46" s="9" t="n"/>
      <c r="C46" s="9" t="n"/>
      <c r="D46" s="9" t="n"/>
      <c r="E46" s="9" t="n"/>
      <c r="F46" s="9" t="n"/>
      <c r="G46" s="9" t="n"/>
      <c r="H46" s="9" t="n"/>
      <c r="I46" s="10">
        <f>IFERROR(INDEX(C46:H46,MATCH(TRUE,INDEX(C46:H46&lt;&gt;"",0),0)),"")</f>
        <v/>
      </c>
      <c r="J46" s="10">
        <f>IFERROR(MIN(IF(C46:H46&lt;&gt;"",C46:H46)),"")</f>
        <v/>
      </c>
      <c r="K46" s="10">
        <f>IFERROR(MATCH(I46,C46:H46,0),"")</f>
        <v/>
      </c>
      <c r="L46" s="10">
        <f>IF(OR(I46="",J46=""),"",ROUND((I46-J46)/I46*100,1))</f>
        <v/>
      </c>
      <c r="M46" s="10">
        <f>IF(L46="","",IF(L46&gt;=18,"是","否"))</f>
        <v/>
      </c>
      <c r="N46" s="10">
        <f>IF(J46="","",IF(J46&lt;0.15,"是","否"))</f>
        <v/>
      </c>
      <c r="O46" s="10">
        <f>IF(I46="","",IF(J46&lt;0.15,"SAFETY_STOP",IF(L46&gt;=18,"VL_THRESHOLD","PLANNED_END")))</f>
        <v/>
      </c>
      <c r="P46" s="10">
        <f>IF(I46="","",IF(I46&gt;($D$2+0.05),"+5kg",IF(I46&gt;($D$2+0.02),"+2.5kg",IF(I46&gt;=($D$2-0.05),"保持",IF(I46&gt;=($D$2-0.08),"-2.5kg","-5kg")))))</f>
        <v/>
      </c>
      <c r="Q46" s="9" t="n"/>
      <c r="R46" s="12" t="n"/>
      <c r="S46" s="12" t="n"/>
      <c r="T46" s="12" t="n"/>
    </row>
    <row r="47">
      <c r="A47" s="12" t="n">
        <v>4</v>
      </c>
      <c r="B47" s="9" t="n"/>
      <c r="C47" s="9" t="n"/>
      <c r="D47" s="9" t="n"/>
      <c r="E47" s="9" t="n"/>
      <c r="F47" s="9" t="n"/>
      <c r="G47" s="9" t="n"/>
      <c r="H47" s="9" t="n"/>
      <c r="I47" s="10">
        <f>IFERROR(INDEX(C47:H47,MATCH(TRUE,INDEX(C47:H47&lt;&gt;"",0),0)),"")</f>
        <v/>
      </c>
      <c r="J47" s="10">
        <f>IFERROR(MIN(IF(C47:H47&lt;&gt;"",C47:H47)),"")</f>
        <v/>
      </c>
      <c r="K47" s="10">
        <f>IFERROR(MATCH(I47,C47:H47,0),"")</f>
        <v/>
      </c>
      <c r="L47" s="10">
        <f>IF(OR(I47="",J47=""),"",ROUND((I47-J47)/I47*100,1))</f>
        <v/>
      </c>
      <c r="M47" s="10">
        <f>IF(L47="","",IF(L47&gt;=18,"是","否"))</f>
        <v/>
      </c>
      <c r="N47" s="10">
        <f>IF(J47="","",IF(J47&lt;0.15,"是","否"))</f>
        <v/>
      </c>
      <c r="O47" s="10">
        <f>IF(I47="","",IF(J47&lt;0.15,"SAFETY_STOP",IF(L47&gt;=18,"VL_THRESHOLD","PLANNED_END")))</f>
        <v/>
      </c>
      <c r="P47" s="10">
        <f>IF(I47="","",IF(I47&gt;($D$2+0.05),"+5kg",IF(I47&gt;($D$2+0.02),"+2.5kg",IF(I47&gt;=($D$2-0.05),"保持",IF(I47&gt;=($D$2-0.08),"-2.5kg","-5kg")))))</f>
        <v/>
      </c>
      <c r="Q47" s="9" t="n"/>
      <c r="R47" s="12" t="n"/>
      <c r="S47" s="12" t="n"/>
      <c r="T47" s="12" t="n"/>
    </row>
    <row r="48">
      <c r="A48" s="12" t="n">
        <v>5</v>
      </c>
      <c r="B48" s="9" t="n"/>
      <c r="C48" s="9" t="n"/>
      <c r="D48" s="9" t="n"/>
      <c r="E48" s="9" t="n"/>
      <c r="F48" s="9" t="n"/>
      <c r="G48" s="9" t="n"/>
      <c r="H48" s="9" t="n"/>
      <c r="I48" s="10">
        <f>IFERROR(INDEX(C48:H48,MATCH(TRUE,INDEX(C48:H48&lt;&gt;"",0),0)),"")</f>
        <v/>
      </c>
      <c r="J48" s="10">
        <f>IFERROR(MIN(IF(C48:H48&lt;&gt;"",C48:H48)),"")</f>
        <v/>
      </c>
      <c r="K48" s="10">
        <f>IFERROR(MATCH(I48,C48:H48,0),"")</f>
        <v/>
      </c>
      <c r="L48" s="10">
        <f>IF(OR(I48="",J48=""),"",ROUND((I48-J48)/I48*100,1))</f>
        <v/>
      </c>
      <c r="M48" s="10">
        <f>IF(L48="","",IF(L48&gt;=18,"是","否"))</f>
        <v/>
      </c>
      <c r="N48" s="10">
        <f>IF(J48="","",IF(J48&lt;0.15,"是","否"))</f>
        <v/>
      </c>
      <c r="O48" s="10">
        <f>IF(I48="","",IF(J48&lt;0.15,"SAFETY_STOP",IF(L48&gt;=18,"VL_THRESHOLD","PLANNED_END")))</f>
        <v/>
      </c>
      <c r="P48" s="10">
        <f>IF(I48="","",IF(I48&gt;($D$2+0.05),"+5kg",IF(I48&gt;($D$2+0.02),"+2.5kg",IF(I48&gt;=($D$2-0.05),"保持",IF(I48&gt;=($D$2-0.08),"-2.5kg","-5kg")))))</f>
        <v/>
      </c>
      <c r="Q48" s="9" t="n"/>
      <c r="R48" s="12" t="n"/>
      <c r="S48" s="12" t="n"/>
      <c r="T48" s="12" t="n"/>
    </row>
    <row r="49">
      <c r="A49" s="12" t="n">
        <v>6</v>
      </c>
      <c r="B49" s="9" t="n"/>
      <c r="C49" s="9" t="n"/>
      <c r="D49" s="9" t="n"/>
      <c r="E49" s="9" t="n"/>
      <c r="F49" s="9" t="n"/>
      <c r="G49" s="9" t="n"/>
      <c r="H49" s="9" t="n"/>
      <c r="I49" s="10">
        <f>IFERROR(INDEX(C49:H49,MATCH(TRUE,INDEX(C49:H49&lt;&gt;"",0),0)),"")</f>
        <v/>
      </c>
      <c r="J49" s="10">
        <f>IFERROR(MIN(IF(C49:H49&lt;&gt;"",C49:H49)),"")</f>
        <v/>
      </c>
      <c r="K49" s="10">
        <f>IFERROR(MATCH(I49,C49:H49,0),"")</f>
        <v/>
      </c>
      <c r="L49" s="10">
        <f>IF(OR(I49="",J49=""),"",ROUND((I49-J49)/I49*100,1))</f>
        <v/>
      </c>
      <c r="M49" s="10">
        <f>IF(L49="","",IF(L49&gt;=18,"是","否"))</f>
        <v/>
      </c>
      <c r="N49" s="10">
        <f>IF(J49="","",IF(J49&lt;0.15,"是","否"))</f>
        <v/>
      </c>
      <c r="O49" s="10">
        <f>IF(I49="","",IF(J49&lt;0.15,"SAFETY_STOP",IF(L49&gt;=18,"VL_THRESHOLD","PLANNED_END")))</f>
        <v/>
      </c>
      <c r="P49" s="10">
        <f>IF(I49="","",IF(I49&gt;($D$2+0.05),"+5kg",IF(I49&gt;($D$2+0.02),"+2.5kg",IF(I49&gt;=($D$2-0.05),"保持",IF(I49&gt;=($D$2-0.08),"-2.5kg","-5kg")))))</f>
        <v/>
      </c>
      <c r="Q49" s="9" t="n"/>
      <c r="R49" s="12" t="n"/>
      <c r="S49" s="12" t="n"/>
      <c r="T49" s="12" t="n"/>
    </row>
    <row r="50">
      <c r="A50" s="8" t="inlineStr">
        <is>
          <t>辅助动作</t>
        </is>
      </c>
      <c r="B50" s="8" t="inlineStr">
        <is>
          <t>动作名称</t>
        </is>
      </c>
      <c r="C50" s="8" t="inlineStr">
        <is>
          <t>负荷kg</t>
        </is>
      </c>
      <c r="D50" s="8" t="inlineStr">
        <is>
          <t>完成(组×次)</t>
        </is>
      </c>
    </row>
    <row r="51">
      <c r="A51" s="9" t="inlineStr"/>
      <c r="B51" s="9" t="n"/>
      <c r="C51" s="9" t="n"/>
      <c r="D51" s="9" t="n"/>
    </row>
    <row r="52">
      <c r="A52" s="8" t="inlineStr">
        <is>
          <t>训练后</t>
        </is>
      </c>
      <c r="B52" s="8" t="inlineStr">
        <is>
          <t>开始时间</t>
        </is>
      </c>
      <c r="C52" s="8" t="inlineStr">
        <is>
          <t>结束时间</t>
        </is>
      </c>
      <c r="D52" s="8" t="inlineStr">
        <is>
          <t>总时长min</t>
        </is>
      </c>
      <c r="E52" s="8" t="inlineStr">
        <is>
          <t>sRPE</t>
        </is>
      </c>
      <c r="F52" s="8" t="inlineStr">
        <is>
          <t>session_load</t>
        </is>
      </c>
      <c r="G52" s="8" t="inlineStr">
        <is>
          <t>有无不适</t>
        </is>
      </c>
      <c r="H52" s="8" t="inlineStr">
        <is>
          <t>备注</t>
        </is>
      </c>
      <c r="I52" s="8" t="inlineStr">
        <is>
          <t>研究员签名</t>
        </is>
      </c>
    </row>
    <row r="53">
      <c r="A53" s="13" t="inlineStr"/>
      <c r="B53" s="13" t="n"/>
      <c r="C53" s="13" t="n"/>
      <c r="D53" s="10">
        <f>IF(OR(B53="",C53=""),"",(C53-B53)*1440)</f>
        <v/>
      </c>
      <c r="E53" s="13" t="n"/>
      <c r="F53" s="10">
        <f>IF(OR(D53="",E53=""),"",D53*E53)</f>
        <v/>
      </c>
      <c r="G53" s="13" t="n"/>
      <c r="H53" s="13" t="n"/>
      <c r="I53" s="13" t="n"/>
    </row>
    <row r="55">
      <c r="A55" s="5" t="inlineStr">
        <is>
          <t>── P006 陈镕垚 ──────────────────────────────────────────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</row>
    <row r="56">
      <c r="A56" s="8" t="inlineStr">
        <is>
          <t>编号</t>
        </is>
      </c>
      <c r="B56" s="8" t="inlineStr">
        <is>
          <t>姓名</t>
        </is>
      </c>
      <c r="C56" s="8" t="inlineStr">
        <is>
          <t>身高</t>
        </is>
      </c>
      <c r="D56" s="8" t="inlineStr">
        <is>
          <t>1RM</t>
        </is>
      </c>
      <c r="E56" s="8" t="inlineStr">
        <is>
          <t>睡眠</t>
        </is>
      </c>
      <c r="F56" s="8" t="inlineStr">
        <is>
          <t>压力</t>
        </is>
      </c>
      <c r="G56" s="8" t="inlineStr">
        <is>
          <t>疲劳</t>
        </is>
      </c>
      <c r="H56" s="8" t="inlineStr">
        <is>
          <t>酸痛</t>
        </is>
      </c>
      <c r="I56" s="8" t="inlineStr">
        <is>
          <t>Hooper总</t>
        </is>
      </c>
      <c r="J56" s="8" t="inlineStr">
        <is>
          <t>CMJ1</t>
        </is>
      </c>
      <c r="K56" s="8" t="inlineStr">
        <is>
          <t>CMJ2</t>
        </is>
      </c>
      <c r="L56" s="8" t="inlineStr">
        <is>
          <t>CMJ3</t>
        </is>
      </c>
      <c r="M56" s="8" t="inlineStr">
        <is>
          <t>CMJ均值</t>
        </is>
      </c>
      <c r="N56" s="8" t="inlineStr">
        <is>
          <t>&lt;95%?</t>
        </is>
      </c>
      <c r="O56" s="8" t="inlineStr">
        <is>
          <t>减组?</t>
        </is>
      </c>
      <c r="P56" s="8" t="inlineStr">
        <is>
          <t>实做组数</t>
        </is>
      </c>
      <c r="Q56" s="8" t="inlineStr">
        <is>
          <t>LVP_a</t>
        </is>
      </c>
      <c r="R56" s="8" t="inlineStr">
        <is>
          <t>LVP_b</t>
        </is>
      </c>
      <c r="S56" s="8" t="inlineStr">
        <is>
          <t>等级</t>
        </is>
      </c>
      <c r="T56" s="8" t="inlineStr">
        <is>
          <t>预测起始</t>
        </is>
      </c>
    </row>
    <row r="57">
      <c r="A57" s="9" t="inlineStr">
        <is>
          <t>P006</t>
        </is>
      </c>
      <c r="B57" s="9" t="inlineStr">
        <is>
          <t>陈镕垚</t>
        </is>
      </c>
      <c r="C57" s="9" t="n">
        <v>181</v>
      </c>
      <c r="D57" s="9" t="n">
        <v>145</v>
      </c>
      <c r="E57" s="9" t="n"/>
      <c r="F57" s="9" t="n"/>
      <c r="G57" s="9" t="n"/>
      <c r="H57" s="9" t="n"/>
      <c r="I57" s="10">
        <f>IFERROR(SUM(E57:H57),"")</f>
        <v/>
      </c>
      <c r="J57" s="9" t="n"/>
      <c r="K57" s="9" t="n"/>
      <c r="L57" s="9" t="n"/>
      <c r="M57" s="10">
        <f>IFERROR(AVERAGE(J57:L57),"")</f>
        <v/>
      </c>
      <c r="N57" s="10">
        <f>IF(M57="","",IF(M57&lt;59.06,"是⚠","否"))</f>
        <v/>
      </c>
      <c r="O57" s="10">
        <f>IF(M57="","",IF(M57&lt;59.06,"减1组","正常"))</f>
        <v/>
      </c>
      <c r="P57" s="10">
        <f>IF(M57="","",IF(M57&lt;59.06,4-1,4))</f>
        <v/>
      </c>
      <c r="Q57" s="9" t="n">
        <v>1.45</v>
      </c>
      <c r="R57" s="9" t="n">
        <v>-0.00675</v>
      </c>
      <c r="S57" s="9" t="inlineStr">
        <is>
          <t>B</t>
        </is>
      </c>
      <c r="T57" s="10">
        <f>IFERROR(ROUND((0.6-1.45)/-0.00675,0.5),"")</f>
        <v/>
      </c>
    </row>
    <row r="58">
      <c r="A58" s="8" t="inlineStr">
        <is>
          <t>热身校准</t>
        </is>
      </c>
      <c r="B58" s="8" t="inlineStr">
        <is>
          <t>LVP_a</t>
        </is>
      </c>
      <c r="C58" s="8" t="inlineStr">
        <is>
          <t>LVP_b</t>
        </is>
      </c>
      <c r="D58" s="8" t="inlineStr">
        <is>
          <t>50%热身kg</t>
        </is>
      </c>
      <c r="E58" s="8" t="inlineStr">
        <is>
          <t>70%热身kg</t>
        </is>
      </c>
      <c r="F58" s="8" t="inlineStr">
        <is>
          <t>热身负荷kg</t>
        </is>
      </c>
      <c r="G58" s="8" t="inlineStr">
        <is>
          <t>实测MCV</t>
        </is>
      </c>
      <c r="H58" s="8" t="inlineStr">
        <is>
          <t>预测MCV</t>
        </is>
      </c>
      <c r="I58" s="8" t="inlineStr">
        <is>
          <t>Δv</t>
        </is>
      </c>
      <c r="J58" s="8" t="inlineStr">
        <is>
          <t>调整量kg</t>
        </is>
      </c>
      <c r="K58" s="8" t="inlineStr">
        <is>
          <t>校准后第1组kg</t>
        </is>
      </c>
    </row>
    <row r="59">
      <c r="A59" s="11" t="inlineStr"/>
      <c r="B59" s="11" t="n">
        <v>1.45</v>
      </c>
      <c r="C59" s="11" t="n">
        <v>-0.00675</v>
      </c>
      <c r="D59" s="10">
        <f>IFERROR(ROUND(T57*0.5,2.5),"")</f>
        <v/>
      </c>
      <c r="E59" s="10">
        <f>IFERROR(ROUND(T57*0.7,2.5),"")</f>
        <v/>
      </c>
      <c r="F59" s="10">
        <f>E59</f>
        <v/>
      </c>
      <c r="G59" s="9" t="n"/>
      <c r="H59" s="10">
        <f>IF(F59="","",B59+C59*F59)</f>
        <v/>
      </c>
      <c r="I59" s="10">
        <f>IF(OR(G59="",H59=""),"",G59-H59)</f>
        <v/>
      </c>
      <c r="J59" s="10">
        <f>IF(I59="","",IF(I59&gt;0.08,5,IF(I59&gt;0.04,2.5,IF(I59&gt;=-0.04,0,IF(I59&gt;=-0.08,-2.5,-5)))))</f>
        <v/>
      </c>
      <c r="K59" s="10">
        <f>IFERROR(ROUND(T57+J59,2.5),"")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8" t="inlineStr">
        <is>
          <t>组次</t>
        </is>
      </c>
      <c r="B60" s="8" t="inlineStr">
        <is>
          <t>负荷kg</t>
        </is>
      </c>
      <c r="C60" s="8" t="inlineStr">
        <is>
          <t>rep1</t>
        </is>
      </c>
      <c r="D60" s="8" t="inlineStr">
        <is>
          <t>rep2</t>
        </is>
      </c>
      <c r="E60" s="8" t="inlineStr">
        <is>
          <t>rep3</t>
        </is>
      </c>
      <c r="F60" s="8" t="inlineStr">
        <is>
          <t>rep4</t>
        </is>
      </c>
      <c r="G60" s="8" t="inlineStr">
        <is>
          <t>rep5</t>
        </is>
      </c>
      <c r="H60" s="8" t="inlineStr">
        <is>
          <t>rep6</t>
        </is>
      </c>
      <c r="I60" s="8" t="inlineStr">
        <is>
          <t>首rep</t>
        </is>
      </c>
      <c r="J60" s="8" t="inlineStr">
        <is>
          <t>最低速</t>
        </is>
      </c>
      <c r="K60" s="8" t="inlineStr">
        <is>
          <t>最低rep#</t>
        </is>
      </c>
      <c r="L60" s="8" t="inlineStr">
        <is>
          <t>VL%</t>
        </is>
      </c>
      <c r="M60" s="8" t="inlineStr">
        <is>
          <t>VL达标?</t>
        </is>
      </c>
      <c r="N60" s="8" t="inlineStr">
        <is>
          <t>安全停止?</t>
        </is>
      </c>
      <c r="O60" s="8" t="inlineStr">
        <is>
          <t>停组原因</t>
        </is>
      </c>
      <c r="P60" s="8" t="inlineStr">
        <is>
          <t>下组建议</t>
        </is>
      </c>
      <c r="Q60" s="8" t="inlineStr">
        <is>
          <t>实做次数</t>
        </is>
      </c>
    </row>
    <row r="61">
      <c r="A61" s="12" t="n">
        <v>1</v>
      </c>
      <c r="B61" s="10">
        <f>IF(K59="","",K59)</f>
        <v/>
      </c>
      <c r="C61" s="9" t="n"/>
      <c r="D61" s="9" t="n"/>
      <c r="E61" s="9" t="n"/>
      <c r="F61" s="9" t="n"/>
      <c r="G61" s="9" t="n"/>
      <c r="H61" s="9" t="n"/>
      <c r="I61" s="10">
        <f>IFERROR(INDEX(C61:H61,MATCH(TRUE,INDEX(C61:H61&lt;&gt;"",0),0)),"")</f>
        <v/>
      </c>
      <c r="J61" s="10">
        <f>IFERROR(MIN(IF(C61:H61&lt;&gt;"",C61:H61)),"")</f>
        <v/>
      </c>
      <c r="K61" s="10">
        <f>IFERROR(MATCH(I61,C61:H61,0),"")</f>
        <v/>
      </c>
      <c r="L61" s="10">
        <f>IF(OR(I61="",J61=""),"",ROUND((I61-J61)/I61*100,1))</f>
        <v/>
      </c>
      <c r="M61" s="10">
        <f>IF(L61="","",IF(L61&gt;=18,"是","否"))</f>
        <v/>
      </c>
      <c r="N61" s="10">
        <f>IF(J61="","",IF(J61&lt;0.15,"是","否"))</f>
        <v/>
      </c>
      <c r="O61" s="10">
        <f>IF(I61="","",IF(J61&lt;0.15,"SAFETY_STOP",IF(L61&gt;=18,"VL_THRESHOLD","PLANNED_END")))</f>
        <v/>
      </c>
      <c r="P61" s="10">
        <f>IF(I61="","",IF(I61&gt;($D$2+0.05),"+5kg",IF(I61&gt;($D$2+0.02),"+2.5kg",IF(I61&gt;=($D$2-0.05),"保持",IF(I61&gt;=($D$2-0.08),"-2.5kg","-5kg")))))</f>
        <v/>
      </c>
      <c r="Q61" s="9" t="n"/>
      <c r="R61" s="12" t="n"/>
      <c r="S61" s="12" t="n"/>
      <c r="T61" s="12" t="n"/>
    </row>
    <row r="62">
      <c r="A62" s="12" t="n">
        <v>2</v>
      </c>
      <c r="B62" s="9" t="n"/>
      <c r="C62" s="9" t="n"/>
      <c r="D62" s="9" t="n"/>
      <c r="E62" s="9" t="n"/>
      <c r="F62" s="9" t="n"/>
      <c r="G62" s="9" t="n"/>
      <c r="H62" s="9" t="n"/>
      <c r="I62" s="10">
        <f>IFERROR(INDEX(C62:H62,MATCH(TRUE,INDEX(C62:H62&lt;&gt;"",0),0)),"")</f>
        <v/>
      </c>
      <c r="J62" s="10">
        <f>IFERROR(MIN(IF(C62:H62&lt;&gt;"",C62:H62)),"")</f>
        <v/>
      </c>
      <c r="K62" s="10">
        <f>IFERROR(MATCH(I62,C62:H62,0),"")</f>
        <v/>
      </c>
      <c r="L62" s="10">
        <f>IF(OR(I62="",J62=""),"",ROUND((I62-J62)/I62*100,1))</f>
        <v/>
      </c>
      <c r="M62" s="10">
        <f>IF(L62="","",IF(L62&gt;=18,"是","否"))</f>
        <v/>
      </c>
      <c r="N62" s="10">
        <f>IF(J62="","",IF(J62&lt;0.15,"是","否"))</f>
        <v/>
      </c>
      <c r="O62" s="10">
        <f>IF(I62="","",IF(J62&lt;0.15,"SAFETY_STOP",IF(L62&gt;=18,"VL_THRESHOLD","PLANNED_END")))</f>
        <v/>
      </c>
      <c r="P62" s="10">
        <f>IF(I62="","",IF(I62&gt;($D$2+0.05),"+5kg",IF(I62&gt;($D$2+0.02),"+2.5kg",IF(I62&gt;=($D$2-0.05),"保持",IF(I62&gt;=($D$2-0.08),"-2.5kg","-5kg")))))</f>
        <v/>
      </c>
      <c r="Q62" s="9" t="n"/>
      <c r="R62" s="12" t="n"/>
      <c r="S62" s="12" t="n"/>
      <c r="T62" s="12" t="n"/>
    </row>
    <row r="63">
      <c r="A63" s="12" t="n">
        <v>3</v>
      </c>
      <c r="B63" s="9" t="n"/>
      <c r="C63" s="9" t="n"/>
      <c r="D63" s="9" t="n"/>
      <c r="E63" s="9" t="n"/>
      <c r="F63" s="9" t="n"/>
      <c r="G63" s="9" t="n"/>
      <c r="H63" s="9" t="n"/>
      <c r="I63" s="10">
        <f>IFERROR(INDEX(C63:H63,MATCH(TRUE,INDEX(C63:H63&lt;&gt;"",0),0)),"")</f>
        <v/>
      </c>
      <c r="J63" s="10">
        <f>IFERROR(MIN(IF(C63:H63&lt;&gt;"",C63:H63)),"")</f>
        <v/>
      </c>
      <c r="K63" s="10">
        <f>IFERROR(MATCH(I63,C63:H63,0),"")</f>
        <v/>
      </c>
      <c r="L63" s="10">
        <f>IF(OR(I63="",J63=""),"",ROUND((I63-J63)/I63*100,1))</f>
        <v/>
      </c>
      <c r="M63" s="10">
        <f>IF(L63="","",IF(L63&gt;=18,"是","否"))</f>
        <v/>
      </c>
      <c r="N63" s="10">
        <f>IF(J63="","",IF(J63&lt;0.15,"是","否"))</f>
        <v/>
      </c>
      <c r="O63" s="10">
        <f>IF(I63="","",IF(J63&lt;0.15,"SAFETY_STOP",IF(L63&gt;=18,"VL_THRESHOLD","PLANNED_END")))</f>
        <v/>
      </c>
      <c r="P63" s="10">
        <f>IF(I63="","",IF(I63&gt;($D$2+0.05),"+5kg",IF(I63&gt;($D$2+0.02),"+2.5kg",IF(I63&gt;=($D$2-0.05),"保持",IF(I63&gt;=($D$2-0.08),"-2.5kg","-5kg")))))</f>
        <v/>
      </c>
      <c r="Q63" s="9" t="n"/>
      <c r="R63" s="12" t="n"/>
      <c r="S63" s="12" t="n"/>
      <c r="T63" s="12" t="n"/>
    </row>
    <row r="64">
      <c r="A64" s="12" t="n">
        <v>4</v>
      </c>
      <c r="B64" s="9" t="n"/>
      <c r="C64" s="9" t="n"/>
      <c r="D64" s="9" t="n"/>
      <c r="E64" s="9" t="n"/>
      <c r="F64" s="9" t="n"/>
      <c r="G64" s="9" t="n"/>
      <c r="H64" s="9" t="n"/>
      <c r="I64" s="10">
        <f>IFERROR(INDEX(C64:H64,MATCH(TRUE,INDEX(C64:H64&lt;&gt;"",0),0)),"")</f>
        <v/>
      </c>
      <c r="J64" s="10">
        <f>IFERROR(MIN(IF(C64:H64&lt;&gt;"",C64:H64)),"")</f>
        <v/>
      </c>
      <c r="K64" s="10">
        <f>IFERROR(MATCH(I64,C64:H64,0),"")</f>
        <v/>
      </c>
      <c r="L64" s="10">
        <f>IF(OR(I64="",J64=""),"",ROUND((I64-J64)/I64*100,1))</f>
        <v/>
      </c>
      <c r="M64" s="10">
        <f>IF(L64="","",IF(L64&gt;=18,"是","否"))</f>
        <v/>
      </c>
      <c r="N64" s="10">
        <f>IF(J64="","",IF(J64&lt;0.15,"是","否"))</f>
        <v/>
      </c>
      <c r="O64" s="10">
        <f>IF(I64="","",IF(J64&lt;0.15,"SAFETY_STOP",IF(L64&gt;=18,"VL_THRESHOLD","PLANNED_END")))</f>
        <v/>
      </c>
      <c r="P64" s="10">
        <f>IF(I64="","",IF(I64&gt;($D$2+0.05),"+5kg",IF(I64&gt;($D$2+0.02),"+2.5kg",IF(I64&gt;=($D$2-0.05),"保持",IF(I64&gt;=($D$2-0.08),"-2.5kg","-5kg")))))</f>
        <v/>
      </c>
      <c r="Q64" s="9" t="n"/>
      <c r="R64" s="12" t="n"/>
      <c r="S64" s="12" t="n"/>
      <c r="T64" s="12" t="n"/>
    </row>
    <row r="65">
      <c r="A65" s="12" t="n">
        <v>5</v>
      </c>
      <c r="B65" s="9" t="n"/>
      <c r="C65" s="9" t="n"/>
      <c r="D65" s="9" t="n"/>
      <c r="E65" s="9" t="n"/>
      <c r="F65" s="9" t="n"/>
      <c r="G65" s="9" t="n"/>
      <c r="H65" s="9" t="n"/>
      <c r="I65" s="10">
        <f>IFERROR(INDEX(C65:H65,MATCH(TRUE,INDEX(C65:H65&lt;&gt;"",0),0)),"")</f>
        <v/>
      </c>
      <c r="J65" s="10">
        <f>IFERROR(MIN(IF(C65:H65&lt;&gt;"",C65:H65)),"")</f>
        <v/>
      </c>
      <c r="K65" s="10">
        <f>IFERROR(MATCH(I65,C65:H65,0),"")</f>
        <v/>
      </c>
      <c r="L65" s="10">
        <f>IF(OR(I65="",J65=""),"",ROUND((I65-J65)/I65*100,1))</f>
        <v/>
      </c>
      <c r="M65" s="10">
        <f>IF(L65="","",IF(L65&gt;=18,"是","否"))</f>
        <v/>
      </c>
      <c r="N65" s="10">
        <f>IF(J65="","",IF(J65&lt;0.15,"是","否"))</f>
        <v/>
      </c>
      <c r="O65" s="10">
        <f>IF(I65="","",IF(J65&lt;0.15,"SAFETY_STOP",IF(L65&gt;=18,"VL_THRESHOLD","PLANNED_END")))</f>
        <v/>
      </c>
      <c r="P65" s="10">
        <f>IF(I65="","",IF(I65&gt;($D$2+0.05),"+5kg",IF(I65&gt;($D$2+0.02),"+2.5kg",IF(I65&gt;=($D$2-0.05),"保持",IF(I65&gt;=($D$2-0.08),"-2.5kg","-5kg")))))</f>
        <v/>
      </c>
      <c r="Q65" s="9" t="n"/>
      <c r="R65" s="12" t="n"/>
      <c r="S65" s="12" t="n"/>
      <c r="T65" s="12" t="n"/>
    </row>
    <row r="66">
      <c r="A66" s="12" t="n">
        <v>6</v>
      </c>
      <c r="B66" s="9" t="n"/>
      <c r="C66" s="9" t="n"/>
      <c r="D66" s="9" t="n"/>
      <c r="E66" s="9" t="n"/>
      <c r="F66" s="9" t="n"/>
      <c r="G66" s="9" t="n"/>
      <c r="H66" s="9" t="n"/>
      <c r="I66" s="10">
        <f>IFERROR(INDEX(C66:H66,MATCH(TRUE,INDEX(C66:H66&lt;&gt;"",0),0)),"")</f>
        <v/>
      </c>
      <c r="J66" s="10">
        <f>IFERROR(MIN(IF(C66:H66&lt;&gt;"",C66:H66)),"")</f>
        <v/>
      </c>
      <c r="K66" s="10">
        <f>IFERROR(MATCH(I66,C66:H66,0),"")</f>
        <v/>
      </c>
      <c r="L66" s="10">
        <f>IF(OR(I66="",J66=""),"",ROUND((I66-J66)/I66*100,1))</f>
        <v/>
      </c>
      <c r="M66" s="10">
        <f>IF(L66="","",IF(L66&gt;=18,"是","否"))</f>
        <v/>
      </c>
      <c r="N66" s="10">
        <f>IF(J66="","",IF(J66&lt;0.15,"是","否"))</f>
        <v/>
      </c>
      <c r="O66" s="10">
        <f>IF(I66="","",IF(J66&lt;0.15,"SAFETY_STOP",IF(L66&gt;=18,"VL_THRESHOLD","PLANNED_END")))</f>
        <v/>
      </c>
      <c r="P66" s="10">
        <f>IF(I66="","",IF(I66&gt;($D$2+0.05),"+5kg",IF(I66&gt;($D$2+0.02),"+2.5kg",IF(I66&gt;=($D$2-0.05),"保持",IF(I66&gt;=($D$2-0.08),"-2.5kg","-5kg")))))</f>
        <v/>
      </c>
      <c r="Q66" s="9" t="n"/>
      <c r="R66" s="12" t="n"/>
      <c r="S66" s="12" t="n"/>
      <c r="T66" s="12" t="n"/>
    </row>
    <row r="67">
      <c r="A67" s="8" t="inlineStr">
        <is>
          <t>辅助动作</t>
        </is>
      </c>
      <c r="B67" s="8" t="inlineStr">
        <is>
          <t>动作名称</t>
        </is>
      </c>
      <c r="C67" s="8" t="inlineStr">
        <is>
          <t>负荷kg</t>
        </is>
      </c>
      <c r="D67" s="8" t="inlineStr">
        <is>
          <t>完成(组×次)</t>
        </is>
      </c>
    </row>
    <row r="68">
      <c r="A68" s="9" t="inlineStr"/>
      <c r="B68" s="9" t="n"/>
      <c r="C68" s="9" t="n"/>
      <c r="D68" s="9" t="n"/>
    </row>
    <row r="69">
      <c r="A69" s="8" t="inlineStr">
        <is>
          <t>训练后</t>
        </is>
      </c>
      <c r="B69" s="8" t="inlineStr">
        <is>
          <t>开始时间</t>
        </is>
      </c>
      <c r="C69" s="8" t="inlineStr">
        <is>
          <t>结束时间</t>
        </is>
      </c>
      <c r="D69" s="8" t="inlineStr">
        <is>
          <t>总时长min</t>
        </is>
      </c>
      <c r="E69" s="8" t="inlineStr">
        <is>
          <t>sRPE</t>
        </is>
      </c>
      <c r="F69" s="8" t="inlineStr">
        <is>
          <t>session_load</t>
        </is>
      </c>
      <c r="G69" s="8" t="inlineStr">
        <is>
          <t>有无不适</t>
        </is>
      </c>
      <c r="H69" s="8" t="inlineStr">
        <is>
          <t>备注</t>
        </is>
      </c>
      <c r="I69" s="8" t="inlineStr">
        <is>
          <t>研究员签名</t>
        </is>
      </c>
    </row>
    <row r="70">
      <c r="A70" s="13" t="inlineStr"/>
      <c r="B70" s="13" t="n"/>
      <c r="C70" s="13" t="n"/>
      <c r="D70" s="10">
        <f>IF(OR(B70="",C70=""),"",(C70-B70)*1440)</f>
        <v/>
      </c>
      <c r="E70" s="13" t="n"/>
      <c r="F70" s="10">
        <f>IF(OR(D70="",E70=""),"",D70*E70)</f>
        <v/>
      </c>
      <c r="G70" s="13" t="n"/>
      <c r="H70" s="13" t="n"/>
      <c r="I70" s="13" t="n"/>
    </row>
    <row r="72">
      <c r="A72" s="5" t="inlineStr">
        <is>
          <t>── P015 陈先栋 ──────────────────────────────────────────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7" t="n"/>
    </row>
    <row r="73">
      <c r="A73" s="8" t="inlineStr">
        <is>
          <t>编号</t>
        </is>
      </c>
      <c r="B73" s="8" t="inlineStr">
        <is>
          <t>姓名</t>
        </is>
      </c>
      <c r="C73" s="8" t="inlineStr">
        <is>
          <t>身高</t>
        </is>
      </c>
      <c r="D73" s="8" t="inlineStr">
        <is>
          <t>1RM</t>
        </is>
      </c>
      <c r="E73" s="8" t="inlineStr">
        <is>
          <t>睡眠</t>
        </is>
      </c>
      <c r="F73" s="8" t="inlineStr">
        <is>
          <t>压力</t>
        </is>
      </c>
      <c r="G73" s="8" t="inlineStr">
        <is>
          <t>疲劳</t>
        </is>
      </c>
      <c r="H73" s="8" t="inlineStr">
        <is>
          <t>酸痛</t>
        </is>
      </c>
      <c r="I73" s="8" t="inlineStr">
        <is>
          <t>Hooper总</t>
        </is>
      </c>
      <c r="J73" s="8" t="inlineStr">
        <is>
          <t>CMJ1</t>
        </is>
      </c>
      <c r="K73" s="8" t="inlineStr">
        <is>
          <t>CMJ2</t>
        </is>
      </c>
      <c r="L73" s="8" t="inlineStr">
        <is>
          <t>CMJ3</t>
        </is>
      </c>
      <c r="M73" s="8" t="inlineStr">
        <is>
          <t>CMJ均值</t>
        </is>
      </c>
      <c r="N73" s="8" t="inlineStr">
        <is>
          <t>&lt;95%?</t>
        </is>
      </c>
      <c r="O73" s="8" t="inlineStr">
        <is>
          <t>减组?</t>
        </is>
      </c>
      <c r="P73" s="8" t="inlineStr">
        <is>
          <t>实做组数</t>
        </is>
      </c>
      <c r="Q73" s="8" t="inlineStr">
        <is>
          <t>LVP_a</t>
        </is>
      </c>
      <c r="R73" s="8" t="inlineStr">
        <is>
          <t>LVP_b</t>
        </is>
      </c>
      <c r="S73" s="8" t="inlineStr">
        <is>
          <t>等级</t>
        </is>
      </c>
      <c r="T73" s="8" t="inlineStr">
        <is>
          <t>预测起始</t>
        </is>
      </c>
    </row>
    <row r="74">
      <c r="A74" s="9" t="inlineStr">
        <is>
          <t>P015</t>
        </is>
      </c>
      <c r="B74" s="9" t="inlineStr">
        <is>
          <t>陈先栋</t>
        </is>
      </c>
      <c r="C74" s="9" t="n">
        <v>175</v>
      </c>
      <c r="D74" s="9" t="n">
        <v>135</v>
      </c>
      <c r="E74" s="9" t="n"/>
      <c r="F74" s="9" t="n"/>
      <c r="G74" s="9" t="n"/>
      <c r="H74" s="9" t="n"/>
      <c r="I74" s="10">
        <f>IFERROR(SUM(E74:H74),"")</f>
        <v/>
      </c>
      <c r="J74" s="9" t="n"/>
      <c r="K74" s="9" t="n"/>
      <c r="L74" s="9" t="n"/>
      <c r="M74" s="10">
        <f>IFERROR(AVERAGE(J74:L74),"")</f>
        <v/>
      </c>
      <c r="N74" s="10">
        <f>IF(M74="","",IF(M74&lt;54.25,"是⚠","否"))</f>
        <v/>
      </c>
      <c r="O74" s="10">
        <f>IF(M74="","",IF(M74&lt;54.25,"减1组","正常"))</f>
        <v/>
      </c>
      <c r="P74" s="10">
        <f>IF(M74="","",IF(M74&lt;54.25,4-1,4))</f>
        <v/>
      </c>
      <c r="Q74" s="9" t="n">
        <v>1.77</v>
      </c>
      <c r="R74" s="9" t="n">
        <v>-0.01025</v>
      </c>
      <c r="S74" s="9" t="inlineStr">
        <is>
          <t>C</t>
        </is>
      </c>
      <c r="T74" s="10">
        <f>IFERROR(ROUND((0.6-1.77)/-0.01025,0.5),"")</f>
        <v/>
      </c>
    </row>
    <row r="75">
      <c r="A75" s="8" t="inlineStr">
        <is>
          <t>热身校准</t>
        </is>
      </c>
      <c r="B75" s="8" t="inlineStr">
        <is>
          <t>LVP_a</t>
        </is>
      </c>
      <c r="C75" s="8" t="inlineStr">
        <is>
          <t>LVP_b</t>
        </is>
      </c>
      <c r="D75" s="8" t="inlineStr">
        <is>
          <t>50%热身kg</t>
        </is>
      </c>
      <c r="E75" s="8" t="inlineStr">
        <is>
          <t>70%热身kg</t>
        </is>
      </c>
      <c r="F75" s="8" t="inlineStr">
        <is>
          <t>热身负荷kg</t>
        </is>
      </c>
      <c r="G75" s="8" t="inlineStr">
        <is>
          <t>实测MCV</t>
        </is>
      </c>
      <c r="H75" s="8" t="inlineStr">
        <is>
          <t>预测MCV</t>
        </is>
      </c>
      <c r="I75" s="8" t="inlineStr">
        <is>
          <t>Δv</t>
        </is>
      </c>
      <c r="J75" s="8" t="inlineStr">
        <is>
          <t>调整量kg</t>
        </is>
      </c>
      <c r="K75" s="8" t="inlineStr">
        <is>
          <t>校准后第1组kg</t>
        </is>
      </c>
    </row>
    <row r="76">
      <c r="A76" s="11" t="inlineStr"/>
      <c r="B76" s="11" t="n">
        <v>1.77</v>
      </c>
      <c r="C76" s="11" t="n">
        <v>-0.01025</v>
      </c>
      <c r="D76" s="10">
        <f>IFERROR(ROUND(T74*0.5,2.5),"")</f>
        <v/>
      </c>
      <c r="E76" s="10">
        <f>IFERROR(ROUND(T74*0.7,2.5),"")</f>
        <v/>
      </c>
      <c r="F76" s="10">
        <f>E76</f>
        <v/>
      </c>
      <c r="G76" s="9" t="n"/>
      <c r="H76" s="10">
        <f>IF(F76="","",B76+C76*F76)</f>
        <v/>
      </c>
      <c r="I76" s="10">
        <f>IF(OR(G76="",H76=""),"",G76-H76)</f>
        <v/>
      </c>
      <c r="J76" s="10">
        <f>IF(I76="","",IF(I76&gt;0.08,5,IF(I76&gt;0.04,2.5,IF(I76&gt;=-0.04,0,IF(I76&gt;=-0.08,-2.5,-5)))))</f>
        <v/>
      </c>
      <c r="K76" s="10">
        <f>IFERROR(ROUND(T74+J76,2.5),"")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8" t="inlineStr">
        <is>
          <t>组次</t>
        </is>
      </c>
      <c r="B77" s="8" t="inlineStr">
        <is>
          <t>负荷kg</t>
        </is>
      </c>
      <c r="C77" s="8" t="inlineStr">
        <is>
          <t>rep1</t>
        </is>
      </c>
      <c r="D77" s="8" t="inlineStr">
        <is>
          <t>rep2</t>
        </is>
      </c>
      <c r="E77" s="8" t="inlineStr">
        <is>
          <t>rep3</t>
        </is>
      </c>
      <c r="F77" s="8" t="inlineStr">
        <is>
          <t>rep4</t>
        </is>
      </c>
      <c r="G77" s="8" t="inlineStr">
        <is>
          <t>rep5</t>
        </is>
      </c>
      <c r="H77" s="8" t="inlineStr">
        <is>
          <t>rep6</t>
        </is>
      </c>
      <c r="I77" s="8" t="inlineStr">
        <is>
          <t>首rep</t>
        </is>
      </c>
      <c r="J77" s="8" t="inlineStr">
        <is>
          <t>最低速</t>
        </is>
      </c>
      <c r="K77" s="8" t="inlineStr">
        <is>
          <t>最低rep#</t>
        </is>
      </c>
      <c r="L77" s="8" t="inlineStr">
        <is>
          <t>VL%</t>
        </is>
      </c>
      <c r="M77" s="8" t="inlineStr">
        <is>
          <t>VL达标?</t>
        </is>
      </c>
      <c r="N77" s="8" t="inlineStr">
        <is>
          <t>安全停止?</t>
        </is>
      </c>
      <c r="O77" s="8" t="inlineStr">
        <is>
          <t>停组原因</t>
        </is>
      </c>
      <c r="P77" s="8" t="inlineStr">
        <is>
          <t>下组建议</t>
        </is>
      </c>
      <c r="Q77" s="8" t="inlineStr">
        <is>
          <t>实做次数</t>
        </is>
      </c>
    </row>
    <row r="78">
      <c r="A78" s="12" t="n">
        <v>1</v>
      </c>
      <c r="B78" s="10">
        <f>IF(K76="","",K76)</f>
        <v/>
      </c>
      <c r="C78" s="9" t="n"/>
      <c r="D78" s="9" t="n"/>
      <c r="E78" s="9" t="n"/>
      <c r="F78" s="9" t="n"/>
      <c r="G78" s="9" t="n"/>
      <c r="H78" s="9" t="n"/>
      <c r="I78" s="10">
        <f>IFERROR(INDEX(C78:H78,MATCH(TRUE,INDEX(C78:H78&lt;&gt;"",0),0)),"")</f>
        <v/>
      </c>
      <c r="J78" s="10">
        <f>IFERROR(MIN(IF(C78:H78&lt;&gt;"",C78:H78)),"")</f>
        <v/>
      </c>
      <c r="K78" s="10">
        <f>IFERROR(MATCH(I78,C78:H78,0),"")</f>
        <v/>
      </c>
      <c r="L78" s="10">
        <f>IF(OR(I78="",J78=""),"",ROUND((I78-J78)/I78*100,1))</f>
        <v/>
      </c>
      <c r="M78" s="10">
        <f>IF(L78="","",IF(L78&gt;=18,"是","否"))</f>
        <v/>
      </c>
      <c r="N78" s="10">
        <f>IF(J78="","",IF(J78&lt;0.15,"是","否"))</f>
        <v/>
      </c>
      <c r="O78" s="10">
        <f>IF(I78="","",IF(J78&lt;0.15,"SAFETY_STOP",IF(L78&gt;=18,"VL_THRESHOLD","PLANNED_END")))</f>
        <v/>
      </c>
      <c r="P78" s="10">
        <f>IF(I78="","",IF(I78&gt;($D$2+0.05),"+5kg",IF(I78&gt;($D$2+0.02),"+2.5kg",IF(I78&gt;=($D$2-0.05),"保持",IF(I78&gt;=($D$2-0.08),"-2.5kg","-5kg")))))</f>
        <v/>
      </c>
      <c r="Q78" s="9" t="n"/>
      <c r="R78" s="12" t="n"/>
      <c r="S78" s="12" t="n"/>
      <c r="T78" s="12" t="n"/>
    </row>
    <row r="79">
      <c r="A79" s="12" t="n">
        <v>2</v>
      </c>
      <c r="B79" s="9" t="n"/>
      <c r="C79" s="9" t="n"/>
      <c r="D79" s="9" t="n"/>
      <c r="E79" s="9" t="n"/>
      <c r="F79" s="9" t="n"/>
      <c r="G79" s="9" t="n"/>
      <c r="H79" s="9" t="n"/>
      <c r="I79" s="10">
        <f>IFERROR(INDEX(C79:H79,MATCH(TRUE,INDEX(C79:H79&lt;&gt;"",0),0)),"")</f>
        <v/>
      </c>
      <c r="J79" s="10">
        <f>IFERROR(MIN(IF(C79:H79&lt;&gt;"",C79:H79)),"")</f>
        <v/>
      </c>
      <c r="K79" s="10">
        <f>IFERROR(MATCH(I79,C79:H79,0),"")</f>
        <v/>
      </c>
      <c r="L79" s="10">
        <f>IF(OR(I79="",J79=""),"",ROUND((I79-J79)/I79*100,1))</f>
        <v/>
      </c>
      <c r="M79" s="10">
        <f>IF(L79="","",IF(L79&gt;=18,"是","否"))</f>
        <v/>
      </c>
      <c r="N79" s="10">
        <f>IF(J79="","",IF(J79&lt;0.15,"是","否"))</f>
        <v/>
      </c>
      <c r="O79" s="10">
        <f>IF(I79="","",IF(J79&lt;0.15,"SAFETY_STOP",IF(L79&gt;=18,"VL_THRESHOLD","PLANNED_END")))</f>
        <v/>
      </c>
      <c r="P79" s="10">
        <f>IF(I79="","",IF(I79&gt;($D$2+0.05),"+5kg",IF(I79&gt;($D$2+0.02),"+2.5kg",IF(I79&gt;=($D$2-0.05),"保持",IF(I79&gt;=($D$2-0.08),"-2.5kg","-5kg")))))</f>
        <v/>
      </c>
      <c r="Q79" s="9" t="n"/>
      <c r="R79" s="12" t="n"/>
      <c r="S79" s="12" t="n"/>
      <c r="T79" s="12" t="n"/>
    </row>
    <row r="80">
      <c r="A80" s="12" t="n">
        <v>3</v>
      </c>
      <c r="B80" s="9" t="n"/>
      <c r="C80" s="9" t="n"/>
      <c r="D80" s="9" t="n"/>
      <c r="E80" s="9" t="n"/>
      <c r="F80" s="9" t="n"/>
      <c r="G80" s="9" t="n"/>
      <c r="H80" s="9" t="n"/>
      <c r="I80" s="10">
        <f>IFERROR(INDEX(C80:H80,MATCH(TRUE,INDEX(C80:H80&lt;&gt;"",0),0)),"")</f>
        <v/>
      </c>
      <c r="J80" s="10">
        <f>IFERROR(MIN(IF(C80:H80&lt;&gt;"",C80:H80)),"")</f>
        <v/>
      </c>
      <c r="K80" s="10">
        <f>IFERROR(MATCH(I80,C80:H80,0),"")</f>
        <v/>
      </c>
      <c r="L80" s="10">
        <f>IF(OR(I80="",J80=""),"",ROUND((I80-J80)/I80*100,1))</f>
        <v/>
      </c>
      <c r="M80" s="10">
        <f>IF(L80="","",IF(L80&gt;=18,"是","否"))</f>
        <v/>
      </c>
      <c r="N80" s="10">
        <f>IF(J80="","",IF(J80&lt;0.15,"是","否"))</f>
        <v/>
      </c>
      <c r="O80" s="10">
        <f>IF(I80="","",IF(J80&lt;0.15,"SAFETY_STOP",IF(L80&gt;=18,"VL_THRESHOLD","PLANNED_END")))</f>
        <v/>
      </c>
      <c r="P80" s="10">
        <f>IF(I80="","",IF(I80&gt;($D$2+0.05),"+5kg",IF(I80&gt;($D$2+0.02),"+2.5kg",IF(I80&gt;=($D$2-0.05),"保持",IF(I80&gt;=($D$2-0.08),"-2.5kg","-5kg")))))</f>
        <v/>
      </c>
      <c r="Q80" s="9" t="n"/>
      <c r="R80" s="12" t="n"/>
      <c r="S80" s="12" t="n"/>
      <c r="T80" s="12" t="n"/>
    </row>
    <row r="81">
      <c r="A81" s="12" t="n">
        <v>4</v>
      </c>
      <c r="B81" s="9" t="n"/>
      <c r="C81" s="9" t="n"/>
      <c r="D81" s="9" t="n"/>
      <c r="E81" s="9" t="n"/>
      <c r="F81" s="9" t="n"/>
      <c r="G81" s="9" t="n"/>
      <c r="H81" s="9" t="n"/>
      <c r="I81" s="10">
        <f>IFERROR(INDEX(C81:H81,MATCH(TRUE,INDEX(C81:H81&lt;&gt;"",0),0)),"")</f>
        <v/>
      </c>
      <c r="J81" s="10">
        <f>IFERROR(MIN(IF(C81:H81&lt;&gt;"",C81:H81)),"")</f>
        <v/>
      </c>
      <c r="K81" s="10">
        <f>IFERROR(MATCH(I81,C81:H81,0),"")</f>
        <v/>
      </c>
      <c r="L81" s="10">
        <f>IF(OR(I81="",J81=""),"",ROUND((I81-J81)/I81*100,1))</f>
        <v/>
      </c>
      <c r="M81" s="10">
        <f>IF(L81="","",IF(L81&gt;=18,"是","否"))</f>
        <v/>
      </c>
      <c r="N81" s="10">
        <f>IF(J81="","",IF(J81&lt;0.15,"是","否"))</f>
        <v/>
      </c>
      <c r="O81" s="10">
        <f>IF(I81="","",IF(J81&lt;0.15,"SAFETY_STOP",IF(L81&gt;=18,"VL_THRESHOLD","PLANNED_END")))</f>
        <v/>
      </c>
      <c r="P81" s="10">
        <f>IF(I81="","",IF(I81&gt;($D$2+0.05),"+5kg",IF(I81&gt;($D$2+0.02),"+2.5kg",IF(I81&gt;=($D$2-0.05),"保持",IF(I81&gt;=($D$2-0.08),"-2.5kg","-5kg")))))</f>
        <v/>
      </c>
      <c r="Q81" s="9" t="n"/>
      <c r="R81" s="12" t="n"/>
      <c r="S81" s="12" t="n"/>
      <c r="T81" s="12" t="n"/>
    </row>
    <row r="82">
      <c r="A82" s="12" t="n">
        <v>5</v>
      </c>
      <c r="B82" s="9" t="n"/>
      <c r="C82" s="9" t="n"/>
      <c r="D82" s="9" t="n"/>
      <c r="E82" s="9" t="n"/>
      <c r="F82" s="9" t="n"/>
      <c r="G82" s="9" t="n"/>
      <c r="H82" s="9" t="n"/>
      <c r="I82" s="10">
        <f>IFERROR(INDEX(C82:H82,MATCH(TRUE,INDEX(C82:H82&lt;&gt;"",0),0)),"")</f>
        <v/>
      </c>
      <c r="J82" s="10">
        <f>IFERROR(MIN(IF(C82:H82&lt;&gt;"",C82:H82)),"")</f>
        <v/>
      </c>
      <c r="K82" s="10">
        <f>IFERROR(MATCH(I82,C82:H82,0),"")</f>
        <v/>
      </c>
      <c r="L82" s="10">
        <f>IF(OR(I82="",J82=""),"",ROUND((I82-J82)/I82*100,1))</f>
        <v/>
      </c>
      <c r="M82" s="10">
        <f>IF(L82="","",IF(L82&gt;=18,"是","否"))</f>
        <v/>
      </c>
      <c r="N82" s="10">
        <f>IF(J82="","",IF(J82&lt;0.15,"是","否"))</f>
        <v/>
      </c>
      <c r="O82" s="10">
        <f>IF(I82="","",IF(J82&lt;0.15,"SAFETY_STOP",IF(L82&gt;=18,"VL_THRESHOLD","PLANNED_END")))</f>
        <v/>
      </c>
      <c r="P82" s="10">
        <f>IF(I82="","",IF(I82&gt;($D$2+0.05),"+5kg",IF(I82&gt;($D$2+0.02),"+2.5kg",IF(I82&gt;=($D$2-0.05),"保持",IF(I82&gt;=($D$2-0.08),"-2.5kg","-5kg")))))</f>
        <v/>
      </c>
      <c r="Q82" s="9" t="n"/>
      <c r="R82" s="12" t="n"/>
      <c r="S82" s="12" t="n"/>
      <c r="T82" s="12" t="n"/>
    </row>
    <row r="83">
      <c r="A83" s="12" t="n">
        <v>6</v>
      </c>
      <c r="B83" s="9" t="n"/>
      <c r="C83" s="9" t="n"/>
      <c r="D83" s="9" t="n"/>
      <c r="E83" s="9" t="n"/>
      <c r="F83" s="9" t="n"/>
      <c r="G83" s="9" t="n"/>
      <c r="H83" s="9" t="n"/>
      <c r="I83" s="10">
        <f>IFERROR(INDEX(C83:H83,MATCH(TRUE,INDEX(C83:H83&lt;&gt;"",0),0)),"")</f>
        <v/>
      </c>
      <c r="J83" s="10">
        <f>IFERROR(MIN(IF(C83:H83&lt;&gt;"",C83:H83)),"")</f>
        <v/>
      </c>
      <c r="K83" s="10">
        <f>IFERROR(MATCH(I83,C83:H83,0),"")</f>
        <v/>
      </c>
      <c r="L83" s="10">
        <f>IF(OR(I83="",J83=""),"",ROUND((I83-J83)/I83*100,1))</f>
        <v/>
      </c>
      <c r="M83" s="10">
        <f>IF(L83="","",IF(L83&gt;=18,"是","否"))</f>
        <v/>
      </c>
      <c r="N83" s="10">
        <f>IF(J83="","",IF(J83&lt;0.15,"是","否"))</f>
        <v/>
      </c>
      <c r="O83" s="10">
        <f>IF(I83="","",IF(J83&lt;0.15,"SAFETY_STOP",IF(L83&gt;=18,"VL_THRESHOLD","PLANNED_END")))</f>
        <v/>
      </c>
      <c r="P83" s="10">
        <f>IF(I83="","",IF(I83&gt;($D$2+0.05),"+5kg",IF(I83&gt;($D$2+0.02),"+2.5kg",IF(I83&gt;=($D$2-0.05),"保持",IF(I83&gt;=($D$2-0.08),"-2.5kg","-5kg")))))</f>
        <v/>
      </c>
      <c r="Q83" s="9" t="n"/>
      <c r="R83" s="12" t="n"/>
      <c r="S83" s="12" t="n"/>
      <c r="T83" s="12" t="n"/>
    </row>
    <row r="84">
      <c r="A84" s="8" t="inlineStr">
        <is>
          <t>辅助动作</t>
        </is>
      </c>
      <c r="B84" s="8" t="inlineStr">
        <is>
          <t>动作名称</t>
        </is>
      </c>
      <c r="C84" s="8" t="inlineStr">
        <is>
          <t>负荷kg</t>
        </is>
      </c>
      <c r="D84" s="8" t="inlineStr">
        <is>
          <t>完成(组×次)</t>
        </is>
      </c>
    </row>
    <row r="85">
      <c r="A85" s="9" t="inlineStr"/>
      <c r="B85" s="9" t="n"/>
      <c r="C85" s="9" t="n"/>
      <c r="D85" s="9" t="n"/>
    </row>
    <row r="86">
      <c r="A86" s="8" t="inlineStr">
        <is>
          <t>训练后</t>
        </is>
      </c>
      <c r="B86" s="8" t="inlineStr">
        <is>
          <t>开始时间</t>
        </is>
      </c>
      <c r="C86" s="8" t="inlineStr">
        <is>
          <t>结束时间</t>
        </is>
      </c>
      <c r="D86" s="8" t="inlineStr">
        <is>
          <t>总时长min</t>
        </is>
      </c>
      <c r="E86" s="8" t="inlineStr">
        <is>
          <t>sRPE</t>
        </is>
      </c>
      <c r="F86" s="8" t="inlineStr">
        <is>
          <t>session_load</t>
        </is>
      </c>
      <c r="G86" s="8" t="inlineStr">
        <is>
          <t>有无不适</t>
        </is>
      </c>
      <c r="H86" s="8" t="inlineStr">
        <is>
          <t>备注</t>
        </is>
      </c>
      <c r="I86" s="8" t="inlineStr">
        <is>
          <t>研究员签名</t>
        </is>
      </c>
    </row>
    <row r="87">
      <c r="A87" s="13" t="inlineStr"/>
      <c r="B87" s="13" t="n"/>
      <c r="C87" s="13" t="n"/>
      <c r="D87" s="10">
        <f>IF(OR(B87="",C87=""),"",(C87-B87)*1440)</f>
        <v/>
      </c>
      <c r="E87" s="13" t="n"/>
      <c r="F87" s="10">
        <f>IF(OR(D87="",E87=""),"",D87*E87)</f>
        <v/>
      </c>
      <c r="G87" s="13" t="n"/>
      <c r="H87" s="13" t="n"/>
      <c r="I87" s="13" t="n"/>
    </row>
    <row r="89">
      <c r="A89" s="5" t="inlineStr">
        <is>
          <t>── P011 朱怀远 ──────────────────────────────────────────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" t="n"/>
    </row>
    <row r="90">
      <c r="A90" s="8" t="inlineStr">
        <is>
          <t>编号</t>
        </is>
      </c>
      <c r="B90" s="8" t="inlineStr">
        <is>
          <t>姓名</t>
        </is>
      </c>
      <c r="C90" s="8" t="inlineStr">
        <is>
          <t>身高</t>
        </is>
      </c>
      <c r="D90" s="8" t="inlineStr">
        <is>
          <t>1RM</t>
        </is>
      </c>
      <c r="E90" s="8" t="inlineStr">
        <is>
          <t>睡眠</t>
        </is>
      </c>
      <c r="F90" s="8" t="inlineStr">
        <is>
          <t>压力</t>
        </is>
      </c>
      <c r="G90" s="8" t="inlineStr">
        <is>
          <t>疲劳</t>
        </is>
      </c>
      <c r="H90" s="8" t="inlineStr">
        <is>
          <t>酸痛</t>
        </is>
      </c>
      <c r="I90" s="8" t="inlineStr">
        <is>
          <t>Hooper总</t>
        </is>
      </c>
      <c r="J90" s="8" t="inlineStr">
        <is>
          <t>CMJ1</t>
        </is>
      </c>
      <c r="K90" s="8" t="inlineStr">
        <is>
          <t>CMJ2</t>
        </is>
      </c>
      <c r="L90" s="8" t="inlineStr">
        <is>
          <t>CMJ3</t>
        </is>
      </c>
      <c r="M90" s="8" t="inlineStr">
        <is>
          <t>CMJ均值</t>
        </is>
      </c>
      <c r="N90" s="8" t="inlineStr">
        <is>
          <t>&lt;95%?</t>
        </is>
      </c>
      <c r="O90" s="8" t="inlineStr">
        <is>
          <t>减组?</t>
        </is>
      </c>
      <c r="P90" s="8" t="inlineStr">
        <is>
          <t>实做组数</t>
        </is>
      </c>
      <c r="Q90" s="8" t="inlineStr">
        <is>
          <t>LVP_a</t>
        </is>
      </c>
      <c r="R90" s="8" t="inlineStr">
        <is>
          <t>LVP_b</t>
        </is>
      </c>
      <c r="S90" s="8" t="inlineStr">
        <is>
          <t>等级</t>
        </is>
      </c>
      <c r="T90" s="8" t="inlineStr">
        <is>
          <t>预测起始</t>
        </is>
      </c>
    </row>
    <row r="91">
      <c r="A91" s="9" t="inlineStr">
        <is>
          <t>P011</t>
        </is>
      </c>
      <c r="B91" s="9" t="inlineStr">
        <is>
          <t>朱怀远</t>
        </is>
      </c>
      <c r="C91" s="9" t="n">
        <v>165</v>
      </c>
      <c r="D91" s="9" t="n">
        <v>125</v>
      </c>
      <c r="E91" s="9" t="n"/>
      <c r="F91" s="9" t="n"/>
      <c r="G91" s="9" t="n"/>
      <c r="H91" s="9" t="n"/>
      <c r="I91" s="10">
        <f>IFERROR(SUM(E91:H91),"")</f>
        <v/>
      </c>
      <c r="J91" s="9" t="n"/>
      <c r="K91" s="9" t="n"/>
      <c r="L91" s="9" t="n"/>
      <c r="M91" s="10">
        <f>IFERROR(AVERAGE(J91:L91),"")</f>
        <v/>
      </c>
      <c r="N91" s="10">
        <f>IF(M91="","",IF(M91&lt;64.98,"是⚠","否"))</f>
        <v/>
      </c>
      <c r="O91" s="10">
        <f>IF(M91="","",IF(M91&lt;64.98,"减1组","正常"))</f>
        <v/>
      </c>
      <c r="P91" s="10">
        <f>IF(M91="","",IF(M91&lt;64.98,4-1,4))</f>
        <v/>
      </c>
      <c r="Q91" s="9" t="n">
        <v>1.2583</v>
      </c>
      <c r="R91" s="9" t="n">
        <v>-0.006125</v>
      </c>
      <c r="S91" s="9" t="inlineStr">
        <is>
          <t>D</t>
        </is>
      </c>
      <c r="T91" s="10">
        <f>IFERROR(ROUND((0.6-1.2583)/-0.006125,0.5),"")</f>
        <v/>
      </c>
    </row>
    <row r="92">
      <c r="A92" s="8" t="inlineStr">
        <is>
          <t>热身校准</t>
        </is>
      </c>
      <c r="B92" s="8" t="inlineStr">
        <is>
          <t>LVP_a</t>
        </is>
      </c>
      <c r="C92" s="8" t="inlineStr">
        <is>
          <t>LVP_b</t>
        </is>
      </c>
      <c r="D92" s="8" t="inlineStr">
        <is>
          <t>50%热身kg</t>
        </is>
      </c>
      <c r="E92" s="8" t="inlineStr">
        <is>
          <t>70%热身kg</t>
        </is>
      </c>
      <c r="F92" s="8" t="inlineStr">
        <is>
          <t>热身负荷kg</t>
        </is>
      </c>
      <c r="G92" s="8" t="inlineStr">
        <is>
          <t>实测MCV</t>
        </is>
      </c>
      <c r="H92" s="8" t="inlineStr">
        <is>
          <t>预测MCV</t>
        </is>
      </c>
      <c r="I92" s="8" t="inlineStr">
        <is>
          <t>Δv</t>
        </is>
      </c>
      <c r="J92" s="8" t="inlineStr">
        <is>
          <t>调整量kg</t>
        </is>
      </c>
      <c r="K92" s="8" t="inlineStr">
        <is>
          <t>校准后第1组kg</t>
        </is>
      </c>
    </row>
    <row r="93">
      <c r="A93" s="11" t="inlineStr"/>
      <c r="B93" s="11" t="n">
        <v>1.2583</v>
      </c>
      <c r="C93" s="11" t="n">
        <v>-0.006125</v>
      </c>
      <c r="D93" s="10">
        <f>IFERROR(ROUND(T91*0.5,2.5),"")</f>
        <v/>
      </c>
      <c r="E93" s="10">
        <f>IFERROR(ROUND(T91*0.7,2.5),"")</f>
        <v/>
      </c>
      <c r="F93" s="10">
        <f>E93</f>
        <v/>
      </c>
      <c r="G93" s="9" t="n"/>
      <c r="H93" s="10">
        <f>IF(F93="","",B93+C93*F93)</f>
        <v/>
      </c>
      <c r="I93" s="10">
        <f>IF(OR(G93="",H93=""),"",G93-H93)</f>
        <v/>
      </c>
      <c r="J93" s="10">
        <f>IF(I93="","",IF(I93&gt;0.08,5,IF(I93&gt;0.04,2.5,IF(I93&gt;=-0.04,0,IF(I93&gt;=-0.08,-2.5,-5)))))</f>
        <v/>
      </c>
      <c r="K93" s="10">
        <f>IFERROR(ROUND(T91+J93,2.5),"")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8" t="inlineStr">
        <is>
          <t>组次</t>
        </is>
      </c>
      <c r="B94" s="8" t="inlineStr">
        <is>
          <t>负荷kg</t>
        </is>
      </c>
      <c r="C94" s="8" t="inlineStr">
        <is>
          <t>rep1</t>
        </is>
      </c>
      <c r="D94" s="8" t="inlineStr">
        <is>
          <t>rep2</t>
        </is>
      </c>
      <c r="E94" s="8" t="inlineStr">
        <is>
          <t>rep3</t>
        </is>
      </c>
      <c r="F94" s="8" t="inlineStr">
        <is>
          <t>rep4</t>
        </is>
      </c>
      <c r="G94" s="8" t="inlineStr">
        <is>
          <t>rep5</t>
        </is>
      </c>
      <c r="H94" s="8" t="inlineStr">
        <is>
          <t>rep6</t>
        </is>
      </c>
      <c r="I94" s="8" t="inlineStr">
        <is>
          <t>首rep</t>
        </is>
      </c>
      <c r="J94" s="8" t="inlineStr">
        <is>
          <t>最低速</t>
        </is>
      </c>
      <c r="K94" s="8" t="inlineStr">
        <is>
          <t>最低rep#</t>
        </is>
      </c>
      <c r="L94" s="8" t="inlineStr">
        <is>
          <t>VL%</t>
        </is>
      </c>
      <c r="M94" s="8" t="inlineStr">
        <is>
          <t>VL达标?</t>
        </is>
      </c>
      <c r="N94" s="8" t="inlineStr">
        <is>
          <t>安全停止?</t>
        </is>
      </c>
      <c r="O94" s="8" t="inlineStr">
        <is>
          <t>停组原因</t>
        </is>
      </c>
      <c r="P94" s="8" t="inlineStr">
        <is>
          <t>下组建议</t>
        </is>
      </c>
      <c r="Q94" s="8" t="inlineStr">
        <is>
          <t>实做次数</t>
        </is>
      </c>
    </row>
    <row r="95">
      <c r="A95" s="12" t="n">
        <v>1</v>
      </c>
      <c r="B95" s="10">
        <f>IF(K93="","",K93)</f>
        <v/>
      </c>
      <c r="C95" s="9" t="n"/>
      <c r="D95" s="9" t="n"/>
      <c r="E95" s="9" t="n"/>
      <c r="F95" s="9" t="n"/>
      <c r="G95" s="9" t="n"/>
      <c r="H95" s="9" t="n"/>
      <c r="I95" s="10">
        <f>IFERROR(INDEX(C95:H95,MATCH(TRUE,INDEX(C95:H95&lt;&gt;"",0),0)),"")</f>
        <v/>
      </c>
      <c r="J95" s="10">
        <f>IFERROR(MIN(IF(C95:H95&lt;&gt;"",C95:H95)),"")</f>
        <v/>
      </c>
      <c r="K95" s="10">
        <f>IFERROR(MATCH(I95,C95:H95,0),"")</f>
        <v/>
      </c>
      <c r="L95" s="10">
        <f>IF(OR(I95="",J95=""),"",ROUND((I95-J95)/I95*100,1))</f>
        <v/>
      </c>
      <c r="M95" s="10">
        <f>IF(L95="","",IF(L95&gt;=18,"是","否"))</f>
        <v/>
      </c>
      <c r="N95" s="10">
        <f>IF(J95="","",IF(J95&lt;0.15,"是","否"))</f>
        <v/>
      </c>
      <c r="O95" s="10">
        <f>IF(I95="","",IF(J95&lt;0.15,"SAFETY_STOP",IF(L95&gt;=18,"VL_THRESHOLD","PLANNED_END")))</f>
        <v/>
      </c>
      <c r="P95" s="10">
        <f>IF(I95="","",IF(I95&gt;($D$2+0.05),"+5kg",IF(I95&gt;($D$2+0.02),"+2.5kg",IF(I95&gt;=($D$2-0.05),"保持",IF(I95&gt;=($D$2-0.08),"-2.5kg","-5kg")))))</f>
        <v/>
      </c>
      <c r="Q95" s="9" t="n"/>
      <c r="R95" s="12" t="n"/>
      <c r="S95" s="12" t="n"/>
      <c r="T95" s="12" t="n"/>
    </row>
    <row r="96">
      <c r="A96" s="12" t="n">
        <v>2</v>
      </c>
      <c r="B96" s="9" t="n"/>
      <c r="C96" s="9" t="n"/>
      <c r="D96" s="9" t="n"/>
      <c r="E96" s="9" t="n"/>
      <c r="F96" s="9" t="n"/>
      <c r="G96" s="9" t="n"/>
      <c r="H96" s="9" t="n"/>
      <c r="I96" s="10">
        <f>IFERROR(INDEX(C96:H96,MATCH(TRUE,INDEX(C96:H96&lt;&gt;"",0),0)),"")</f>
        <v/>
      </c>
      <c r="J96" s="10">
        <f>IFERROR(MIN(IF(C96:H96&lt;&gt;"",C96:H96)),"")</f>
        <v/>
      </c>
      <c r="K96" s="10">
        <f>IFERROR(MATCH(I96,C96:H96,0),"")</f>
        <v/>
      </c>
      <c r="L96" s="10">
        <f>IF(OR(I96="",J96=""),"",ROUND((I96-J96)/I96*100,1))</f>
        <v/>
      </c>
      <c r="M96" s="10">
        <f>IF(L96="","",IF(L96&gt;=18,"是","否"))</f>
        <v/>
      </c>
      <c r="N96" s="10">
        <f>IF(J96="","",IF(J96&lt;0.15,"是","否"))</f>
        <v/>
      </c>
      <c r="O96" s="10">
        <f>IF(I96="","",IF(J96&lt;0.15,"SAFETY_STOP",IF(L96&gt;=18,"VL_THRESHOLD","PLANNED_END")))</f>
        <v/>
      </c>
      <c r="P96" s="10">
        <f>IF(I96="","",IF(I96&gt;($D$2+0.05),"+5kg",IF(I96&gt;($D$2+0.02),"+2.5kg",IF(I96&gt;=($D$2-0.05),"保持",IF(I96&gt;=($D$2-0.08),"-2.5kg","-5kg")))))</f>
        <v/>
      </c>
      <c r="Q96" s="9" t="n"/>
      <c r="R96" s="12" t="n"/>
      <c r="S96" s="12" t="n"/>
      <c r="T96" s="12" t="n"/>
    </row>
    <row r="97">
      <c r="A97" s="12" t="n">
        <v>3</v>
      </c>
      <c r="B97" s="9" t="n"/>
      <c r="C97" s="9" t="n"/>
      <c r="D97" s="9" t="n"/>
      <c r="E97" s="9" t="n"/>
      <c r="F97" s="9" t="n"/>
      <c r="G97" s="9" t="n"/>
      <c r="H97" s="9" t="n"/>
      <c r="I97" s="10">
        <f>IFERROR(INDEX(C97:H97,MATCH(TRUE,INDEX(C97:H97&lt;&gt;"",0),0)),"")</f>
        <v/>
      </c>
      <c r="J97" s="10">
        <f>IFERROR(MIN(IF(C97:H97&lt;&gt;"",C97:H97)),"")</f>
        <v/>
      </c>
      <c r="K97" s="10">
        <f>IFERROR(MATCH(I97,C97:H97,0),"")</f>
        <v/>
      </c>
      <c r="L97" s="10">
        <f>IF(OR(I97="",J97=""),"",ROUND((I97-J97)/I97*100,1))</f>
        <v/>
      </c>
      <c r="M97" s="10">
        <f>IF(L97="","",IF(L97&gt;=18,"是","否"))</f>
        <v/>
      </c>
      <c r="N97" s="10">
        <f>IF(J97="","",IF(J97&lt;0.15,"是","否"))</f>
        <v/>
      </c>
      <c r="O97" s="10">
        <f>IF(I97="","",IF(J97&lt;0.15,"SAFETY_STOP",IF(L97&gt;=18,"VL_THRESHOLD","PLANNED_END")))</f>
        <v/>
      </c>
      <c r="P97" s="10">
        <f>IF(I97="","",IF(I97&gt;($D$2+0.05),"+5kg",IF(I97&gt;($D$2+0.02),"+2.5kg",IF(I97&gt;=($D$2-0.05),"保持",IF(I97&gt;=($D$2-0.08),"-2.5kg","-5kg")))))</f>
        <v/>
      </c>
      <c r="Q97" s="9" t="n"/>
      <c r="R97" s="12" t="n"/>
      <c r="S97" s="12" t="n"/>
      <c r="T97" s="12" t="n"/>
    </row>
    <row r="98">
      <c r="A98" s="12" t="n">
        <v>4</v>
      </c>
      <c r="B98" s="9" t="n"/>
      <c r="C98" s="9" t="n"/>
      <c r="D98" s="9" t="n"/>
      <c r="E98" s="9" t="n"/>
      <c r="F98" s="9" t="n"/>
      <c r="G98" s="9" t="n"/>
      <c r="H98" s="9" t="n"/>
      <c r="I98" s="10">
        <f>IFERROR(INDEX(C98:H98,MATCH(TRUE,INDEX(C98:H98&lt;&gt;"",0),0)),"")</f>
        <v/>
      </c>
      <c r="J98" s="10">
        <f>IFERROR(MIN(IF(C98:H98&lt;&gt;"",C98:H98)),"")</f>
        <v/>
      </c>
      <c r="K98" s="10">
        <f>IFERROR(MATCH(I98,C98:H98,0),"")</f>
        <v/>
      </c>
      <c r="L98" s="10">
        <f>IF(OR(I98="",J98=""),"",ROUND((I98-J98)/I98*100,1))</f>
        <v/>
      </c>
      <c r="M98" s="10">
        <f>IF(L98="","",IF(L98&gt;=18,"是","否"))</f>
        <v/>
      </c>
      <c r="N98" s="10">
        <f>IF(J98="","",IF(J98&lt;0.15,"是","否"))</f>
        <v/>
      </c>
      <c r="O98" s="10">
        <f>IF(I98="","",IF(J98&lt;0.15,"SAFETY_STOP",IF(L98&gt;=18,"VL_THRESHOLD","PLANNED_END")))</f>
        <v/>
      </c>
      <c r="P98" s="10">
        <f>IF(I98="","",IF(I98&gt;($D$2+0.05),"+5kg",IF(I98&gt;($D$2+0.02),"+2.5kg",IF(I98&gt;=($D$2-0.05),"保持",IF(I98&gt;=($D$2-0.08),"-2.5kg","-5kg")))))</f>
        <v/>
      </c>
      <c r="Q98" s="9" t="n"/>
      <c r="R98" s="12" t="n"/>
      <c r="S98" s="12" t="n"/>
      <c r="T98" s="12" t="n"/>
    </row>
    <row r="99">
      <c r="A99" s="12" t="n">
        <v>5</v>
      </c>
      <c r="B99" s="9" t="n"/>
      <c r="C99" s="9" t="n"/>
      <c r="D99" s="9" t="n"/>
      <c r="E99" s="9" t="n"/>
      <c r="F99" s="9" t="n"/>
      <c r="G99" s="9" t="n"/>
      <c r="H99" s="9" t="n"/>
      <c r="I99" s="10">
        <f>IFERROR(INDEX(C99:H99,MATCH(TRUE,INDEX(C99:H99&lt;&gt;"",0),0)),"")</f>
        <v/>
      </c>
      <c r="J99" s="10">
        <f>IFERROR(MIN(IF(C99:H99&lt;&gt;"",C99:H99)),"")</f>
        <v/>
      </c>
      <c r="K99" s="10">
        <f>IFERROR(MATCH(I99,C99:H99,0),"")</f>
        <v/>
      </c>
      <c r="L99" s="10">
        <f>IF(OR(I99="",J99=""),"",ROUND((I99-J99)/I99*100,1))</f>
        <v/>
      </c>
      <c r="M99" s="10">
        <f>IF(L99="","",IF(L99&gt;=18,"是","否"))</f>
        <v/>
      </c>
      <c r="N99" s="10">
        <f>IF(J99="","",IF(J99&lt;0.15,"是","否"))</f>
        <v/>
      </c>
      <c r="O99" s="10">
        <f>IF(I99="","",IF(J99&lt;0.15,"SAFETY_STOP",IF(L99&gt;=18,"VL_THRESHOLD","PLANNED_END")))</f>
        <v/>
      </c>
      <c r="P99" s="10">
        <f>IF(I99="","",IF(I99&gt;($D$2+0.05),"+5kg",IF(I99&gt;($D$2+0.02),"+2.5kg",IF(I99&gt;=($D$2-0.05),"保持",IF(I99&gt;=($D$2-0.08),"-2.5kg","-5kg")))))</f>
        <v/>
      </c>
      <c r="Q99" s="9" t="n"/>
      <c r="R99" s="12" t="n"/>
      <c r="S99" s="12" t="n"/>
      <c r="T99" s="12" t="n"/>
    </row>
    <row r="100">
      <c r="A100" s="12" t="n">
        <v>6</v>
      </c>
      <c r="B100" s="9" t="n"/>
      <c r="C100" s="9" t="n"/>
      <c r="D100" s="9" t="n"/>
      <c r="E100" s="9" t="n"/>
      <c r="F100" s="9" t="n"/>
      <c r="G100" s="9" t="n"/>
      <c r="H100" s="9" t="n"/>
      <c r="I100" s="10">
        <f>IFERROR(INDEX(C100:H100,MATCH(TRUE,INDEX(C100:H100&lt;&gt;"",0),0)),"")</f>
        <v/>
      </c>
      <c r="J100" s="10">
        <f>IFERROR(MIN(IF(C100:H100&lt;&gt;"",C100:H100)),"")</f>
        <v/>
      </c>
      <c r="K100" s="10">
        <f>IFERROR(MATCH(I100,C100:H100,0),"")</f>
        <v/>
      </c>
      <c r="L100" s="10">
        <f>IF(OR(I100="",J100=""),"",ROUND((I100-J100)/I100*100,1))</f>
        <v/>
      </c>
      <c r="M100" s="10">
        <f>IF(L100="","",IF(L100&gt;=18,"是","否"))</f>
        <v/>
      </c>
      <c r="N100" s="10">
        <f>IF(J100="","",IF(J100&lt;0.15,"是","否"))</f>
        <v/>
      </c>
      <c r="O100" s="10">
        <f>IF(I100="","",IF(J100&lt;0.15,"SAFETY_STOP",IF(L100&gt;=18,"VL_THRESHOLD","PLANNED_END")))</f>
        <v/>
      </c>
      <c r="P100" s="10">
        <f>IF(I100="","",IF(I100&gt;($D$2+0.05),"+5kg",IF(I100&gt;($D$2+0.02),"+2.5kg",IF(I100&gt;=($D$2-0.05),"保持",IF(I100&gt;=($D$2-0.08),"-2.5kg","-5kg")))))</f>
        <v/>
      </c>
      <c r="Q100" s="9" t="n"/>
      <c r="R100" s="12" t="n"/>
      <c r="S100" s="12" t="n"/>
      <c r="T100" s="12" t="n"/>
    </row>
    <row r="101">
      <c r="A101" s="8" t="inlineStr">
        <is>
          <t>辅助动作</t>
        </is>
      </c>
      <c r="B101" s="8" t="inlineStr">
        <is>
          <t>动作名称</t>
        </is>
      </c>
      <c r="C101" s="8" t="inlineStr">
        <is>
          <t>负荷kg</t>
        </is>
      </c>
      <c r="D101" s="8" t="inlineStr">
        <is>
          <t>完成(组×次)</t>
        </is>
      </c>
    </row>
    <row r="102">
      <c r="A102" s="9" t="inlineStr"/>
      <c r="B102" s="9" t="n"/>
      <c r="C102" s="9" t="n"/>
      <c r="D102" s="9" t="n"/>
    </row>
    <row r="103">
      <c r="A103" s="8" t="inlineStr">
        <is>
          <t>训练后</t>
        </is>
      </c>
      <c r="B103" s="8" t="inlineStr">
        <is>
          <t>开始时间</t>
        </is>
      </c>
      <c r="C103" s="8" t="inlineStr">
        <is>
          <t>结束时间</t>
        </is>
      </c>
      <c r="D103" s="8" t="inlineStr">
        <is>
          <t>总时长min</t>
        </is>
      </c>
      <c r="E103" s="8" t="inlineStr">
        <is>
          <t>sRPE</t>
        </is>
      </c>
      <c r="F103" s="8" t="inlineStr">
        <is>
          <t>session_load</t>
        </is>
      </c>
      <c r="G103" s="8" t="inlineStr">
        <is>
          <t>有无不适</t>
        </is>
      </c>
      <c r="H103" s="8" t="inlineStr">
        <is>
          <t>备注</t>
        </is>
      </c>
      <c r="I103" s="8" t="inlineStr">
        <is>
          <t>研究员签名</t>
        </is>
      </c>
    </row>
    <row r="104">
      <c r="A104" s="13" t="inlineStr"/>
      <c r="B104" s="13" t="n"/>
      <c r="C104" s="13" t="n"/>
      <c r="D104" s="10">
        <f>IF(OR(B104="",C104=""),"",(C104-B104)*1440)</f>
        <v/>
      </c>
      <c r="E104" s="13" t="n"/>
      <c r="F104" s="10">
        <f>IF(OR(D104="",E104=""),"",D104*E104)</f>
        <v/>
      </c>
      <c r="G104" s="13" t="n"/>
      <c r="H104" s="13" t="n"/>
      <c r="I104" s="13" t="n"/>
    </row>
    <row r="106">
      <c r="A106" s="5" t="inlineStr">
        <is>
          <t>── P016 杜遥 ──────────────────────────────────────────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7" t="n"/>
    </row>
    <row r="107">
      <c r="A107" s="8" t="inlineStr">
        <is>
          <t>编号</t>
        </is>
      </c>
      <c r="B107" s="8" t="inlineStr">
        <is>
          <t>姓名</t>
        </is>
      </c>
      <c r="C107" s="8" t="inlineStr">
        <is>
          <t>身高</t>
        </is>
      </c>
      <c r="D107" s="8" t="inlineStr">
        <is>
          <t>1RM</t>
        </is>
      </c>
      <c r="E107" s="8" t="inlineStr">
        <is>
          <t>睡眠</t>
        </is>
      </c>
      <c r="F107" s="8" t="inlineStr">
        <is>
          <t>压力</t>
        </is>
      </c>
      <c r="G107" s="8" t="inlineStr">
        <is>
          <t>疲劳</t>
        </is>
      </c>
      <c r="H107" s="8" t="inlineStr">
        <is>
          <t>酸痛</t>
        </is>
      </c>
      <c r="I107" s="8" t="inlineStr">
        <is>
          <t>Hooper总</t>
        </is>
      </c>
      <c r="J107" s="8" t="inlineStr">
        <is>
          <t>CMJ1</t>
        </is>
      </c>
      <c r="K107" s="8" t="inlineStr">
        <is>
          <t>CMJ2</t>
        </is>
      </c>
      <c r="L107" s="8" t="inlineStr">
        <is>
          <t>CMJ3</t>
        </is>
      </c>
      <c r="M107" s="8" t="inlineStr">
        <is>
          <t>CMJ均值</t>
        </is>
      </c>
      <c r="N107" s="8" t="inlineStr">
        <is>
          <t>&lt;95%?</t>
        </is>
      </c>
      <c r="O107" s="8" t="inlineStr">
        <is>
          <t>减组?</t>
        </is>
      </c>
      <c r="P107" s="8" t="inlineStr">
        <is>
          <t>实做组数</t>
        </is>
      </c>
      <c r="Q107" s="8" t="inlineStr">
        <is>
          <t>LVP_a</t>
        </is>
      </c>
      <c r="R107" s="8" t="inlineStr">
        <is>
          <t>LVP_b</t>
        </is>
      </c>
      <c r="S107" s="8" t="inlineStr">
        <is>
          <t>等级</t>
        </is>
      </c>
      <c r="T107" s="8" t="inlineStr">
        <is>
          <t>预测起始</t>
        </is>
      </c>
    </row>
    <row r="108">
      <c r="A108" s="9" t="inlineStr">
        <is>
          <t>P016</t>
        </is>
      </c>
      <c r="B108" s="9" t="inlineStr">
        <is>
          <t>杜遥</t>
        </is>
      </c>
      <c r="C108" s="9" t="n">
        <v>180</v>
      </c>
      <c r="D108" s="9" t="n">
        <v>135</v>
      </c>
      <c r="E108" s="9" t="n"/>
      <c r="F108" s="9" t="n"/>
      <c r="G108" s="9" t="n"/>
      <c r="H108" s="9" t="n"/>
      <c r="I108" s="10">
        <f>IFERROR(SUM(E108:H108),"")</f>
        <v/>
      </c>
      <c r="J108" s="9" t="n"/>
      <c r="K108" s="9" t="n"/>
      <c r="L108" s="9" t="n"/>
      <c r="M108" s="10">
        <f>IFERROR(AVERAGE(J108:L108),"")</f>
        <v/>
      </c>
      <c r="N108" s="10">
        <f>IF(M108="","",IF(M108&lt;49.75,"是⚠","否"))</f>
        <v/>
      </c>
      <c r="O108" s="10">
        <f>IF(M108="","",IF(M108&lt;49.75,"减1组","正常"))</f>
        <v/>
      </c>
      <c r="P108" s="10">
        <f>IF(M108="","",IF(M108&lt;49.75,4-1,4))</f>
        <v/>
      </c>
      <c r="Q108" s="9" t="n">
        <v>1.54</v>
      </c>
      <c r="R108" s="9" t="n">
        <v>-0.008500000000000001</v>
      </c>
      <c r="S108" s="9" t="inlineStr">
        <is>
          <t>B</t>
        </is>
      </c>
      <c r="T108" s="10">
        <f>IFERROR(ROUND((0.6-1.54)/-0.0085,0.5),"")</f>
        <v/>
      </c>
    </row>
    <row r="109">
      <c r="A109" s="8" t="inlineStr">
        <is>
          <t>热身校准</t>
        </is>
      </c>
      <c r="B109" s="8" t="inlineStr">
        <is>
          <t>LVP_a</t>
        </is>
      </c>
      <c r="C109" s="8" t="inlineStr">
        <is>
          <t>LVP_b</t>
        </is>
      </c>
      <c r="D109" s="8" t="inlineStr">
        <is>
          <t>50%热身kg</t>
        </is>
      </c>
      <c r="E109" s="8" t="inlineStr">
        <is>
          <t>70%热身kg</t>
        </is>
      </c>
      <c r="F109" s="8" t="inlineStr">
        <is>
          <t>热身负荷kg</t>
        </is>
      </c>
      <c r="G109" s="8" t="inlineStr">
        <is>
          <t>实测MCV</t>
        </is>
      </c>
      <c r="H109" s="8" t="inlineStr">
        <is>
          <t>预测MCV</t>
        </is>
      </c>
      <c r="I109" s="8" t="inlineStr">
        <is>
          <t>Δv</t>
        </is>
      </c>
      <c r="J109" s="8" t="inlineStr">
        <is>
          <t>调整量kg</t>
        </is>
      </c>
      <c r="K109" s="8" t="inlineStr">
        <is>
          <t>校准后第1组kg</t>
        </is>
      </c>
    </row>
    <row r="110">
      <c r="A110" s="11" t="inlineStr"/>
      <c r="B110" s="11" t="n">
        <v>1.54</v>
      </c>
      <c r="C110" s="11" t="n">
        <v>-0.008500000000000001</v>
      </c>
      <c r="D110" s="10">
        <f>IFERROR(ROUND(T108*0.5,2.5),"")</f>
        <v/>
      </c>
      <c r="E110" s="10">
        <f>IFERROR(ROUND(T108*0.7,2.5),"")</f>
        <v/>
      </c>
      <c r="F110" s="10">
        <f>E110</f>
        <v/>
      </c>
      <c r="G110" s="9" t="n"/>
      <c r="H110" s="10">
        <f>IF(F110="","",B110+C110*F110)</f>
        <v/>
      </c>
      <c r="I110" s="10">
        <f>IF(OR(G110="",H110=""),"",G110-H110)</f>
        <v/>
      </c>
      <c r="J110" s="10">
        <f>IF(I110="","",IF(I110&gt;0.08,5,IF(I110&gt;0.04,2.5,IF(I110&gt;=-0.04,0,IF(I110&gt;=-0.08,-2.5,-5)))))</f>
        <v/>
      </c>
      <c r="K110" s="10">
        <f>IFERROR(ROUND(T108+J110,2.5),"")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8" t="inlineStr">
        <is>
          <t>组次</t>
        </is>
      </c>
      <c r="B111" s="8" t="inlineStr">
        <is>
          <t>负荷kg</t>
        </is>
      </c>
      <c r="C111" s="8" t="inlineStr">
        <is>
          <t>rep1</t>
        </is>
      </c>
      <c r="D111" s="8" t="inlineStr">
        <is>
          <t>rep2</t>
        </is>
      </c>
      <c r="E111" s="8" t="inlineStr">
        <is>
          <t>rep3</t>
        </is>
      </c>
      <c r="F111" s="8" t="inlineStr">
        <is>
          <t>rep4</t>
        </is>
      </c>
      <c r="G111" s="8" t="inlineStr">
        <is>
          <t>rep5</t>
        </is>
      </c>
      <c r="H111" s="8" t="inlineStr">
        <is>
          <t>rep6</t>
        </is>
      </c>
      <c r="I111" s="8" t="inlineStr">
        <is>
          <t>首rep</t>
        </is>
      </c>
      <c r="J111" s="8" t="inlineStr">
        <is>
          <t>最低速</t>
        </is>
      </c>
      <c r="K111" s="8" t="inlineStr">
        <is>
          <t>最低rep#</t>
        </is>
      </c>
      <c r="L111" s="8" t="inlineStr">
        <is>
          <t>VL%</t>
        </is>
      </c>
      <c r="M111" s="8" t="inlineStr">
        <is>
          <t>VL达标?</t>
        </is>
      </c>
      <c r="N111" s="8" t="inlineStr">
        <is>
          <t>安全停止?</t>
        </is>
      </c>
      <c r="O111" s="8" t="inlineStr">
        <is>
          <t>停组原因</t>
        </is>
      </c>
      <c r="P111" s="8" t="inlineStr">
        <is>
          <t>下组建议</t>
        </is>
      </c>
      <c r="Q111" s="8" t="inlineStr">
        <is>
          <t>实做次数</t>
        </is>
      </c>
    </row>
    <row r="112">
      <c r="A112" s="12" t="n">
        <v>1</v>
      </c>
      <c r="B112" s="10">
        <f>IF(K110="","",K110)</f>
        <v/>
      </c>
      <c r="C112" s="9" t="n"/>
      <c r="D112" s="9" t="n"/>
      <c r="E112" s="9" t="n"/>
      <c r="F112" s="9" t="n"/>
      <c r="G112" s="9" t="n"/>
      <c r="H112" s="9" t="n"/>
      <c r="I112" s="10">
        <f>IFERROR(INDEX(C112:H112,MATCH(TRUE,INDEX(C112:H112&lt;&gt;"",0),0)),"")</f>
        <v/>
      </c>
      <c r="J112" s="10">
        <f>IFERROR(MIN(IF(C112:H112&lt;&gt;"",C112:H112)),"")</f>
        <v/>
      </c>
      <c r="K112" s="10">
        <f>IFERROR(MATCH(I112,C112:H112,0),"")</f>
        <v/>
      </c>
      <c r="L112" s="10">
        <f>IF(OR(I112="",J112=""),"",ROUND((I112-J112)/I112*100,1))</f>
        <v/>
      </c>
      <c r="M112" s="10">
        <f>IF(L112="","",IF(L112&gt;=18,"是","否"))</f>
        <v/>
      </c>
      <c r="N112" s="10">
        <f>IF(J112="","",IF(J112&lt;0.15,"是","否"))</f>
        <v/>
      </c>
      <c r="O112" s="10">
        <f>IF(I112="","",IF(J112&lt;0.15,"SAFETY_STOP",IF(L112&gt;=18,"VL_THRESHOLD","PLANNED_END")))</f>
        <v/>
      </c>
      <c r="P112" s="10">
        <f>IF(I112="","",IF(I112&gt;($D$2+0.05),"+5kg",IF(I112&gt;($D$2+0.02),"+2.5kg",IF(I112&gt;=($D$2-0.05),"保持",IF(I112&gt;=($D$2-0.08),"-2.5kg","-5kg")))))</f>
        <v/>
      </c>
      <c r="Q112" s="9" t="n"/>
      <c r="R112" s="12" t="n"/>
      <c r="S112" s="12" t="n"/>
      <c r="T112" s="12" t="n"/>
    </row>
    <row r="113">
      <c r="A113" s="12" t="n">
        <v>2</v>
      </c>
      <c r="B113" s="9" t="n"/>
      <c r="C113" s="9" t="n"/>
      <c r="D113" s="9" t="n"/>
      <c r="E113" s="9" t="n"/>
      <c r="F113" s="9" t="n"/>
      <c r="G113" s="9" t="n"/>
      <c r="H113" s="9" t="n"/>
      <c r="I113" s="10">
        <f>IFERROR(INDEX(C113:H113,MATCH(TRUE,INDEX(C113:H113&lt;&gt;"",0),0)),"")</f>
        <v/>
      </c>
      <c r="J113" s="10">
        <f>IFERROR(MIN(IF(C113:H113&lt;&gt;"",C113:H113)),"")</f>
        <v/>
      </c>
      <c r="K113" s="10">
        <f>IFERROR(MATCH(I113,C113:H113,0),"")</f>
        <v/>
      </c>
      <c r="L113" s="10">
        <f>IF(OR(I113="",J113=""),"",ROUND((I113-J113)/I113*100,1))</f>
        <v/>
      </c>
      <c r="M113" s="10">
        <f>IF(L113="","",IF(L113&gt;=18,"是","否"))</f>
        <v/>
      </c>
      <c r="N113" s="10">
        <f>IF(J113="","",IF(J113&lt;0.15,"是","否"))</f>
        <v/>
      </c>
      <c r="O113" s="10">
        <f>IF(I113="","",IF(J113&lt;0.15,"SAFETY_STOP",IF(L113&gt;=18,"VL_THRESHOLD","PLANNED_END")))</f>
        <v/>
      </c>
      <c r="P113" s="10">
        <f>IF(I113="","",IF(I113&gt;($D$2+0.05),"+5kg",IF(I113&gt;($D$2+0.02),"+2.5kg",IF(I113&gt;=($D$2-0.05),"保持",IF(I113&gt;=($D$2-0.08),"-2.5kg","-5kg")))))</f>
        <v/>
      </c>
      <c r="Q113" s="9" t="n"/>
      <c r="R113" s="12" t="n"/>
      <c r="S113" s="12" t="n"/>
      <c r="T113" s="12" t="n"/>
    </row>
    <row r="114">
      <c r="A114" s="12" t="n">
        <v>3</v>
      </c>
      <c r="B114" s="9" t="n"/>
      <c r="C114" s="9" t="n"/>
      <c r="D114" s="9" t="n"/>
      <c r="E114" s="9" t="n"/>
      <c r="F114" s="9" t="n"/>
      <c r="G114" s="9" t="n"/>
      <c r="H114" s="9" t="n"/>
      <c r="I114" s="10">
        <f>IFERROR(INDEX(C114:H114,MATCH(TRUE,INDEX(C114:H114&lt;&gt;"",0),0)),"")</f>
        <v/>
      </c>
      <c r="J114" s="10">
        <f>IFERROR(MIN(IF(C114:H114&lt;&gt;"",C114:H114)),"")</f>
        <v/>
      </c>
      <c r="K114" s="10">
        <f>IFERROR(MATCH(I114,C114:H114,0),"")</f>
        <v/>
      </c>
      <c r="L114" s="10">
        <f>IF(OR(I114="",J114=""),"",ROUND((I114-J114)/I114*100,1))</f>
        <v/>
      </c>
      <c r="M114" s="10">
        <f>IF(L114="","",IF(L114&gt;=18,"是","否"))</f>
        <v/>
      </c>
      <c r="N114" s="10">
        <f>IF(J114="","",IF(J114&lt;0.15,"是","否"))</f>
        <v/>
      </c>
      <c r="O114" s="10">
        <f>IF(I114="","",IF(J114&lt;0.15,"SAFETY_STOP",IF(L114&gt;=18,"VL_THRESHOLD","PLANNED_END")))</f>
        <v/>
      </c>
      <c r="P114" s="10">
        <f>IF(I114="","",IF(I114&gt;($D$2+0.05),"+5kg",IF(I114&gt;($D$2+0.02),"+2.5kg",IF(I114&gt;=($D$2-0.05),"保持",IF(I114&gt;=($D$2-0.08),"-2.5kg","-5kg")))))</f>
        <v/>
      </c>
      <c r="Q114" s="9" t="n"/>
      <c r="R114" s="12" t="n"/>
      <c r="S114" s="12" t="n"/>
      <c r="T114" s="12" t="n"/>
    </row>
    <row r="115">
      <c r="A115" s="12" t="n">
        <v>4</v>
      </c>
      <c r="B115" s="9" t="n"/>
      <c r="C115" s="9" t="n"/>
      <c r="D115" s="9" t="n"/>
      <c r="E115" s="9" t="n"/>
      <c r="F115" s="9" t="n"/>
      <c r="G115" s="9" t="n"/>
      <c r="H115" s="9" t="n"/>
      <c r="I115" s="10">
        <f>IFERROR(INDEX(C115:H115,MATCH(TRUE,INDEX(C115:H115&lt;&gt;"",0),0)),"")</f>
        <v/>
      </c>
      <c r="J115" s="10">
        <f>IFERROR(MIN(IF(C115:H115&lt;&gt;"",C115:H115)),"")</f>
        <v/>
      </c>
      <c r="K115" s="10">
        <f>IFERROR(MATCH(I115,C115:H115,0),"")</f>
        <v/>
      </c>
      <c r="L115" s="10">
        <f>IF(OR(I115="",J115=""),"",ROUND((I115-J115)/I115*100,1))</f>
        <v/>
      </c>
      <c r="M115" s="10">
        <f>IF(L115="","",IF(L115&gt;=18,"是","否"))</f>
        <v/>
      </c>
      <c r="N115" s="10">
        <f>IF(J115="","",IF(J115&lt;0.15,"是","否"))</f>
        <v/>
      </c>
      <c r="O115" s="10">
        <f>IF(I115="","",IF(J115&lt;0.15,"SAFETY_STOP",IF(L115&gt;=18,"VL_THRESHOLD","PLANNED_END")))</f>
        <v/>
      </c>
      <c r="P115" s="10">
        <f>IF(I115="","",IF(I115&gt;($D$2+0.05),"+5kg",IF(I115&gt;($D$2+0.02),"+2.5kg",IF(I115&gt;=($D$2-0.05),"保持",IF(I115&gt;=($D$2-0.08),"-2.5kg","-5kg")))))</f>
        <v/>
      </c>
      <c r="Q115" s="9" t="n"/>
      <c r="R115" s="12" t="n"/>
      <c r="S115" s="12" t="n"/>
      <c r="T115" s="12" t="n"/>
    </row>
    <row r="116">
      <c r="A116" s="12" t="n">
        <v>5</v>
      </c>
      <c r="B116" s="9" t="n"/>
      <c r="C116" s="9" t="n"/>
      <c r="D116" s="9" t="n"/>
      <c r="E116" s="9" t="n"/>
      <c r="F116" s="9" t="n"/>
      <c r="G116" s="9" t="n"/>
      <c r="H116" s="9" t="n"/>
      <c r="I116" s="10">
        <f>IFERROR(INDEX(C116:H116,MATCH(TRUE,INDEX(C116:H116&lt;&gt;"",0),0)),"")</f>
        <v/>
      </c>
      <c r="J116" s="10">
        <f>IFERROR(MIN(IF(C116:H116&lt;&gt;"",C116:H116)),"")</f>
        <v/>
      </c>
      <c r="K116" s="10">
        <f>IFERROR(MATCH(I116,C116:H116,0),"")</f>
        <v/>
      </c>
      <c r="L116" s="10">
        <f>IF(OR(I116="",J116=""),"",ROUND((I116-J116)/I116*100,1))</f>
        <v/>
      </c>
      <c r="M116" s="10">
        <f>IF(L116="","",IF(L116&gt;=18,"是","否"))</f>
        <v/>
      </c>
      <c r="N116" s="10">
        <f>IF(J116="","",IF(J116&lt;0.15,"是","否"))</f>
        <v/>
      </c>
      <c r="O116" s="10">
        <f>IF(I116="","",IF(J116&lt;0.15,"SAFETY_STOP",IF(L116&gt;=18,"VL_THRESHOLD","PLANNED_END")))</f>
        <v/>
      </c>
      <c r="P116" s="10">
        <f>IF(I116="","",IF(I116&gt;($D$2+0.05),"+5kg",IF(I116&gt;($D$2+0.02),"+2.5kg",IF(I116&gt;=($D$2-0.05),"保持",IF(I116&gt;=($D$2-0.08),"-2.5kg","-5kg")))))</f>
        <v/>
      </c>
      <c r="Q116" s="9" t="n"/>
      <c r="R116" s="12" t="n"/>
      <c r="S116" s="12" t="n"/>
      <c r="T116" s="12" t="n"/>
    </row>
    <row r="117">
      <c r="A117" s="12" t="n">
        <v>6</v>
      </c>
      <c r="B117" s="9" t="n"/>
      <c r="C117" s="9" t="n"/>
      <c r="D117" s="9" t="n"/>
      <c r="E117" s="9" t="n"/>
      <c r="F117" s="9" t="n"/>
      <c r="G117" s="9" t="n"/>
      <c r="H117" s="9" t="n"/>
      <c r="I117" s="10">
        <f>IFERROR(INDEX(C117:H117,MATCH(TRUE,INDEX(C117:H117&lt;&gt;"",0),0)),"")</f>
        <v/>
      </c>
      <c r="J117" s="10">
        <f>IFERROR(MIN(IF(C117:H117&lt;&gt;"",C117:H117)),"")</f>
        <v/>
      </c>
      <c r="K117" s="10">
        <f>IFERROR(MATCH(I117,C117:H117,0),"")</f>
        <v/>
      </c>
      <c r="L117" s="10">
        <f>IF(OR(I117="",J117=""),"",ROUND((I117-J117)/I117*100,1))</f>
        <v/>
      </c>
      <c r="M117" s="10">
        <f>IF(L117="","",IF(L117&gt;=18,"是","否"))</f>
        <v/>
      </c>
      <c r="N117" s="10">
        <f>IF(J117="","",IF(J117&lt;0.15,"是","否"))</f>
        <v/>
      </c>
      <c r="O117" s="10">
        <f>IF(I117="","",IF(J117&lt;0.15,"SAFETY_STOP",IF(L117&gt;=18,"VL_THRESHOLD","PLANNED_END")))</f>
        <v/>
      </c>
      <c r="P117" s="10">
        <f>IF(I117="","",IF(I117&gt;($D$2+0.05),"+5kg",IF(I117&gt;($D$2+0.02),"+2.5kg",IF(I117&gt;=($D$2-0.05),"保持",IF(I117&gt;=($D$2-0.08),"-2.5kg","-5kg")))))</f>
        <v/>
      </c>
      <c r="Q117" s="9" t="n"/>
      <c r="R117" s="12" t="n"/>
      <c r="S117" s="12" t="n"/>
      <c r="T117" s="12" t="n"/>
    </row>
    <row r="118">
      <c r="A118" s="8" t="inlineStr">
        <is>
          <t>辅助动作</t>
        </is>
      </c>
      <c r="B118" s="8" t="inlineStr">
        <is>
          <t>动作名称</t>
        </is>
      </c>
      <c r="C118" s="8" t="inlineStr">
        <is>
          <t>负荷kg</t>
        </is>
      </c>
      <c r="D118" s="8" t="inlineStr">
        <is>
          <t>完成(组×次)</t>
        </is>
      </c>
    </row>
    <row r="119">
      <c r="A119" s="9" t="inlineStr"/>
      <c r="B119" s="9" t="n"/>
      <c r="C119" s="9" t="n"/>
      <c r="D119" s="9" t="n"/>
    </row>
    <row r="120">
      <c r="A120" s="8" t="inlineStr">
        <is>
          <t>训练后</t>
        </is>
      </c>
      <c r="B120" s="8" t="inlineStr">
        <is>
          <t>开始时间</t>
        </is>
      </c>
      <c r="C120" s="8" t="inlineStr">
        <is>
          <t>结束时间</t>
        </is>
      </c>
      <c r="D120" s="8" t="inlineStr">
        <is>
          <t>总时长min</t>
        </is>
      </c>
      <c r="E120" s="8" t="inlineStr">
        <is>
          <t>sRPE</t>
        </is>
      </c>
      <c r="F120" s="8" t="inlineStr">
        <is>
          <t>session_load</t>
        </is>
      </c>
      <c r="G120" s="8" t="inlineStr">
        <is>
          <t>有无不适</t>
        </is>
      </c>
      <c r="H120" s="8" t="inlineStr">
        <is>
          <t>备注</t>
        </is>
      </c>
      <c r="I120" s="8" t="inlineStr">
        <is>
          <t>研究员签名</t>
        </is>
      </c>
    </row>
    <row r="121">
      <c r="A121" s="13" t="inlineStr"/>
      <c r="B121" s="13" t="n"/>
      <c r="C121" s="13" t="n"/>
      <c r="D121" s="10">
        <f>IF(OR(B121="",C121=""),"",(C121-B121)*1440)</f>
        <v/>
      </c>
      <c r="E121" s="13" t="n"/>
      <c r="F121" s="10">
        <f>IF(OR(D121="",E121=""),"",D121*E121)</f>
        <v/>
      </c>
      <c r="G121" s="13" t="n"/>
      <c r="H121" s="13" t="n"/>
      <c r="I121" s="13" t="n"/>
    </row>
    <row r="123">
      <c r="A123" s="5" t="inlineStr">
        <is>
          <t>── P025 范芳忠 ──────────────────────────────────────────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7" t="n"/>
    </row>
    <row r="124">
      <c r="A124" s="8" t="inlineStr">
        <is>
          <t>编号</t>
        </is>
      </c>
      <c r="B124" s="8" t="inlineStr">
        <is>
          <t>姓名</t>
        </is>
      </c>
      <c r="C124" s="8" t="inlineStr">
        <is>
          <t>身高</t>
        </is>
      </c>
      <c r="D124" s="8" t="inlineStr">
        <is>
          <t>1RM</t>
        </is>
      </c>
      <c r="E124" s="8" t="inlineStr">
        <is>
          <t>睡眠</t>
        </is>
      </c>
      <c r="F124" s="8" t="inlineStr">
        <is>
          <t>压力</t>
        </is>
      </c>
      <c r="G124" s="8" t="inlineStr">
        <is>
          <t>疲劳</t>
        </is>
      </c>
      <c r="H124" s="8" t="inlineStr">
        <is>
          <t>酸痛</t>
        </is>
      </c>
      <c r="I124" s="8" t="inlineStr">
        <is>
          <t>Hooper总</t>
        </is>
      </c>
      <c r="J124" s="8" t="inlineStr">
        <is>
          <t>CMJ1</t>
        </is>
      </c>
      <c r="K124" s="8" t="inlineStr">
        <is>
          <t>CMJ2</t>
        </is>
      </c>
      <c r="L124" s="8" t="inlineStr">
        <is>
          <t>CMJ3</t>
        </is>
      </c>
      <c r="M124" s="8" t="inlineStr">
        <is>
          <t>CMJ均值</t>
        </is>
      </c>
      <c r="N124" s="8" t="inlineStr">
        <is>
          <t>&lt;95%?</t>
        </is>
      </c>
      <c r="O124" s="8" t="inlineStr">
        <is>
          <t>减组?</t>
        </is>
      </c>
      <c r="P124" s="8" t="inlineStr">
        <is>
          <t>实做组数</t>
        </is>
      </c>
      <c r="Q124" s="8" t="inlineStr">
        <is>
          <t>LVP_a</t>
        </is>
      </c>
      <c r="R124" s="8" t="inlineStr">
        <is>
          <t>LVP_b</t>
        </is>
      </c>
      <c r="S124" s="8" t="inlineStr">
        <is>
          <t>等级</t>
        </is>
      </c>
      <c r="T124" s="8" t="inlineStr">
        <is>
          <t>预测起始</t>
        </is>
      </c>
    </row>
    <row r="125">
      <c r="A125" s="9" t="inlineStr">
        <is>
          <t>P025</t>
        </is>
      </c>
      <c r="B125" s="9" t="inlineStr">
        <is>
          <t>范芳忠</t>
        </is>
      </c>
      <c r="C125" s="9" t="n">
        <v>178</v>
      </c>
      <c r="D125" s="9" t="n">
        <v>135</v>
      </c>
      <c r="E125" s="9" t="n"/>
      <c r="F125" s="9" t="n"/>
      <c r="G125" s="9" t="n"/>
      <c r="H125" s="9" t="n"/>
      <c r="I125" s="10">
        <f>IFERROR(SUM(E125:H125),"")</f>
        <v/>
      </c>
      <c r="J125" s="9" t="n"/>
      <c r="K125" s="9" t="n"/>
      <c r="L125" s="9" t="n"/>
      <c r="M125" s="10">
        <f>IFERROR(AVERAGE(J125:L125),"")</f>
        <v/>
      </c>
      <c r="N125" s="10">
        <f>IF(M125="","",IF(M125&lt;58.43,"是⚠","否"))</f>
        <v/>
      </c>
      <c r="O125" s="10">
        <f>IF(M125="","",IF(M125&lt;58.43,"减1组","正常"))</f>
        <v/>
      </c>
      <c r="P125" s="10">
        <f>IF(M125="","",IF(M125&lt;58.43,4-1,4))</f>
        <v/>
      </c>
      <c r="Q125" s="9" t="n">
        <v>1.77</v>
      </c>
      <c r="R125" s="9" t="n">
        <v>-0.0105</v>
      </c>
      <c r="S125" s="9" t="inlineStr">
        <is>
          <t>A</t>
        </is>
      </c>
      <c r="T125" s="10">
        <f>IFERROR(ROUND((0.6-1.77)/-0.0105,0.5),"")</f>
        <v/>
      </c>
    </row>
    <row r="126">
      <c r="A126" s="8" t="inlineStr">
        <is>
          <t>热身校准</t>
        </is>
      </c>
      <c r="B126" s="8" t="inlineStr">
        <is>
          <t>LVP_a</t>
        </is>
      </c>
      <c r="C126" s="8" t="inlineStr">
        <is>
          <t>LVP_b</t>
        </is>
      </c>
      <c r="D126" s="8" t="inlineStr">
        <is>
          <t>50%热身kg</t>
        </is>
      </c>
      <c r="E126" s="8" t="inlineStr">
        <is>
          <t>70%热身kg</t>
        </is>
      </c>
      <c r="F126" s="8" t="inlineStr">
        <is>
          <t>热身负荷kg</t>
        </is>
      </c>
      <c r="G126" s="8" t="inlineStr">
        <is>
          <t>实测MCV</t>
        </is>
      </c>
      <c r="H126" s="8" t="inlineStr">
        <is>
          <t>预测MCV</t>
        </is>
      </c>
      <c r="I126" s="8" t="inlineStr">
        <is>
          <t>Δv</t>
        </is>
      </c>
      <c r="J126" s="8" t="inlineStr">
        <is>
          <t>调整量kg</t>
        </is>
      </c>
      <c r="K126" s="8" t="inlineStr">
        <is>
          <t>校准后第1组kg</t>
        </is>
      </c>
    </row>
    <row r="127">
      <c r="A127" s="11" t="inlineStr"/>
      <c r="B127" s="11" t="n">
        <v>1.77</v>
      </c>
      <c r="C127" s="11" t="n">
        <v>-0.0105</v>
      </c>
      <c r="D127" s="10">
        <f>IFERROR(ROUND(T125*0.5,2.5),"")</f>
        <v/>
      </c>
      <c r="E127" s="10">
        <f>IFERROR(ROUND(T125*0.7,2.5),"")</f>
        <v/>
      </c>
      <c r="F127" s="10">
        <f>E127</f>
        <v/>
      </c>
      <c r="G127" s="9" t="n"/>
      <c r="H127" s="10">
        <f>IF(F127="","",B127+C127*F127)</f>
        <v/>
      </c>
      <c r="I127" s="10">
        <f>IF(OR(G127="",H127=""),"",G127-H127)</f>
        <v/>
      </c>
      <c r="J127" s="10">
        <f>IF(I127="","",IF(I127&gt;0.08,5,IF(I127&gt;0.04,2.5,IF(I127&gt;=-0.04,0,IF(I127&gt;=-0.08,-2.5,-5)))))</f>
        <v/>
      </c>
      <c r="K127" s="10">
        <f>IFERROR(ROUND(T125+J127,2.5),"")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8" t="inlineStr">
        <is>
          <t>组次</t>
        </is>
      </c>
      <c r="B128" s="8" t="inlineStr">
        <is>
          <t>负荷kg</t>
        </is>
      </c>
      <c r="C128" s="8" t="inlineStr">
        <is>
          <t>rep1</t>
        </is>
      </c>
      <c r="D128" s="8" t="inlineStr">
        <is>
          <t>rep2</t>
        </is>
      </c>
      <c r="E128" s="8" t="inlineStr">
        <is>
          <t>rep3</t>
        </is>
      </c>
      <c r="F128" s="8" t="inlineStr">
        <is>
          <t>rep4</t>
        </is>
      </c>
      <c r="G128" s="8" t="inlineStr">
        <is>
          <t>rep5</t>
        </is>
      </c>
      <c r="H128" s="8" t="inlineStr">
        <is>
          <t>rep6</t>
        </is>
      </c>
      <c r="I128" s="8" t="inlineStr">
        <is>
          <t>首rep</t>
        </is>
      </c>
      <c r="J128" s="8" t="inlineStr">
        <is>
          <t>最低速</t>
        </is>
      </c>
      <c r="K128" s="8" t="inlineStr">
        <is>
          <t>最低rep#</t>
        </is>
      </c>
      <c r="L128" s="8" t="inlineStr">
        <is>
          <t>VL%</t>
        </is>
      </c>
      <c r="M128" s="8" t="inlineStr">
        <is>
          <t>VL达标?</t>
        </is>
      </c>
      <c r="N128" s="8" t="inlineStr">
        <is>
          <t>安全停止?</t>
        </is>
      </c>
      <c r="O128" s="8" t="inlineStr">
        <is>
          <t>停组原因</t>
        </is>
      </c>
      <c r="P128" s="8" t="inlineStr">
        <is>
          <t>下组建议</t>
        </is>
      </c>
      <c r="Q128" s="8" t="inlineStr">
        <is>
          <t>实做次数</t>
        </is>
      </c>
    </row>
    <row r="129">
      <c r="A129" s="12" t="n">
        <v>1</v>
      </c>
      <c r="B129" s="10">
        <f>IF(K127="","",K127)</f>
        <v/>
      </c>
      <c r="C129" s="9" t="n"/>
      <c r="D129" s="9" t="n"/>
      <c r="E129" s="9" t="n"/>
      <c r="F129" s="9" t="n"/>
      <c r="G129" s="9" t="n"/>
      <c r="H129" s="9" t="n"/>
      <c r="I129" s="10">
        <f>IFERROR(INDEX(C129:H129,MATCH(TRUE,INDEX(C129:H129&lt;&gt;"",0),0)),"")</f>
        <v/>
      </c>
      <c r="J129" s="10">
        <f>IFERROR(MIN(IF(C129:H129&lt;&gt;"",C129:H129)),"")</f>
        <v/>
      </c>
      <c r="K129" s="10">
        <f>IFERROR(MATCH(I129,C129:H129,0),"")</f>
        <v/>
      </c>
      <c r="L129" s="10">
        <f>IF(OR(I129="",J129=""),"",ROUND((I129-J129)/I129*100,1))</f>
        <v/>
      </c>
      <c r="M129" s="10">
        <f>IF(L129="","",IF(L129&gt;=18,"是","否"))</f>
        <v/>
      </c>
      <c r="N129" s="10">
        <f>IF(J129="","",IF(J129&lt;0.15,"是","否"))</f>
        <v/>
      </c>
      <c r="O129" s="10">
        <f>IF(I129="","",IF(J129&lt;0.15,"SAFETY_STOP",IF(L129&gt;=18,"VL_THRESHOLD","PLANNED_END")))</f>
        <v/>
      </c>
      <c r="P129" s="10">
        <f>IF(I129="","",IF(I129&gt;($D$2+0.05),"+5kg",IF(I129&gt;($D$2+0.02),"+2.5kg",IF(I129&gt;=($D$2-0.05),"保持",IF(I129&gt;=($D$2-0.08),"-2.5kg","-5kg")))))</f>
        <v/>
      </c>
      <c r="Q129" s="9" t="n"/>
      <c r="R129" s="12" t="n"/>
      <c r="S129" s="12" t="n"/>
      <c r="T129" s="12" t="n"/>
    </row>
    <row r="130">
      <c r="A130" s="12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10">
        <f>IFERROR(INDEX(C130:H130,MATCH(TRUE,INDEX(C130:H130&lt;&gt;"",0),0)),"")</f>
        <v/>
      </c>
      <c r="J130" s="10">
        <f>IFERROR(MIN(IF(C130:H130&lt;&gt;"",C130:H130)),"")</f>
        <v/>
      </c>
      <c r="K130" s="10">
        <f>IFERROR(MATCH(I130,C130:H130,0),"")</f>
        <v/>
      </c>
      <c r="L130" s="10">
        <f>IF(OR(I130="",J130=""),"",ROUND((I130-J130)/I130*100,1))</f>
        <v/>
      </c>
      <c r="M130" s="10">
        <f>IF(L130="","",IF(L130&gt;=18,"是","否"))</f>
        <v/>
      </c>
      <c r="N130" s="10">
        <f>IF(J130="","",IF(J130&lt;0.15,"是","否"))</f>
        <v/>
      </c>
      <c r="O130" s="10">
        <f>IF(I130="","",IF(J130&lt;0.15,"SAFETY_STOP",IF(L130&gt;=18,"VL_THRESHOLD","PLANNED_END")))</f>
        <v/>
      </c>
      <c r="P130" s="10">
        <f>IF(I130="","",IF(I130&gt;($D$2+0.05),"+5kg",IF(I130&gt;($D$2+0.02),"+2.5kg",IF(I130&gt;=($D$2-0.05),"保持",IF(I130&gt;=($D$2-0.08),"-2.5kg","-5kg")))))</f>
        <v/>
      </c>
      <c r="Q130" s="9" t="n"/>
      <c r="R130" s="12" t="n"/>
      <c r="S130" s="12" t="n"/>
      <c r="T130" s="12" t="n"/>
    </row>
    <row r="131">
      <c r="A131" s="12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10">
        <f>IFERROR(INDEX(C131:H131,MATCH(TRUE,INDEX(C131:H131&lt;&gt;"",0),0)),"")</f>
        <v/>
      </c>
      <c r="J131" s="10">
        <f>IFERROR(MIN(IF(C131:H131&lt;&gt;"",C131:H131)),"")</f>
        <v/>
      </c>
      <c r="K131" s="10">
        <f>IFERROR(MATCH(I131,C131:H131,0),"")</f>
        <v/>
      </c>
      <c r="L131" s="10">
        <f>IF(OR(I131="",J131=""),"",ROUND((I131-J131)/I131*100,1))</f>
        <v/>
      </c>
      <c r="M131" s="10">
        <f>IF(L131="","",IF(L131&gt;=18,"是","否"))</f>
        <v/>
      </c>
      <c r="N131" s="10">
        <f>IF(J131="","",IF(J131&lt;0.15,"是","否"))</f>
        <v/>
      </c>
      <c r="O131" s="10">
        <f>IF(I131="","",IF(J131&lt;0.15,"SAFETY_STOP",IF(L131&gt;=18,"VL_THRESHOLD","PLANNED_END")))</f>
        <v/>
      </c>
      <c r="P131" s="10">
        <f>IF(I131="","",IF(I131&gt;($D$2+0.05),"+5kg",IF(I131&gt;($D$2+0.02),"+2.5kg",IF(I131&gt;=($D$2-0.05),"保持",IF(I131&gt;=($D$2-0.08),"-2.5kg","-5kg")))))</f>
        <v/>
      </c>
      <c r="Q131" s="9" t="n"/>
      <c r="R131" s="12" t="n"/>
      <c r="S131" s="12" t="n"/>
      <c r="T131" s="12" t="n"/>
    </row>
    <row r="132">
      <c r="A132" s="12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10">
        <f>IFERROR(INDEX(C132:H132,MATCH(TRUE,INDEX(C132:H132&lt;&gt;"",0),0)),"")</f>
        <v/>
      </c>
      <c r="J132" s="10">
        <f>IFERROR(MIN(IF(C132:H132&lt;&gt;"",C132:H132)),"")</f>
        <v/>
      </c>
      <c r="K132" s="10">
        <f>IFERROR(MATCH(I132,C132:H132,0),"")</f>
        <v/>
      </c>
      <c r="L132" s="10">
        <f>IF(OR(I132="",J132=""),"",ROUND((I132-J132)/I132*100,1))</f>
        <v/>
      </c>
      <c r="M132" s="10">
        <f>IF(L132="","",IF(L132&gt;=18,"是","否"))</f>
        <v/>
      </c>
      <c r="N132" s="10">
        <f>IF(J132="","",IF(J132&lt;0.15,"是","否"))</f>
        <v/>
      </c>
      <c r="O132" s="10">
        <f>IF(I132="","",IF(J132&lt;0.15,"SAFETY_STOP",IF(L132&gt;=18,"VL_THRESHOLD","PLANNED_END")))</f>
        <v/>
      </c>
      <c r="P132" s="10">
        <f>IF(I132="","",IF(I132&gt;($D$2+0.05),"+5kg",IF(I132&gt;($D$2+0.02),"+2.5kg",IF(I132&gt;=($D$2-0.05),"保持",IF(I132&gt;=($D$2-0.08),"-2.5kg","-5kg")))))</f>
        <v/>
      </c>
      <c r="Q132" s="9" t="n"/>
      <c r="R132" s="12" t="n"/>
      <c r="S132" s="12" t="n"/>
      <c r="T132" s="12" t="n"/>
    </row>
    <row r="133">
      <c r="A133" s="12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10">
        <f>IFERROR(INDEX(C133:H133,MATCH(TRUE,INDEX(C133:H133&lt;&gt;"",0),0)),"")</f>
        <v/>
      </c>
      <c r="J133" s="10">
        <f>IFERROR(MIN(IF(C133:H133&lt;&gt;"",C133:H133)),"")</f>
        <v/>
      </c>
      <c r="K133" s="10">
        <f>IFERROR(MATCH(I133,C133:H133,0),"")</f>
        <v/>
      </c>
      <c r="L133" s="10">
        <f>IF(OR(I133="",J133=""),"",ROUND((I133-J133)/I133*100,1))</f>
        <v/>
      </c>
      <c r="M133" s="10">
        <f>IF(L133="","",IF(L133&gt;=18,"是","否"))</f>
        <v/>
      </c>
      <c r="N133" s="10">
        <f>IF(J133="","",IF(J133&lt;0.15,"是","否"))</f>
        <v/>
      </c>
      <c r="O133" s="10">
        <f>IF(I133="","",IF(J133&lt;0.15,"SAFETY_STOP",IF(L133&gt;=18,"VL_THRESHOLD","PLANNED_END")))</f>
        <v/>
      </c>
      <c r="P133" s="10">
        <f>IF(I133="","",IF(I133&gt;($D$2+0.05),"+5kg",IF(I133&gt;($D$2+0.02),"+2.5kg",IF(I133&gt;=($D$2-0.05),"保持",IF(I133&gt;=($D$2-0.08),"-2.5kg","-5kg")))))</f>
        <v/>
      </c>
      <c r="Q133" s="9" t="n"/>
      <c r="R133" s="12" t="n"/>
      <c r="S133" s="12" t="n"/>
      <c r="T133" s="12" t="n"/>
    </row>
    <row r="134">
      <c r="A134" s="12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10">
        <f>IFERROR(INDEX(C134:H134,MATCH(TRUE,INDEX(C134:H134&lt;&gt;"",0),0)),"")</f>
        <v/>
      </c>
      <c r="J134" s="10">
        <f>IFERROR(MIN(IF(C134:H134&lt;&gt;"",C134:H134)),"")</f>
        <v/>
      </c>
      <c r="K134" s="10">
        <f>IFERROR(MATCH(I134,C134:H134,0),"")</f>
        <v/>
      </c>
      <c r="L134" s="10">
        <f>IF(OR(I134="",J134=""),"",ROUND((I134-J134)/I134*100,1))</f>
        <v/>
      </c>
      <c r="M134" s="10">
        <f>IF(L134="","",IF(L134&gt;=18,"是","否"))</f>
        <v/>
      </c>
      <c r="N134" s="10">
        <f>IF(J134="","",IF(J134&lt;0.15,"是","否"))</f>
        <v/>
      </c>
      <c r="O134" s="10">
        <f>IF(I134="","",IF(J134&lt;0.15,"SAFETY_STOP",IF(L134&gt;=18,"VL_THRESHOLD","PLANNED_END")))</f>
        <v/>
      </c>
      <c r="P134" s="10">
        <f>IF(I134="","",IF(I134&gt;($D$2+0.05),"+5kg",IF(I134&gt;($D$2+0.02),"+2.5kg",IF(I134&gt;=($D$2-0.05),"保持",IF(I134&gt;=($D$2-0.08),"-2.5kg","-5kg")))))</f>
        <v/>
      </c>
      <c r="Q134" s="9" t="n"/>
      <c r="R134" s="12" t="n"/>
      <c r="S134" s="12" t="n"/>
      <c r="T134" s="12" t="n"/>
    </row>
    <row r="135">
      <c r="A135" s="8" t="inlineStr">
        <is>
          <t>辅助动作</t>
        </is>
      </c>
      <c r="B135" s="8" t="inlineStr">
        <is>
          <t>动作名称</t>
        </is>
      </c>
      <c r="C135" s="8" t="inlineStr">
        <is>
          <t>负荷kg</t>
        </is>
      </c>
      <c r="D135" s="8" t="inlineStr">
        <is>
          <t>完成(组×次)</t>
        </is>
      </c>
    </row>
    <row r="136">
      <c r="A136" s="9" t="inlineStr"/>
      <c r="B136" s="9" t="n"/>
      <c r="C136" s="9" t="n"/>
      <c r="D136" s="9" t="n"/>
    </row>
    <row r="137">
      <c r="A137" s="8" t="inlineStr">
        <is>
          <t>训练后</t>
        </is>
      </c>
      <c r="B137" s="8" t="inlineStr">
        <is>
          <t>开始时间</t>
        </is>
      </c>
      <c r="C137" s="8" t="inlineStr">
        <is>
          <t>结束时间</t>
        </is>
      </c>
      <c r="D137" s="8" t="inlineStr">
        <is>
          <t>总时长min</t>
        </is>
      </c>
      <c r="E137" s="8" t="inlineStr">
        <is>
          <t>sRPE</t>
        </is>
      </c>
      <c r="F137" s="8" t="inlineStr">
        <is>
          <t>session_load</t>
        </is>
      </c>
      <c r="G137" s="8" t="inlineStr">
        <is>
          <t>有无不适</t>
        </is>
      </c>
      <c r="H137" s="8" t="inlineStr">
        <is>
          <t>备注</t>
        </is>
      </c>
      <c r="I137" s="8" t="inlineStr">
        <is>
          <t>研究员签名</t>
        </is>
      </c>
    </row>
    <row r="138">
      <c r="A138" s="13" t="inlineStr"/>
      <c r="B138" s="13" t="n"/>
      <c r="C138" s="13" t="n"/>
      <c r="D138" s="10">
        <f>IF(OR(B138="",C138=""),"",(C138-B138)*1440)</f>
        <v/>
      </c>
      <c r="E138" s="13" t="n"/>
      <c r="F138" s="10">
        <f>IF(OR(D138="",E138=""),"",D138*E138)</f>
        <v/>
      </c>
      <c r="G138" s="13" t="n"/>
      <c r="H138" s="13" t="n"/>
      <c r="I138" s="13" t="n"/>
    </row>
    <row r="140">
      <c r="A140" s="5" t="inlineStr">
        <is>
          <t>── P018 孟维宇 ──────────────────────────────────────────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7" t="n"/>
    </row>
    <row r="141">
      <c r="A141" s="8" t="inlineStr">
        <is>
          <t>编号</t>
        </is>
      </c>
      <c r="B141" s="8" t="inlineStr">
        <is>
          <t>姓名</t>
        </is>
      </c>
      <c r="C141" s="8" t="inlineStr">
        <is>
          <t>身高</t>
        </is>
      </c>
      <c r="D141" s="8" t="inlineStr">
        <is>
          <t>1RM</t>
        </is>
      </c>
      <c r="E141" s="8" t="inlineStr">
        <is>
          <t>睡眠</t>
        </is>
      </c>
      <c r="F141" s="8" t="inlineStr">
        <is>
          <t>压力</t>
        </is>
      </c>
      <c r="G141" s="8" t="inlineStr">
        <is>
          <t>疲劳</t>
        </is>
      </c>
      <c r="H141" s="8" t="inlineStr">
        <is>
          <t>酸痛</t>
        </is>
      </c>
      <c r="I141" s="8" t="inlineStr">
        <is>
          <t>Hooper总</t>
        </is>
      </c>
      <c r="J141" s="8" t="inlineStr">
        <is>
          <t>CMJ1</t>
        </is>
      </c>
      <c r="K141" s="8" t="inlineStr">
        <is>
          <t>CMJ2</t>
        </is>
      </c>
      <c r="L141" s="8" t="inlineStr">
        <is>
          <t>CMJ3</t>
        </is>
      </c>
      <c r="M141" s="8" t="inlineStr">
        <is>
          <t>CMJ均值</t>
        </is>
      </c>
      <c r="N141" s="8" t="inlineStr">
        <is>
          <t>&lt;95%?</t>
        </is>
      </c>
      <c r="O141" s="8" t="inlineStr">
        <is>
          <t>减组?</t>
        </is>
      </c>
      <c r="P141" s="8" t="inlineStr">
        <is>
          <t>实做组数</t>
        </is>
      </c>
      <c r="Q141" s="8" t="inlineStr">
        <is>
          <t>LVP_a</t>
        </is>
      </c>
      <c r="R141" s="8" t="inlineStr">
        <is>
          <t>LVP_b</t>
        </is>
      </c>
      <c r="S141" s="8" t="inlineStr">
        <is>
          <t>等级</t>
        </is>
      </c>
      <c r="T141" s="8" t="inlineStr">
        <is>
          <t>预测起始</t>
        </is>
      </c>
    </row>
    <row r="142">
      <c r="A142" s="9" t="inlineStr">
        <is>
          <t>P018</t>
        </is>
      </c>
      <c r="B142" s="9" t="inlineStr">
        <is>
          <t>孟维宇</t>
        </is>
      </c>
      <c r="C142" s="9" t="n">
        <v>173</v>
      </c>
      <c r="D142" s="9" t="n">
        <v>122.5</v>
      </c>
      <c r="E142" s="9" t="n"/>
      <c r="F142" s="9" t="n"/>
      <c r="G142" s="9" t="n"/>
      <c r="H142" s="9" t="n"/>
      <c r="I142" s="10">
        <f>IFERROR(SUM(E142:H142),"")</f>
        <v/>
      </c>
      <c r="J142" s="9" t="n"/>
      <c r="K142" s="9" t="n"/>
      <c r="L142" s="9" t="n"/>
      <c r="M142" s="10">
        <f>IFERROR(AVERAGE(J142:L142),"")</f>
        <v/>
      </c>
      <c r="N142" s="10">
        <f>IF(M142="","",IF(M142&lt;52.6,"是⚠","否"))</f>
        <v/>
      </c>
      <c r="O142" s="10">
        <f>IF(M142="","",IF(M142&lt;52.6,"减1组","正常"))</f>
        <v/>
      </c>
      <c r="P142" s="10">
        <f>IF(M142="","",IF(M142&lt;52.6,4-1,4))</f>
        <v/>
      </c>
      <c r="Q142" s="9" t="n">
        <v>1.71</v>
      </c>
      <c r="R142" s="9" t="n">
        <v>-0.0105</v>
      </c>
      <c r="S142" s="9" t="inlineStr">
        <is>
          <t>B</t>
        </is>
      </c>
      <c r="T142" s="10">
        <f>IFERROR(ROUND((0.6-1.71)/-0.0105,0.5),"")</f>
        <v/>
      </c>
    </row>
    <row r="143">
      <c r="A143" s="8" t="inlineStr">
        <is>
          <t>热身校准</t>
        </is>
      </c>
      <c r="B143" s="8" t="inlineStr">
        <is>
          <t>LVP_a</t>
        </is>
      </c>
      <c r="C143" s="8" t="inlineStr">
        <is>
          <t>LVP_b</t>
        </is>
      </c>
      <c r="D143" s="8" t="inlineStr">
        <is>
          <t>50%热身kg</t>
        </is>
      </c>
      <c r="E143" s="8" t="inlineStr">
        <is>
          <t>70%热身kg</t>
        </is>
      </c>
      <c r="F143" s="8" t="inlineStr">
        <is>
          <t>热身负荷kg</t>
        </is>
      </c>
      <c r="G143" s="8" t="inlineStr">
        <is>
          <t>实测MCV</t>
        </is>
      </c>
      <c r="H143" s="8" t="inlineStr">
        <is>
          <t>预测MCV</t>
        </is>
      </c>
      <c r="I143" s="8" t="inlineStr">
        <is>
          <t>Δv</t>
        </is>
      </c>
      <c r="J143" s="8" t="inlineStr">
        <is>
          <t>调整量kg</t>
        </is>
      </c>
      <c r="K143" s="8" t="inlineStr">
        <is>
          <t>校准后第1组kg</t>
        </is>
      </c>
    </row>
    <row r="144">
      <c r="A144" s="11" t="inlineStr"/>
      <c r="B144" s="11" t="n">
        <v>1.71</v>
      </c>
      <c r="C144" s="11" t="n">
        <v>-0.0105</v>
      </c>
      <c r="D144" s="10">
        <f>IFERROR(ROUND(T142*0.5,2.5),"")</f>
        <v/>
      </c>
      <c r="E144" s="10">
        <f>IFERROR(ROUND(T142*0.7,2.5),"")</f>
        <v/>
      </c>
      <c r="F144" s="10">
        <f>E144</f>
        <v/>
      </c>
      <c r="G144" s="9" t="n"/>
      <c r="H144" s="10">
        <f>IF(F144="","",B144+C144*F144)</f>
        <v/>
      </c>
      <c r="I144" s="10">
        <f>IF(OR(G144="",H144=""),"",G144-H144)</f>
        <v/>
      </c>
      <c r="J144" s="10">
        <f>IF(I144="","",IF(I144&gt;0.08,5,IF(I144&gt;0.04,2.5,IF(I144&gt;=-0.04,0,IF(I144&gt;=-0.08,-2.5,-5)))))</f>
        <v/>
      </c>
      <c r="K144" s="10">
        <f>IFERROR(ROUND(T142+J144,2.5),"")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8" t="inlineStr">
        <is>
          <t>组次</t>
        </is>
      </c>
      <c r="B145" s="8" t="inlineStr">
        <is>
          <t>负荷kg</t>
        </is>
      </c>
      <c r="C145" s="8" t="inlineStr">
        <is>
          <t>rep1</t>
        </is>
      </c>
      <c r="D145" s="8" t="inlineStr">
        <is>
          <t>rep2</t>
        </is>
      </c>
      <c r="E145" s="8" t="inlineStr">
        <is>
          <t>rep3</t>
        </is>
      </c>
      <c r="F145" s="8" t="inlineStr">
        <is>
          <t>rep4</t>
        </is>
      </c>
      <c r="G145" s="8" t="inlineStr">
        <is>
          <t>rep5</t>
        </is>
      </c>
      <c r="H145" s="8" t="inlineStr">
        <is>
          <t>rep6</t>
        </is>
      </c>
      <c r="I145" s="8" t="inlineStr">
        <is>
          <t>首rep</t>
        </is>
      </c>
      <c r="J145" s="8" t="inlineStr">
        <is>
          <t>最低速</t>
        </is>
      </c>
      <c r="K145" s="8" t="inlineStr">
        <is>
          <t>最低rep#</t>
        </is>
      </c>
      <c r="L145" s="8" t="inlineStr">
        <is>
          <t>VL%</t>
        </is>
      </c>
      <c r="M145" s="8" t="inlineStr">
        <is>
          <t>VL达标?</t>
        </is>
      </c>
      <c r="N145" s="8" t="inlineStr">
        <is>
          <t>安全停止?</t>
        </is>
      </c>
      <c r="O145" s="8" t="inlineStr">
        <is>
          <t>停组原因</t>
        </is>
      </c>
      <c r="P145" s="8" t="inlineStr">
        <is>
          <t>下组建议</t>
        </is>
      </c>
      <c r="Q145" s="8" t="inlineStr">
        <is>
          <t>实做次数</t>
        </is>
      </c>
    </row>
    <row r="146">
      <c r="A146" s="12" t="n">
        <v>1</v>
      </c>
      <c r="B146" s="10">
        <f>IF(K144="","",K144)</f>
        <v/>
      </c>
      <c r="C146" s="9" t="n"/>
      <c r="D146" s="9" t="n"/>
      <c r="E146" s="9" t="n"/>
      <c r="F146" s="9" t="n"/>
      <c r="G146" s="9" t="n"/>
      <c r="H146" s="9" t="n"/>
      <c r="I146" s="10">
        <f>IFERROR(INDEX(C146:H146,MATCH(TRUE,INDEX(C146:H146&lt;&gt;"",0),0)),"")</f>
        <v/>
      </c>
      <c r="J146" s="10">
        <f>IFERROR(MIN(IF(C146:H146&lt;&gt;"",C146:H146)),"")</f>
        <v/>
      </c>
      <c r="K146" s="10">
        <f>IFERROR(MATCH(I146,C146:H146,0),"")</f>
        <v/>
      </c>
      <c r="L146" s="10">
        <f>IF(OR(I146="",J146=""),"",ROUND((I146-J146)/I146*100,1))</f>
        <v/>
      </c>
      <c r="M146" s="10">
        <f>IF(L146="","",IF(L146&gt;=18,"是","否"))</f>
        <v/>
      </c>
      <c r="N146" s="10">
        <f>IF(J146="","",IF(J146&lt;0.15,"是","否"))</f>
        <v/>
      </c>
      <c r="O146" s="10">
        <f>IF(I146="","",IF(J146&lt;0.15,"SAFETY_STOP",IF(L146&gt;=18,"VL_THRESHOLD","PLANNED_END")))</f>
        <v/>
      </c>
      <c r="P146" s="10">
        <f>IF(I146="","",IF(I146&gt;($D$2+0.05),"+5kg",IF(I146&gt;($D$2+0.02),"+2.5kg",IF(I146&gt;=($D$2-0.05),"保持",IF(I146&gt;=($D$2-0.08),"-2.5kg","-5kg")))))</f>
        <v/>
      </c>
      <c r="Q146" s="9" t="n"/>
      <c r="R146" s="12" t="n"/>
      <c r="S146" s="12" t="n"/>
      <c r="T146" s="12" t="n"/>
    </row>
    <row r="147">
      <c r="A147" s="12" t="n">
        <v>2</v>
      </c>
      <c r="B147" s="9" t="n"/>
      <c r="C147" s="9" t="n"/>
      <c r="D147" s="9" t="n"/>
      <c r="E147" s="9" t="n"/>
      <c r="F147" s="9" t="n"/>
      <c r="G147" s="9" t="n"/>
      <c r="H147" s="9" t="n"/>
      <c r="I147" s="10">
        <f>IFERROR(INDEX(C147:H147,MATCH(TRUE,INDEX(C147:H147&lt;&gt;"",0),0)),"")</f>
        <v/>
      </c>
      <c r="J147" s="10">
        <f>IFERROR(MIN(IF(C147:H147&lt;&gt;"",C147:H147)),"")</f>
        <v/>
      </c>
      <c r="K147" s="10">
        <f>IFERROR(MATCH(I147,C147:H147,0),"")</f>
        <v/>
      </c>
      <c r="L147" s="10">
        <f>IF(OR(I147="",J147=""),"",ROUND((I147-J147)/I147*100,1))</f>
        <v/>
      </c>
      <c r="M147" s="10">
        <f>IF(L147="","",IF(L147&gt;=18,"是","否"))</f>
        <v/>
      </c>
      <c r="N147" s="10">
        <f>IF(J147="","",IF(J147&lt;0.15,"是","否"))</f>
        <v/>
      </c>
      <c r="O147" s="10">
        <f>IF(I147="","",IF(J147&lt;0.15,"SAFETY_STOP",IF(L147&gt;=18,"VL_THRESHOLD","PLANNED_END")))</f>
        <v/>
      </c>
      <c r="P147" s="10">
        <f>IF(I147="","",IF(I147&gt;($D$2+0.05),"+5kg",IF(I147&gt;($D$2+0.02),"+2.5kg",IF(I147&gt;=($D$2-0.05),"保持",IF(I147&gt;=($D$2-0.08),"-2.5kg","-5kg")))))</f>
        <v/>
      </c>
      <c r="Q147" s="9" t="n"/>
      <c r="R147" s="12" t="n"/>
      <c r="S147" s="12" t="n"/>
      <c r="T147" s="12" t="n"/>
    </row>
    <row r="148">
      <c r="A148" s="12" t="n">
        <v>3</v>
      </c>
      <c r="B148" s="9" t="n"/>
      <c r="C148" s="9" t="n"/>
      <c r="D148" s="9" t="n"/>
      <c r="E148" s="9" t="n"/>
      <c r="F148" s="9" t="n"/>
      <c r="G148" s="9" t="n"/>
      <c r="H148" s="9" t="n"/>
      <c r="I148" s="10">
        <f>IFERROR(INDEX(C148:H148,MATCH(TRUE,INDEX(C148:H148&lt;&gt;"",0),0)),"")</f>
        <v/>
      </c>
      <c r="J148" s="10">
        <f>IFERROR(MIN(IF(C148:H148&lt;&gt;"",C148:H148)),"")</f>
        <v/>
      </c>
      <c r="K148" s="10">
        <f>IFERROR(MATCH(I148,C148:H148,0),"")</f>
        <v/>
      </c>
      <c r="L148" s="10">
        <f>IF(OR(I148="",J148=""),"",ROUND((I148-J148)/I148*100,1))</f>
        <v/>
      </c>
      <c r="M148" s="10">
        <f>IF(L148="","",IF(L148&gt;=18,"是","否"))</f>
        <v/>
      </c>
      <c r="N148" s="10">
        <f>IF(J148="","",IF(J148&lt;0.15,"是","否"))</f>
        <v/>
      </c>
      <c r="O148" s="10">
        <f>IF(I148="","",IF(J148&lt;0.15,"SAFETY_STOP",IF(L148&gt;=18,"VL_THRESHOLD","PLANNED_END")))</f>
        <v/>
      </c>
      <c r="P148" s="10">
        <f>IF(I148="","",IF(I148&gt;($D$2+0.05),"+5kg",IF(I148&gt;($D$2+0.02),"+2.5kg",IF(I148&gt;=($D$2-0.05),"保持",IF(I148&gt;=($D$2-0.08),"-2.5kg","-5kg")))))</f>
        <v/>
      </c>
      <c r="Q148" s="9" t="n"/>
      <c r="R148" s="12" t="n"/>
      <c r="S148" s="12" t="n"/>
      <c r="T148" s="12" t="n"/>
    </row>
    <row r="149">
      <c r="A149" s="12" t="n">
        <v>4</v>
      </c>
      <c r="B149" s="9" t="n"/>
      <c r="C149" s="9" t="n"/>
      <c r="D149" s="9" t="n"/>
      <c r="E149" s="9" t="n"/>
      <c r="F149" s="9" t="n"/>
      <c r="G149" s="9" t="n"/>
      <c r="H149" s="9" t="n"/>
      <c r="I149" s="10">
        <f>IFERROR(INDEX(C149:H149,MATCH(TRUE,INDEX(C149:H149&lt;&gt;"",0),0)),"")</f>
        <v/>
      </c>
      <c r="J149" s="10">
        <f>IFERROR(MIN(IF(C149:H149&lt;&gt;"",C149:H149)),"")</f>
        <v/>
      </c>
      <c r="K149" s="10">
        <f>IFERROR(MATCH(I149,C149:H149,0),"")</f>
        <v/>
      </c>
      <c r="L149" s="10">
        <f>IF(OR(I149="",J149=""),"",ROUND((I149-J149)/I149*100,1))</f>
        <v/>
      </c>
      <c r="M149" s="10">
        <f>IF(L149="","",IF(L149&gt;=18,"是","否"))</f>
        <v/>
      </c>
      <c r="N149" s="10">
        <f>IF(J149="","",IF(J149&lt;0.15,"是","否"))</f>
        <v/>
      </c>
      <c r="O149" s="10">
        <f>IF(I149="","",IF(J149&lt;0.15,"SAFETY_STOP",IF(L149&gt;=18,"VL_THRESHOLD","PLANNED_END")))</f>
        <v/>
      </c>
      <c r="P149" s="10">
        <f>IF(I149="","",IF(I149&gt;($D$2+0.05),"+5kg",IF(I149&gt;($D$2+0.02),"+2.5kg",IF(I149&gt;=($D$2-0.05),"保持",IF(I149&gt;=($D$2-0.08),"-2.5kg","-5kg")))))</f>
        <v/>
      </c>
      <c r="Q149" s="9" t="n"/>
      <c r="R149" s="12" t="n"/>
      <c r="S149" s="12" t="n"/>
      <c r="T149" s="12" t="n"/>
    </row>
    <row r="150">
      <c r="A150" s="12" t="n">
        <v>5</v>
      </c>
      <c r="B150" s="9" t="n"/>
      <c r="C150" s="9" t="n"/>
      <c r="D150" s="9" t="n"/>
      <c r="E150" s="9" t="n"/>
      <c r="F150" s="9" t="n"/>
      <c r="G150" s="9" t="n"/>
      <c r="H150" s="9" t="n"/>
      <c r="I150" s="10">
        <f>IFERROR(INDEX(C150:H150,MATCH(TRUE,INDEX(C150:H150&lt;&gt;"",0),0)),"")</f>
        <v/>
      </c>
      <c r="J150" s="10">
        <f>IFERROR(MIN(IF(C150:H150&lt;&gt;"",C150:H150)),"")</f>
        <v/>
      </c>
      <c r="K150" s="10">
        <f>IFERROR(MATCH(I150,C150:H150,0),"")</f>
        <v/>
      </c>
      <c r="L150" s="10">
        <f>IF(OR(I150="",J150=""),"",ROUND((I150-J150)/I150*100,1))</f>
        <v/>
      </c>
      <c r="M150" s="10">
        <f>IF(L150="","",IF(L150&gt;=18,"是","否"))</f>
        <v/>
      </c>
      <c r="N150" s="10">
        <f>IF(J150="","",IF(J150&lt;0.15,"是","否"))</f>
        <v/>
      </c>
      <c r="O150" s="10">
        <f>IF(I150="","",IF(J150&lt;0.15,"SAFETY_STOP",IF(L150&gt;=18,"VL_THRESHOLD","PLANNED_END")))</f>
        <v/>
      </c>
      <c r="P150" s="10">
        <f>IF(I150="","",IF(I150&gt;($D$2+0.05),"+5kg",IF(I150&gt;($D$2+0.02),"+2.5kg",IF(I150&gt;=($D$2-0.05),"保持",IF(I150&gt;=($D$2-0.08),"-2.5kg","-5kg")))))</f>
        <v/>
      </c>
      <c r="Q150" s="9" t="n"/>
      <c r="R150" s="12" t="n"/>
      <c r="S150" s="12" t="n"/>
      <c r="T150" s="12" t="n"/>
    </row>
    <row r="151">
      <c r="A151" s="12" t="n">
        <v>6</v>
      </c>
      <c r="B151" s="9" t="n"/>
      <c r="C151" s="9" t="n"/>
      <c r="D151" s="9" t="n"/>
      <c r="E151" s="9" t="n"/>
      <c r="F151" s="9" t="n"/>
      <c r="G151" s="9" t="n"/>
      <c r="H151" s="9" t="n"/>
      <c r="I151" s="10">
        <f>IFERROR(INDEX(C151:H151,MATCH(TRUE,INDEX(C151:H151&lt;&gt;"",0),0)),"")</f>
        <v/>
      </c>
      <c r="J151" s="10">
        <f>IFERROR(MIN(IF(C151:H151&lt;&gt;"",C151:H151)),"")</f>
        <v/>
      </c>
      <c r="K151" s="10">
        <f>IFERROR(MATCH(I151,C151:H151,0),"")</f>
        <v/>
      </c>
      <c r="L151" s="10">
        <f>IF(OR(I151="",J151=""),"",ROUND((I151-J151)/I151*100,1))</f>
        <v/>
      </c>
      <c r="M151" s="10">
        <f>IF(L151="","",IF(L151&gt;=18,"是","否"))</f>
        <v/>
      </c>
      <c r="N151" s="10">
        <f>IF(J151="","",IF(J151&lt;0.15,"是","否"))</f>
        <v/>
      </c>
      <c r="O151" s="10">
        <f>IF(I151="","",IF(J151&lt;0.15,"SAFETY_STOP",IF(L151&gt;=18,"VL_THRESHOLD","PLANNED_END")))</f>
        <v/>
      </c>
      <c r="P151" s="10">
        <f>IF(I151="","",IF(I151&gt;($D$2+0.05),"+5kg",IF(I151&gt;($D$2+0.02),"+2.5kg",IF(I151&gt;=($D$2-0.05),"保持",IF(I151&gt;=($D$2-0.08),"-2.5kg","-5kg")))))</f>
        <v/>
      </c>
      <c r="Q151" s="9" t="n"/>
      <c r="R151" s="12" t="n"/>
      <c r="S151" s="12" t="n"/>
      <c r="T151" s="12" t="n"/>
    </row>
    <row r="152">
      <c r="A152" s="8" t="inlineStr">
        <is>
          <t>辅助动作</t>
        </is>
      </c>
      <c r="B152" s="8" t="inlineStr">
        <is>
          <t>动作名称</t>
        </is>
      </c>
      <c r="C152" s="8" t="inlineStr">
        <is>
          <t>负荷kg</t>
        </is>
      </c>
      <c r="D152" s="8" t="inlineStr">
        <is>
          <t>完成(组×次)</t>
        </is>
      </c>
    </row>
    <row r="153">
      <c r="A153" s="9" t="inlineStr"/>
      <c r="B153" s="9" t="n"/>
      <c r="C153" s="9" t="n"/>
      <c r="D153" s="9" t="n"/>
    </row>
    <row r="154">
      <c r="A154" s="8" t="inlineStr">
        <is>
          <t>训练后</t>
        </is>
      </c>
      <c r="B154" s="8" t="inlineStr">
        <is>
          <t>开始时间</t>
        </is>
      </c>
      <c r="C154" s="8" t="inlineStr">
        <is>
          <t>结束时间</t>
        </is>
      </c>
      <c r="D154" s="8" t="inlineStr">
        <is>
          <t>总时长min</t>
        </is>
      </c>
      <c r="E154" s="8" t="inlineStr">
        <is>
          <t>sRPE</t>
        </is>
      </c>
      <c r="F154" s="8" t="inlineStr">
        <is>
          <t>session_load</t>
        </is>
      </c>
      <c r="G154" s="8" t="inlineStr">
        <is>
          <t>有无不适</t>
        </is>
      </c>
      <c r="H154" s="8" t="inlineStr">
        <is>
          <t>备注</t>
        </is>
      </c>
      <c r="I154" s="8" t="inlineStr">
        <is>
          <t>研究员签名</t>
        </is>
      </c>
    </row>
    <row r="155">
      <c r="A155" s="13" t="inlineStr"/>
      <c r="B155" s="13" t="n"/>
      <c r="C155" s="13" t="n"/>
      <c r="D155" s="10">
        <f>IF(OR(B155="",C155=""),"",(C155-B155)*1440)</f>
        <v/>
      </c>
      <c r="E155" s="13" t="n"/>
      <c r="F155" s="10">
        <f>IF(OR(D155="",E155=""),"",D155*E155)</f>
        <v/>
      </c>
      <c r="G155" s="13" t="n"/>
      <c r="H155" s="13" t="n"/>
      <c r="I155" s="13" t="n"/>
    </row>
    <row r="157">
      <c r="A157" s="5" t="inlineStr">
        <is>
          <t>── P026 古翔宇 ──────────────────────────────────────────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7" t="n"/>
    </row>
    <row r="158">
      <c r="A158" s="8" t="inlineStr">
        <is>
          <t>编号</t>
        </is>
      </c>
      <c r="B158" s="8" t="inlineStr">
        <is>
          <t>姓名</t>
        </is>
      </c>
      <c r="C158" s="8" t="inlineStr">
        <is>
          <t>身高</t>
        </is>
      </c>
      <c r="D158" s="8" t="inlineStr">
        <is>
          <t>1RM</t>
        </is>
      </c>
      <c r="E158" s="8" t="inlineStr">
        <is>
          <t>睡眠</t>
        </is>
      </c>
      <c r="F158" s="8" t="inlineStr">
        <is>
          <t>压力</t>
        </is>
      </c>
      <c r="G158" s="8" t="inlineStr">
        <is>
          <t>疲劳</t>
        </is>
      </c>
      <c r="H158" s="8" t="inlineStr">
        <is>
          <t>酸痛</t>
        </is>
      </c>
      <c r="I158" s="8" t="inlineStr">
        <is>
          <t>Hooper总</t>
        </is>
      </c>
      <c r="J158" s="8" t="inlineStr">
        <is>
          <t>CMJ1</t>
        </is>
      </c>
      <c r="K158" s="8" t="inlineStr">
        <is>
          <t>CMJ2</t>
        </is>
      </c>
      <c r="L158" s="8" t="inlineStr">
        <is>
          <t>CMJ3</t>
        </is>
      </c>
      <c r="M158" s="8" t="inlineStr">
        <is>
          <t>CMJ均值</t>
        </is>
      </c>
      <c r="N158" s="8" t="inlineStr">
        <is>
          <t>&lt;95%?</t>
        </is>
      </c>
      <c r="O158" s="8" t="inlineStr">
        <is>
          <t>减组?</t>
        </is>
      </c>
      <c r="P158" s="8" t="inlineStr">
        <is>
          <t>实做组数</t>
        </is>
      </c>
      <c r="Q158" s="8" t="inlineStr">
        <is>
          <t>LVP_a</t>
        </is>
      </c>
      <c r="R158" s="8" t="inlineStr">
        <is>
          <t>LVP_b</t>
        </is>
      </c>
      <c r="S158" s="8" t="inlineStr">
        <is>
          <t>等级</t>
        </is>
      </c>
      <c r="T158" s="8" t="inlineStr">
        <is>
          <t>预测起始</t>
        </is>
      </c>
    </row>
    <row r="159">
      <c r="A159" s="9" t="inlineStr">
        <is>
          <t>P026</t>
        </is>
      </c>
      <c r="B159" s="9" t="inlineStr">
        <is>
          <t>古翔宇</t>
        </is>
      </c>
      <c r="C159" s="9" t="n">
        <v>180</v>
      </c>
      <c r="D159" s="9" t="n">
        <v>135</v>
      </c>
      <c r="E159" s="9" t="n"/>
      <c r="F159" s="9" t="n"/>
      <c r="G159" s="9" t="n"/>
      <c r="H159" s="9" t="n"/>
      <c r="I159" s="10">
        <f>IFERROR(SUM(E159:H159),"")</f>
        <v/>
      </c>
      <c r="J159" s="9" t="n"/>
      <c r="K159" s="9" t="n"/>
      <c r="L159" s="9" t="n"/>
      <c r="M159" s="10">
        <f>IFERROR(AVERAGE(J159:L159),"")</f>
        <v/>
      </c>
      <c r="N159" s="10">
        <f>IF(M159="","",IF(M159&lt;45.51,"是⚠","否"))</f>
        <v/>
      </c>
      <c r="O159" s="10">
        <f>IF(M159="","",IF(M159&lt;45.51,"减1组","正常"))</f>
        <v/>
      </c>
      <c r="P159" s="10">
        <f>IF(M159="","",IF(M159&lt;45.51,4-1,4))</f>
        <v/>
      </c>
      <c r="Q159" s="9" t="n">
        <v>1.64</v>
      </c>
      <c r="R159" s="9" t="n">
        <v>-0.00975</v>
      </c>
      <c r="S159" s="9" t="inlineStr">
        <is>
          <t>A</t>
        </is>
      </c>
      <c r="T159" s="10">
        <f>IFERROR(ROUND((0.6-1.64)/-0.00975,0.5),"")</f>
        <v/>
      </c>
    </row>
    <row r="160">
      <c r="A160" s="8" t="inlineStr">
        <is>
          <t>热身校准</t>
        </is>
      </c>
      <c r="B160" s="8" t="inlineStr">
        <is>
          <t>LVP_a</t>
        </is>
      </c>
      <c r="C160" s="8" t="inlineStr">
        <is>
          <t>LVP_b</t>
        </is>
      </c>
      <c r="D160" s="8" t="inlineStr">
        <is>
          <t>50%热身kg</t>
        </is>
      </c>
      <c r="E160" s="8" t="inlineStr">
        <is>
          <t>70%热身kg</t>
        </is>
      </c>
      <c r="F160" s="8" t="inlineStr">
        <is>
          <t>热身负荷kg</t>
        </is>
      </c>
      <c r="G160" s="8" t="inlineStr">
        <is>
          <t>实测MCV</t>
        </is>
      </c>
      <c r="H160" s="8" t="inlineStr">
        <is>
          <t>预测MCV</t>
        </is>
      </c>
      <c r="I160" s="8" t="inlineStr">
        <is>
          <t>Δv</t>
        </is>
      </c>
      <c r="J160" s="8" t="inlineStr">
        <is>
          <t>调整量kg</t>
        </is>
      </c>
      <c r="K160" s="8" t="inlineStr">
        <is>
          <t>校准后第1组kg</t>
        </is>
      </c>
    </row>
    <row r="161">
      <c r="A161" s="11" t="inlineStr"/>
      <c r="B161" s="11" t="n">
        <v>1.64</v>
      </c>
      <c r="C161" s="11" t="n">
        <v>-0.00975</v>
      </c>
      <c r="D161" s="10">
        <f>IFERROR(ROUND(T159*0.5,2.5),"")</f>
        <v/>
      </c>
      <c r="E161" s="10">
        <f>IFERROR(ROUND(T159*0.7,2.5),"")</f>
        <v/>
      </c>
      <c r="F161" s="10">
        <f>E161</f>
        <v/>
      </c>
      <c r="G161" s="9" t="n"/>
      <c r="H161" s="10">
        <f>IF(F161="","",B161+C161*F161)</f>
        <v/>
      </c>
      <c r="I161" s="10">
        <f>IF(OR(G161="",H161=""),"",G161-H161)</f>
        <v/>
      </c>
      <c r="J161" s="10">
        <f>IF(I161="","",IF(I161&gt;0.08,5,IF(I161&gt;0.04,2.5,IF(I161&gt;=-0.04,0,IF(I161&gt;=-0.08,-2.5,-5)))))</f>
        <v/>
      </c>
      <c r="K161" s="10">
        <f>IFERROR(ROUND(T159+J161,2.5),"")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8" t="inlineStr">
        <is>
          <t>组次</t>
        </is>
      </c>
      <c r="B162" s="8" t="inlineStr">
        <is>
          <t>负荷kg</t>
        </is>
      </c>
      <c r="C162" s="8" t="inlineStr">
        <is>
          <t>rep1</t>
        </is>
      </c>
      <c r="D162" s="8" t="inlineStr">
        <is>
          <t>rep2</t>
        </is>
      </c>
      <c r="E162" s="8" t="inlineStr">
        <is>
          <t>rep3</t>
        </is>
      </c>
      <c r="F162" s="8" t="inlineStr">
        <is>
          <t>rep4</t>
        </is>
      </c>
      <c r="G162" s="8" t="inlineStr">
        <is>
          <t>rep5</t>
        </is>
      </c>
      <c r="H162" s="8" t="inlineStr">
        <is>
          <t>rep6</t>
        </is>
      </c>
      <c r="I162" s="8" t="inlineStr">
        <is>
          <t>首rep</t>
        </is>
      </c>
      <c r="J162" s="8" t="inlineStr">
        <is>
          <t>最低速</t>
        </is>
      </c>
      <c r="K162" s="8" t="inlineStr">
        <is>
          <t>最低rep#</t>
        </is>
      </c>
      <c r="L162" s="8" t="inlineStr">
        <is>
          <t>VL%</t>
        </is>
      </c>
      <c r="M162" s="8" t="inlineStr">
        <is>
          <t>VL达标?</t>
        </is>
      </c>
      <c r="N162" s="8" t="inlineStr">
        <is>
          <t>安全停止?</t>
        </is>
      </c>
      <c r="O162" s="8" t="inlineStr">
        <is>
          <t>停组原因</t>
        </is>
      </c>
      <c r="P162" s="8" t="inlineStr">
        <is>
          <t>下组建议</t>
        </is>
      </c>
      <c r="Q162" s="8" t="inlineStr">
        <is>
          <t>实做次数</t>
        </is>
      </c>
    </row>
    <row r="163">
      <c r="A163" s="12" t="n">
        <v>1</v>
      </c>
      <c r="B163" s="10">
        <f>IF(K161="","",K161)</f>
        <v/>
      </c>
      <c r="C163" s="9" t="n"/>
      <c r="D163" s="9" t="n"/>
      <c r="E163" s="9" t="n"/>
      <c r="F163" s="9" t="n"/>
      <c r="G163" s="9" t="n"/>
      <c r="H163" s="9" t="n"/>
      <c r="I163" s="10">
        <f>IFERROR(INDEX(C163:H163,MATCH(TRUE,INDEX(C163:H163&lt;&gt;"",0),0)),"")</f>
        <v/>
      </c>
      <c r="J163" s="10">
        <f>IFERROR(MIN(IF(C163:H163&lt;&gt;"",C163:H163)),"")</f>
        <v/>
      </c>
      <c r="K163" s="10">
        <f>IFERROR(MATCH(I163,C163:H163,0),"")</f>
        <v/>
      </c>
      <c r="L163" s="10">
        <f>IF(OR(I163="",J163=""),"",ROUND((I163-J163)/I163*100,1))</f>
        <v/>
      </c>
      <c r="M163" s="10">
        <f>IF(L163="","",IF(L163&gt;=18,"是","否"))</f>
        <v/>
      </c>
      <c r="N163" s="10">
        <f>IF(J163="","",IF(J163&lt;0.15,"是","否"))</f>
        <v/>
      </c>
      <c r="O163" s="10">
        <f>IF(I163="","",IF(J163&lt;0.15,"SAFETY_STOP",IF(L163&gt;=18,"VL_THRESHOLD","PLANNED_END")))</f>
        <v/>
      </c>
      <c r="P163" s="10">
        <f>IF(I163="","",IF(I163&gt;($D$2+0.05),"+5kg",IF(I163&gt;($D$2+0.02),"+2.5kg",IF(I163&gt;=($D$2-0.05),"保持",IF(I163&gt;=($D$2-0.08),"-2.5kg","-5kg")))))</f>
        <v/>
      </c>
      <c r="Q163" s="9" t="n"/>
      <c r="R163" s="12" t="n"/>
      <c r="S163" s="12" t="n"/>
      <c r="T163" s="12" t="n"/>
    </row>
    <row r="164">
      <c r="A164" s="12" t="n">
        <v>2</v>
      </c>
      <c r="B164" s="9" t="n"/>
      <c r="C164" s="9" t="n"/>
      <c r="D164" s="9" t="n"/>
      <c r="E164" s="9" t="n"/>
      <c r="F164" s="9" t="n"/>
      <c r="G164" s="9" t="n"/>
      <c r="H164" s="9" t="n"/>
      <c r="I164" s="10">
        <f>IFERROR(INDEX(C164:H164,MATCH(TRUE,INDEX(C164:H164&lt;&gt;"",0),0)),"")</f>
        <v/>
      </c>
      <c r="J164" s="10">
        <f>IFERROR(MIN(IF(C164:H164&lt;&gt;"",C164:H164)),"")</f>
        <v/>
      </c>
      <c r="K164" s="10">
        <f>IFERROR(MATCH(I164,C164:H164,0),"")</f>
        <v/>
      </c>
      <c r="L164" s="10">
        <f>IF(OR(I164="",J164=""),"",ROUND((I164-J164)/I164*100,1))</f>
        <v/>
      </c>
      <c r="M164" s="10">
        <f>IF(L164="","",IF(L164&gt;=18,"是","否"))</f>
        <v/>
      </c>
      <c r="N164" s="10">
        <f>IF(J164="","",IF(J164&lt;0.15,"是","否"))</f>
        <v/>
      </c>
      <c r="O164" s="10">
        <f>IF(I164="","",IF(J164&lt;0.15,"SAFETY_STOP",IF(L164&gt;=18,"VL_THRESHOLD","PLANNED_END")))</f>
        <v/>
      </c>
      <c r="P164" s="10">
        <f>IF(I164="","",IF(I164&gt;($D$2+0.05),"+5kg",IF(I164&gt;($D$2+0.02),"+2.5kg",IF(I164&gt;=($D$2-0.05),"保持",IF(I164&gt;=($D$2-0.08),"-2.5kg","-5kg")))))</f>
        <v/>
      </c>
      <c r="Q164" s="9" t="n"/>
      <c r="R164" s="12" t="n"/>
      <c r="S164" s="12" t="n"/>
      <c r="T164" s="12" t="n"/>
    </row>
    <row r="165">
      <c r="A165" s="12" t="n">
        <v>3</v>
      </c>
      <c r="B165" s="9" t="n"/>
      <c r="C165" s="9" t="n"/>
      <c r="D165" s="9" t="n"/>
      <c r="E165" s="9" t="n"/>
      <c r="F165" s="9" t="n"/>
      <c r="G165" s="9" t="n"/>
      <c r="H165" s="9" t="n"/>
      <c r="I165" s="10">
        <f>IFERROR(INDEX(C165:H165,MATCH(TRUE,INDEX(C165:H165&lt;&gt;"",0),0)),"")</f>
        <v/>
      </c>
      <c r="J165" s="10">
        <f>IFERROR(MIN(IF(C165:H165&lt;&gt;"",C165:H165)),"")</f>
        <v/>
      </c>
      <c r="K165" s="10">
        <f>IFERROR(MATCH(I165,C165:H165,0),"")</f>
        <v/>
      </c>
      <c r="L165" s="10">
        <f>IF(OR(I165="",J165=""),"",ROUND((I165-J165)/I165*100,1))</f>
        <v/>
      </c>
      <c r="M165" s="10">
        <f>IF(L165="","",IF(L165&gt;=18,"是","否"))</f>
        <v/>
      </c>
      <c r="N165" s="10">
        <f>IF(J165="","",IF(J165&lt;0.15,"是","否"))</f>
        <v/>
      </c>
      <c r="O165" s="10">
        <f>IF(I165="","",IF(J165&lt;0.15,"SAFETY_STOP",IF(L165&gt;=18,"VL_THRESHOLD","PLANNED_END")))</f>
        <v/>
      </c>
      <c r="P165" s="10">
        <f>IF(I165="","",IF(I165&gt;($D$2+0.05),"+5kg",IF(I165&gt;($D$2+0.02),"+2.5kg",IF(I165&gt;=($D$2-0.05),"保持",IF(I165&gt;=($D$2-0.08),"-2.5kg","-5kg")))))</f>
        <v/>
      </c>
      <c r="Q165" s="9" t="n"/>
      <c r="R165" s="12" t="n"/>
      <c r="S165" s="12" t="n"/>
      <c r="T165" s="12" t="n"/>
    </row>
    <row r="166">
      <c r="A166" s="12" t="n">
        <v>4</v>
      </c>
      <c r="B166" s="9" t="n"/>
      <c r="C166" s="9" t="n"/>
      <c r="D166" s="9" t="n"/>
      <c r="E166" s="9" t="n"/>
      <c r="F166" s="9" t="n"/>
      <c r="G166" s="9" t="n"/>
      <c r="H166" s="9" t="n"/>
      <c r="I166" s="10">
        <f>IFERROR(INDEX(C166:H166,MATCH(TRUE,INDEX(C166:H166&lt;&gt;"",0),0)),"")</f>
        <v/>
      </c>
      <c r="J166" s="10">
        <f>IFERROR(MIN(IF(C166:H166&lt;&gt;"",C166:H166)),"")</f>
        <v/>
      </c>
      <c r="K166" s="10">
        <f>IFERROR(MATCH(I166,C166:H166,0),"")</f>
        <v/>
      </c>
      <c r="L166" s="10">
        <f>IF(OR(I166="",J166=""),"",ROUND((I166-J166)/I166*100,1))</f>
        <v/>
      </c>
      <c r="M166" s="10">
        <f>IF(L166="","",IF(L166&gt;=18,"是","否"))</f>
        <v/>
      </c>
      <c r="N166" s="10">
        <f>IF(J166="","",IF(J166&lt;0.15,"是","否"))</f>
        <v/>
      </c>
      <c r="O166" s="10">
        <f>IF(I166="","",IF(J166&lt;0.15,"SAFETY_STOP",IF(L166&gt;=18,"VL_THRESHOLD","PLANNED_END")))</f>
        <v/>
      </c>
      <c r="P166" s="10">
        <f>IF(I166="","",IF(I166&gt;($D$2+0.05),"+5kg",IF(I166&gt;($D$2+0.02),"+2.5kg",IF(I166&gt;=($D$2-0.05),"保持",IF(I166&gt;=($D$2-0.08),"-2.5kg","-5kg")))))</f>
        <v/>
      </c>
      <c r="Q166" s="9" t="n"/>
      <c r="R166" s="12" t="n"/>
      <c r="S166" s="12" t="n"/>
      <c r="T166" s="12" t="n"/>
    </row>
    <row r="167">
      <c r="A167" s="12" t="n">
        <v>5</v>
      </c>
      <c r="B167" s="9" t="n"/>
      <c r="C167" s="9" t="n"/>
      <c r="D167" s="9" t="n"/>
      <c r="E167" s="9" t="n"/>
      <c r="F167" s="9" t="n"/>
      <c r="G167" s="9" t="n"/>
      <c r="H167" s="9" t="n"/>
      <c r="I167" s="10">
        <f>IFERROR(INDEX(C167:H167,MATCH(TRUE,INDEX(C167:H167&lt;&gt;"",0),0)),"")</f>
        <v/>
      </c>
      <c r="J167" s="10">
        <f>IFERROR(MIN(IF(C167:H167&lt;&gt;"",C167:H167)),"")</f>
        <v/>
      </c>
      <c r="K167" s="10">
        <f>IFERROR(MATCH(I167,C167:H167,0),"")</f>
        <v/>
      </c>
      <c r="L167" s="10">
        <f>IF(OR(I167="",J167=""),"",ROUND((I167-J167)/I167*100,1))</f>
        <v/>
      </c>
      <c r="M167" s="10">
        <f>IF(L167="","",IF(L167&gt;=18,"是","否"))</f>
        <v/>
      </c>
      <c r="N167" s="10">
        <f>IF(J167="","",IF(J167&lt;0.15,"是","否"))</f>
        <v/>
      </c>
      <c r="O167" s="10">
        <f>IF(I167="","",IF(J167&lt;0.15,"SAFETY_STOP",IF(L167&gt;=18,"VL_THRESHOLD","PLANNED_END")))</f>
        <v/>
      </c>
      <c r="P167" s="10">
        <f>IF(I167="","",IF(I167&gt;($D$2+0.05),"+5kg",IF(I167&gt;($D$2+0.02),"+2.5kg",IF(I167&gt;=($D$2-0.05),"保持",IF(I167&gt;=($D$2-0.08),"-2.5kg","-5kg")))))</f>
        <v/>
      </c>
      <c r="Q167" s="9" t="n"/>
      <c r="R167" s="12" t="n"/>
      <c r="S167" s="12" t="n"/>
      <c r="T167" s="12" t="n"/>
    </row>
    <row r="168">
      <c r="A168" s="12" t="n">
        <v>6</v>
      </c>
      <c r="B168" s="9" t="n"/>
      <c r="C168" s="9" t="n"/>
      <c r="D168" s="9" t="n"/>
      <c r="E168" s="9" t="n"/>
      <c r="F168" s="9" t="n"/>
      <c r="G168" s="9" t="n"/>
      <c r="H168" s="9" t="n"/>
      <c r="I168" s="10">
        <f>IFERROR(INDEX(C168:H168,MATCH(TRUE,INDEX(C168:H168&lt;&gt;"",0),0)),"")</f>
        <v/>
      </c>
      <c r="J168" s="10">
        <f>IFERROR(MIN(IF(C168:H168&lt;&gt;"",C168:H168)),"")</f>
        <v/>
      </c>
      <c r="K168" s="10">
        <f>IFERROR(MATCH(I168,C168:H168,0),"")</f>
        <v/>
      </c>
      <c r="L168" s="10">
        <f>IF(OR(I168="",J168=""),"",ROUND((I168-J168)/I168*100,1))</f>
        <v/>
      </c>
      <c r="M168" s="10">
        <f>IF(L168="","",IF(L168&gt;=18,"是","否"))</f>
        <v/>
      </c>
      <c r="N168" s="10">
        <f>IF(J168="","",IF(J168&lt;0.15,"是","否"))</f>
        <v/>
      </c>
      <c r="O168" s="10">
        <f>IF(I168="","",IF(J168&lt;0.15,"SAFETY_STOP",IF(L168&gt;=18,"VL_THRESHOLD","PLANNED_END")))</f>
        <v/>
      </c>
      <c r="P168" s="10">
        <f>IF(I168="","",IF(I168&gt;($D$2+0.05),"+5kg",IF(I168&gt;($D$2+0.02),"+2.5kg",IF(I168&gt;=($D$2-0.05),"保持",IF(I168&gt;=($D$2-0.08),"-2.5kg","-5kg")))))</f>
        <v/>
      </c>
      <c r="Q168" s="9" t="n"/>
      <c r="R168" s="12" t="n"/>
      <c r="S168" s="12" t="n"/>
      <c r="T168" s="12" t="n"/>
    </row>
    <row r="169">
      <c r="A169" s="8" t="inlineStr">
        <is>
          <t>辅助动作</t>
        </is>
      </c>
      <c r="B169" s="8" t="inlineStr">
        <is>
          <t>动作名称</t>
        </is>
      </c>
      <c r="C169" s="8" t="inlineStr">
        <is>
          <t>负荷kg</t>
        </is>
      </c>
      <c r="D169" s="8" t="inlineStr">
        <is>
          <t>完成(组×次)</t>
        </is>
      </c>
    </row>
    <row r="170">
      <c r="A170" s="9" t="inlineStr"/>
      <c r="B170" s="9" t="n"/>
      <c r="C170" s="9" t="n"/>
      <c r="D170" s="9" t="n"/>
    </row>
    <row r="171">
      <c r="A171" s="8" t="inlineStr">
        <is>
          <t>训练后</t>
        </is>
      </c>
      <c r="B171" s="8" t="inlineStr">
        <is>
          <t>开始时间</t>
        </is>
      </c>
      <c r="C171" s="8" t="inlineStr">
        <is>
          <t>结束时间</t>
        </is>
      </c>
      <c r="D171" s="8" t="inlineStr">
        <is>
          <t>总时长min</t>
        </is>
      </c>
      <c r="E171" s="8" t="inlineStr">
        <is>
          <t>sRPE</t>
        </is>
      </c>
      <c r="F171" s="8" t="inlineStr">
        <is>
          <t>session_load</t>
        </is>
      </c>
      <c r="G171" s="8" t="inlineStr">
        <is>
          <t>有无不适</t>
        </is>
      </c>
      <c r="H171" s="8" t="inlineStr">
        <is>
          <t>备注</t>
        </is>
      </c>
      <c r="I171" s="8" t="inlineStr">
        <is>
          <t>研究员签名</t>
        </is>
      </c>
    </row>
    <row r="172">
      <c r="A172" s="13" t="inlineStr"/>
      <c r="B172" s="13" t="n"/>
      <c r="C172" s="13" t="n"/>
      <c r="D172" s="10">
        <f>IF(OR(B172="",C172=""),"",(C172-B172)*1440)</f>
        <v/>
      </c>
      <c r="E172" s="13" t="n"/>
      <c r="F172" s="10">
        <f>IF(OR(D172="",E172=""),"",D172*E172)</f>
        <v/>
      </c>
      <c r="G172" s="13" t="n"/>
      <c r="H172" s="13" t="n"/>
      <c r="I172" s="13" t="n"/>
    </row>
    <row r="174">
      <c r="A174" s="5" t="inlineStr">
        <is>
          <t>── P010 张锦荣 ──────────────────────────────────────────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" t="n"/>
    </row>
    <row r="175">
      <c r="A175" s="8" t="inlineStr">
        <is>
          <t>编号</t>
        </is>
      </c>
      <c r="B175" s="8" t="inlineStr">
        <is>
          <t>姓名</t>
        </is>
      </c>
      <c r="C175" s="8" t="inlineStr">
        <is>
          <t>身高</t>
        </is>
      </c>
      <c r="D175" s="8" t="inlineStr">
        <is>
          <t>1RM</t>
        </is>
      </c>
      <c r="E175" s="8" t="inlineStr">
        <is>
          <t>睡眠</t>
        </is>
      </c>
      <c r="F175" s="8" t="inlineStr">
        <is>
          <t>压力</t>
        </is>
      </c>
      <c r="G175" s="8" t="inlineStr">
        <is>
          <t>疲劳</t>
        </is>
      </c>
      <c r="H175" s="8" t="inlineStr">
        <is>
          <t>酸痛</t>
        </is>
      </c>
      <c r="I175" s="8" t="inlineStr">
        <is>
          <t>Hooper总</t>
        </is>
      </c>
      <c r="J175" s="8" t="inlineStr">
        <is>
          <t>CMJ1</t>
        </is>
      </c>
      <c r="K175" s="8" t="inlineStr">
        <is>
          <t>CMJ2</t>
        </is>
      </c>
      <c r="L175" s="8" t="inlineStr">
        <is>
          <t>CMJ3</t>
        </is>
      </c>
      <c r="M175" s="8" t="inlineStr">
        <is>
          <t>CMJ均值</t>
        </is>
      </c>
      <c r="N175" s="8" t="inlineStr">
        <is>
          <t>&lt;95%?</t>
        </is>
      </c>
      <c r="O175" s="8" t="inlineStr">
        <is>
          <t>减组?</t>
        </is>
      </c>
      <c r="P175" s="8" t="inlineStr">
        <is>
          <t>实做组数</t>
        </is>
      </c>
      <c r="Q175" s="8" t="inlineStr">
        <is>
          <t>LVP_a</t>
        </is>
      </c>
      <c r="R175" s="8" t="inlineStr">
        <is>
          <t>LVP_b</t>
        </is>
      </c>
      <c r="S175" s="8" t="inlineStr">
        <is>
          <t>等级</t>
        </is>
      </c>
      <c r="T175" s="8" t="inlineStr">
        <is>
          <t>预测起始</t>
        </is>
      </c>
    </row>
    <row r="176">
      <c r="A176" s="9" t="inlineStr">
        <is>
          <t>P010</t>
        </is>
      </c>
      <c r="B176" s="9" t="inlineStr">
        <is>
          <t>张锦荣</t>
        </is>
      </c>
      <c r="C176" s="9" t="n">
        <v>174</v>
      </c>
      <c r="D176" s="9" t="n">
        <v>120</v>
      </c>
      <c r="E176" s="9" t="n"/>
      <c r="F176" s="9" t="n"/>
      <c r="G176" s="9" t="n"/>
      <c r="H176" s="9" t="n"/>
      <c r="I176" s="10">
        <f>IFERROR(SUM(E176:H176),"")</f>
        <v/>
      </c>
      <c r="J176" s="9" t="n"/>
      <c r="K176" s="9" t="n"/>
      <c r="L176" s="9" t="n"/>
      <c r="M176" s="10">
        <f>IFERROR(AVERAGE(J176:L176),"")</f>
        <v/>
      </c>
      <c r="N176" s="10">
        <f>IF(M176="","",IF(M176&lt;50.42,"是⚠","否"))</f>
        <v/>
      </c>
      <c r="O176" s="10">
        <f>IF(M176="","",IF(M176&lt;50.42,"减1组","正常"))</f>
        <v/>
      </c>
      <c r="P176" s="10">
        <f>IF(M176="","",IF(M176&lt;50.42,4-1,4))</f>
        <v/>
      </c>
      <c r="Q176" s="9" t="n">
        <v>1.26</v>
      </c>
      <c r="R176" s="9" t="n">
        <v>-0.006</v>
      </c>
      <c r="S176" s="9" t="inlineStr">
        <is>
          <t>B</t>
        </is>
      </c>
      <c r="T176" s="10">
        <f>IFERROR(ROUND((0.6-1.26)/-0.006,0.5),"")</f>
        <v/>
      </c>
    </row>
    <row r="177">
      <c r="A177" s="8" t="inlineStr">
        <is>
          <t>热身校准</t>
        </is>
      </c>
      <c r="B177" s="8" t="inlineStr">
        <is>
          <t>LVP_a</t>
        </is>
      </c>
      <c r="C177" s="8" t="inlineStr">
        <is>
          <t>LVP_b</t>
        </is>
      </c>
      <c r="D177" s="8" t="inlineStr">
        <is>
          <t>50%热身kg</t>
        </is>
      </c>
      <c r="E177" s="8" t="inlineStr">
        <is>
          <t>70%热身kg</t>
        </is>
      </c>
      <c r="F177" s="8" t="inlineStr">
        <is>
          <t>热身负荷kg</t>
        </is>
      </c>
      <c r="G177" s="8" t="inlineStr">
        <is>
          <t>实测MCV</t>
        </is>
      </c>
      <c r="H177" s="8" t="inlineStr">
        <is>
          <t>预测MCV</t>
        </is>
      </c>
      <c r="I177" s="8" t="inlineStr">
        <is>
          <t>Δv</t>
        </is>
      </c>
      <c r="J177" s="8" t="inlineStr">
        <is>
          <t>调整量kg</t>
        </is>
      </c>
      <c r="K177" s="8" t="inlineStr">
        <is>
          <t>校准后第1组kg</t>
        </is>
      </c>
    </row>
    <row r="178">
      <c r="A178" s="11" t="inlineStr"/>
      <c r="B178" s="11" t="n">
        <v>1.26</v>
      </c>
      <c r="C178" s="11" t="n">
        <v>-0.006</v>
      </c>
      <c r="D178" s="10">
        <f>IFERROR(ROUND(T176*0.5,2.5),"")</f>
        <v/>
      </c>
      <c r="E178" s="10">
        <f>IFERROR(ROUND(T176*0.7,2.5),"")</f>
        <v/>
      </c>
      <c r="F178" s="10">
        <f>E178</f>
        <v/>
      </c>
      <c r="G178" s="9" t="n"/>
      <c r="H178" s="10">
        <f>IF(F178="","",B178+C178*F178)</f>
        <v/>
      </c>
      <c r="I178" s="10">
        <f>IF(OR(G178="",H178=""),"",G178-H178)</f>
        <v/>
      </c>
      <c r="J178" s="10">
        <f>IF(I178="","",IF(I178&gt;0.08,5,IF(I178&gt;0.04,2.5,IF(I178&gt;=-0.04,0,IF(I178&gt;=-0.08,-2.5,-5)))))</f>
        <v/>
      </c>
      <c r="K178" s="10">
        <f>IFERROR(ROUND(T176+J178,2.5),"")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8" t="inlineStr">
        <is>
          <t>组次</t>
        </is>
      </c>
      <c r="B179" s="8" t="inlineStr">
        <is>
          <t>负荷kg</t>
        </is>
      </c>
      <c r="C179" s="8" t="inlineStr">
        <is>
          <t>rep1</t>
        </is>
      </c>
      <c r="D179" s="8" t="inlineStr">
        <is>
          <t>rep2</t>
        </is>
      </c>
      <c r="E179" s="8" t="inlineStr">
        <is>
          <t>rep3</t>
        </is>
      </c>
      <c r="F179" s="8" t="inlineStr">
        <is>
          <t>rep4</t>
        </is>
      </c>
      <c r="G179" s="8" t="inlineStr">
        <is>
          <t>rep5</t>
        </is>
      </c>
      <c r="H179" s="8" t="inlineStr">
        <is>
          <t>rep6</t>
        </is>
      </c>
      <c r="I179" s="8" t="inlineStr">
        <is>
          <t>首rep</t>
        </is>
      </c>
      <c r="J179" s="8" t="inlineStr">
        <is>
          <t>最低速</t>
        </is>
      </c>
      <c r="K179" s="8" t="inlineStr">
        <is>
          <t>最低rep#</t>
        </is>
      </c>
      <c r="L179" s="8" t="inlineStr">
        <is>
          <t>VL%</t>
        </is>
      </c>
      <c r="M179" s="8" t="inlineStr">
        <is>
          <t>VL达标?</t>
        </is>
      </c>
      <c r="N179" s="8" t="inlineStr">
        <is>
          <t>安全停止?</t>
        </is>
      </c>
      <c r="O179" s="8" t="inlineStr">
        <is>
          <t>停组原因</t>
        </is>
      </c>
      <c r="P179" s="8" t="inlineStr">
        <is>
          <t>下组建议</t>
        </is>
      </c>
      <c r="Q179" s="8" t="inlineStr">
        <is>
          <t>实做次数</t>
        </is>
      </c>
    </row>
    <row r="180">
      <c r="A180" s="12" t="n">
        <v>1</v>
      </c>
      <c r="B180" s="10">
        <f>IF(K178="","",K178)</f>
        <v/>
      </c>
      <c r="C180" s="9" t="n"/>
      <c r="D180" s="9" t="n"/>
      <c r="E180" s="9" t="n"/>
      <c r="F180" s="9" t="n"/>
      <c r="G180" s="9" t="n"/>
      <c r="H180" s="9" t="n"/>
      <c r="I180" s="10">
        <f>IFERROR(INDEX(C180:H180,MATCH(TRUE,INDEX(C180:H180&lt;&gt;"",0),0)),"")</f>
        <v/>
      </c>
      <c r="J180" s="10">
        <f>IFERROR(MIN(IF(C180:H180&lt;&gt;"",C180:H180)),"")</f>
        <v/>
      </c>
      <c r="K180" s="10">
        <f>IFERROR(MATCH(I180,C180:H180,0),"")</f>
        <v/>
      </c>
      <c r="L180" s="10">
        <f>IF(OR(I180="",J180=""),"",ROUND((I180-J180)/I180*100,1))</f>
        <v/>
      </c>
      <c r="M180" s="10">
        <f>IF(L180="","",IF(L180&gt;=18,"是","否"))</f>
        <v/>
      </c>
      <c r="N180" s="10">
        <f>IF(J180="","",IF(J180&lt;0.15,"是","否"))</f>
        <v/>
      </c>
      <c r="O180" s="10">
        <f>IF(I180="","",IF(J180&lt;0.15,"SAFETY_STOP",IF(L180&gt;=18,"VL_THRESHOLD","PLANNED_END")))</f>
        <v/>
      </c>
      <c r="P180" s="10">
        <f>IF(I180="","",IF(I180&gt;($D$2+0.05),"+5kg",IF(I180&gt;($D$2+0.02),"+2.5kg",IF(I180&gt;=($D$2-0.05),"保持",IF(I180&gt;=($D$2-0.08),"-2.5kg","-5kg")))))</f>
        <v/>
      </c>
      <c r="Q180" s="9" t="n"/>
      <c r="R180" s="12" t="n"/>
      <c r="S180" s="12" t="n"/>
      <c r="T180" s="12" t="n"/>
    </row>
    <row r="181">
      <c r="A181" s="12" t="n">
        <v>2</v>
      </c>
      <c r="B181" s="9" t="n"/>
      <c r="C181" s="9" t="n"/>
      <c r="D181" s="9" t="n"/>
      <c r="E181" s="9" t="n"/>
      <c r="F181" s="9" t="n"/>
      <c r="G181" s="9" t="n"/>
      <c r="H181" s="9" t="n"/>
      <c r="I181" s="10">
        <f>IFERROR(INDEX(C181:H181,MATCH(TRUE,INDEX(C181:H181&lt;&gt;"",0),0)),"")</f>
        <v/>
      </c>
      <c r="J181" s="10">
        <f>IFERROR(MIN(IF(C181:H181&lt;&gt;"",C181:H181)),"")</f>
        <v/>
      </c>
      <c r="K181" s="10">
        <f>IFERROR(MATCH(I181,C181:H181,0),"")</f>
        <v/>
      </c>
      <c r="L181" s="10">
        <f>IF(OR(I181="",J181=""),"",ROUND((I181-J181)/I181*100,1))</f>
        <v/>
      </c>
      <c r="M181" s="10">
        <f>IF(L181="","",IF(L181&gt;=18,"是","否"))</f>
        <v/>
      </c>
      <c r="N181" s="10">
        <f>IF(J181="","",IF(J181&lt;0.15,"是","否"))</f>
        <v/>
      </c>
      <c r="O181" s="10">
        <f>IF(I181="","",IF(J181&lt;0.15,"SAFETY_STOP",IF(L181&gt;=18,"VL_THRESHOLD","PLANNED_END")))</f>
        <v/>
      </c>
      <c r="P181" s="10">
        <f>IF(I181="","",IF(I181&gt;($D$2+0.05),"+5kg",IF(I181&gt;($D$2+0.02),"+2.5kg",IF(I181&gt;=($D$2-0.05),"保持",IF(I181&gt;=($D$2-0.08),"-2.5kg","-5kg")))))</f>
        <v/>
      </c>
      <c r="Q181" s="9" t="n"/>
      <c r="R181" s="12" t="n"/>
      <c r="S181" s="12" t="n"/>
      <c r="T181" s="12" t="n"/>
    </row>
    <row r="182">
      <c r="A182" s="12" t="n">
        <v>3</v>
      </c>
      <c r="B182" s="9" t="n"/>
      <c r="C182" s="9" t="n"/>
      <c r="D182" s="9" t="n"/>
      <c r="E182" s="9" t="n"/>
      <c r="F182" s="9" t="n"/>
      <c r="G182" s="9" t="n"/>
      <c r="H182" s="9" t="n"/>
      <c r="I182" s="10">
        <f>IFERROR(INDEX(C182:H182,MATCH(TRUE,INDEX(C182:H182&lt;&gt;"",0),0)),"")</f>
        <v/>
      </c>
      <c r="J182" s="10">
        <f>IFERROR(MIN(IF(C182:H182&lt;&gt;"",C182:H182)),"")</f>
        <v/>
      </c>
      <c r="K182" s="10">
        <f>IFERROR(MATCH(I182,C182:H182,0),"")</f>
        <v/>
      </c>
      <c r="L182" s="10">
        <f>IF(OR(I182="",J182=""),"",ROUND((I182-J182)/I182*100,1))</f>
        <v/>
      </c>
      <c r="M182" s="10">
        <f>IF(L182="","",IF(L182&gt;=18,"是","否"))</f>
        <v/>
      </c>
      <c r="N182" s="10">
        <f>IF(J182="","",IF(J182&lt;0.15,"是","否"))</f>
        <v/>
      </c>
      <c r="O182" s="10">
        <f>IF(I182="","",IF(J182&lt;0.15,"SAFETY_STOP",IF(L182&gt;=18,"VL_THRESHOLD","PLANNED_END")))</f>
        <v/>
      </c>
      <c r="P182" s="10">
        <f>IF(I182="","",IF(I182&gt;($D$2+0.05),"+5kg",IF(I182&gt;($D$2+0.02),"+2.5kg",IF(I182&gt;=($D$2-0.05),"保持",IF(I182&gt;=($D$2-0.08),"-2.5kg","-5kg")))))</f>
        <v/>
      </c>
      <c r="Q182" s="9" t="n"/>
      <c r="R182" s="12" t="n"/>
      <c r="S182" s="12" t="n"/>
      <c r="T182" s="12" t="n"/>
    </row>
    <row r="183">
      <c r="A183" s="12" t="n">
        <v>4</v>
      </c>
      <c r="B183" s="9" t="n"/>
      <c r="C183" s="9" t="n"/>
      <c r="D183" s="9" t="n"/>
      <c r="E183" s="9" t="n"/>
      <c r="F183" s="9" t="n"/>
      <c r="G183" s="9" t="n"/>
      <c r="H183" s="9" t="n"/>
      <c r="I183" s="10">
        <f>IFERROR(INDEX(C183:H183,MATCH(TRUE,INDEX(C183:H183&lt;&gt;"",0),0)),"")</f>
        <v/>
      </c>
      <c r="J183" s="10">
        <f>IFERROR(MIN(IF(C183:H183&lt;&gt;"",C183:H183)),"")</f>
        <v/>
      </c>
      <c r="K183" s="10">
        <f>IFERROR(MATCH(I183,C183:H183,0),"")</f>
        <v/>
      </c>
      <c r="L183" s="10">
        <f>IF(OR(I183="",J183=""),"",ROUND((I183-J183)/I183*100,1))</f>
        <v/>
      </c>
      <c r="M183" s="10">
        <f>IF(L183="","",IF(L183&gt;=18,"是","否"))</f>
        <v/>
      </c>
      <c r="N183" s="10">
        <f>IF(J183="","",IF(J183&lt;0.15,"是","否"))</f>
        <v/>
      </c>
      <c r="O183" s="10">
        <f>IF(I183="","",IF(J183&lt;0.15,"SAFETY_STOP",IF(L183&gt;=18,"VL_THRESHOLD","PLANNED_END")))</f>
        <v/>
      </c>
      <c r="P183" s="10">
        <f>IF(I183="","",IF(I183&gt;($D$2+0.05),"+5kg",IF(I183&gt;($D$2+0.02),"+2.5kg",IF(I183&gt;=($D$2-0.05),"保持",IF(I183&gt;=($D$2-0.08),"-2.5kg","-5kg")))))</f>
        <v/>
      </c>
      <c r="Q183" s="9" t="n"/>
      <c r="R183" s="12" t="n"/>
      <c r="S183" s="12" t="n"/>
      <c r="T183" s="12" t="n"/>
    </row>
    <row r="184">
      <c r="A184" s="12" t="n">
        <v>5</v>
      </c>
      <c r="B184" s="9" t="n"/>
      <c r="C184" s="9" t="n"/>
      <c r="D184" s="9" t="n"/>
      <c r="E184" s="9" t="n"/>
      <c r="F184" s="9" t="n"/>
      <c r="G184" s="9" t="n"/>
      <c r="H184" s="9" t="n"/>
      <c r="I184" s="10">
        <f>IFERROR(INDEX(C184:H184,MATCH(TRUE,INDEX(C184:H184&lt;&gt;"",0),0)),"")</f>
        <v/>
      </c>
      <c r="J184" s="10">
        <f>IFERROR(MIN(IF(C184:H184&lt;&gt;"",C184:H184)),"")</f>
        <v/>
      </c>
      <c r="K184" s="10">
        <f>IFERROR(MATCH(I184,C184:H184,0),"")</f>
        <v/>
      </c>
      <c r="L184" s="10">
        <f>IF(OR(I184="",J184=""),"",ROUND((I184-J184)/I184*100,1))</f>
        <v/>
      </c>
      <c r="M184" s="10">
        <f>IF(L184="","",IF(L184&gt;=18,"是","否"))</f>
        <v/>
      </c>
      <c r="N184" s="10">
        <f>IF(J184="","",IF(J184&lt;0.15,"是","否"))</f>
        <v/>
      </c>
      <c r="O184" s="10">
        <f>IF(I184="","",IF(J184&lt;0.15,"SAFETY_STOP",IF(L184&gt;=18,"VL_THRESHOLD","PLANNED_END")))</f>
        <v/>
      </c>
      <c r="P184" s="10">
        <f>IF(I184="","",IF(I184&gt;($D$2+0.05),"+5kg",IF(I184&gt;($D$2+0.02),"+2.5kg",IF(I184&gt;=($D$2-0.05),"保持",IF(I184&gt;=($D$2-0.08),"-2.5kg","-5kg")))))</f>
        <v/>
      </c>
      <c r="Q184" s="9" t="n"/>
      <c r="R184" s="12" t="n"/>
      <c r="S184" s="12" t="n"/>
      <c r="T184" s="12" t="n"/>
    </row>
    <row r="185">
      <c r="A185" s="12" t="n">
        <v>6</v>
      </c>
      <c r="B185" s="9" t="n"/>
      <c r="C185" s="9" t="n"/>
      <c r="D185" s="9" t="n"/>
      <c r="E185" s="9" t="n"/>
      <c r="F185" s="9" t="n"/>
      <c r="G185" s="9" t="n"/>
      <c r="H185" s="9" t="n"/>
      <c r="I185" s="10">
        <f>IFERROR(INDEX(C185:H185,MATCH(TRUE,INDEX(C185:H185&lt;&gt;"",0),0)),"")</f>
        <v/>
      </c>
      <c r="J185" s="10">
        <f>IFERROR(MIN(IF(C185:H185&lt;&gt;"",C185:H185)),"")</f>
        <v/>
      </c>
      <c r="K185" s="10">
        <f>IFERROR(MATCH(I185,C185:H185,0),"")</f>
        <v/>
      </c>
      <c r="L185" s="10">
        <f>IF(OR(I185="",J185=""),"",ROUND((I185-J185)/I185*100,1))</f>
        <v/>
      </c>
      <c r="M185" s="10">
        <f>IF(L185="","",IF(L185&gt;=18,"是","否"))</f>
        <v/>
      </c>
      <c r="N185" s="10">
        <f>IF(J185="","",IF(J185&lt;0.15,"是","否"))</f>
        <v/>
      </c>
      <c r="O185" s="10">
        <f>IF(I185="","",IF(J185&lt;0.15,"SAFETY_STOP",IF(L185&gt;=18,"VL_THRESHOLD","PLANNED_END")))</f>
        <v/>
      </c>
      <c r="P185" s="10">
        <f>IF(I185="","",IF(I185&gt;($D$2+0.05),"+5kg",IF(I185&gt;($D$2+0.02),"+2.5kg",IF(I185&gt;=($D$2-0.05),"保持",IF(I185&gt;=($D$2-0.08),"-2.5kg","-5kg")))))</f>
        <v/>
      </c>
      <c r="Q185" s="9" t="n"/>
      <c r="R185" s="12" t="n"/>
      <c r="S185" s="12" t="n"/>
      <c r="T185" s="12" t="n"/>
    </row>
    <row r="186">
      <c r="A186" s="8" t="inlineStr">
        <is>
          <t>辅助动作</t>
        </is>
      </c>
      <c r="B186" s="8" t="inlineStr">
        <is>
          <t>动作名称</t>
        </is>
      </c>
      <c r="C186" s="8" t="inlineStr">
        <is>
          <t>负荷kg</t>
        </is>
      </c>
      <c r="D186" s="8" t="inlineStr">
        <is>
          <t>完成(组×次)</t>
        </is>
      </c>
    </row>
    <row r="187">
      <c r="A187" s="9" t="inlineStr"/>
      <c r="B187" s="9" t="n"/>
      <c r="C187" s="9" t="n"/>
      <c r="D187" s="9" t="n"/>
    </row>
    <row r="188">
      <c r="A188" s="8" t="inlineStr">
        <is>
          <t>训练后</t>
        </is>
      </c>
      <c r="B188" s="8" t="inlineStr">
        <is>
          <t>开始时间</t>
        </is>
      </c>
      <c r="C188" s="8" t="inlineStr">
        <is>
          <t>结束时间</t>
        </is>
      </c>
      <c r="D188" s="8" t="inlineStr">
        <is>
          <t>总时长min</t>
        </is>
      </c>
      <c r="E188" s="8" t="inlineStr">
        <is>
          <t>sRPE</t>
        </is>
      </c>
      <c r="F188" s="8" t="inlineStr">
        <is>
          <t>session_load</t>
        </is>
      </c>
      <c r="G188" s="8" t="inlineStr">
        <is>
          <t>有无不适</t>
        </is>
      </c>
      <c r="H188" s="8" t="inlineStr">
        <is>
          <t>备注</t>
        </is>
      </c>
      <c r="I188" s="8" t="inlineStr">
        <is>
          <t>研究员签名</t>
        </is>
      </c>
    </row>
    <row r="189">
      <c r="A189" s="13" t="inlineStr"/>
      <c r="B189" s="13" t="n"/>
      <c r="C189" s="13" t="n"/>
      <c r="D189" s="10">
        <f>IF(OR(B189="",C189=""),"",(C189-B189)*1440)</f>
        <v/>
      </c>
      <c r="E189" s="13" t="n"/>
      <c r="F189" s="10">
        <f>IF(OR(D189="",E189=""),"",D189*E189)</f>
        <v/>
      </c>
      <c r="G189" s="13" t="n"/>
      <c r="H189" s="13" t="n"/>
      <c r="I189" s="13" t="n"/>
    </row>
    <row r="191">
      <c r="A191" s="5" t="inlineStr">
        <is>
          <t>── P009 王宏池 ──────────────────────────────────────────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7" t="n"/>
    </row>
    <row r="192">
      <c r="A192" s="8" t="inlineStr">
        <is>
          <t>编号</t>
        </is>
      </c>
      <c r="B192" s="8" t="inlineStr">
        <is>
          <t>姓名</t>
        </is>
      </c>
      <c r="C192" s="8" t="inlineStr">
        <is>
          <t>身高</t>
        </is>
      </c>
      <c r="D192" s="8" t="inlineStr">
        <is>
          <t>1RM</t>
        </is>
      </c>
      <c r="E192" s="8" t="inlineStr">
        <is>
          <t>睡眠</t>
        </is>
      </c>
      <c r="F192" s="8" t="inlineStr">
        <is>
          <t>压力</t>
        </is>
      </c>
      <c r="G192" s="8" t="inlineStr">
        <is>
          <t>疲劳</t>
        </is>
      </c>
      <c r="H192" s="8" t="inlineStr">
        <is>
          <t>酸痛</t>
        </is>
      </c>
      <c r="I192" s="8" t="inlineStr">
        <is>
          <t>Hooper总</t>
        </is>
      </c>
      <c r="J192" s="8" t="inlineStr">
        <is>
          <t>CMJ1</t>
        </is>
      </c>
      <c r="K192" s="8" t="inlineStr">
        <is>
          <t>CMJ2</t>
        </is>
      </c>
      <c r="L192" s="8" t="inlineStr">
        <is>
          <t>CMJ3</t>
        </is>
      </c>
      <c r="M192" s="8" t="inlineStr">
        <is>
          <t>CMJ均值</t>
        </is>
      </c>
      <c r="N192" s="8" t="inlineStr">
        <is>
          <t>&lt;95%?</t>
        </is>
      </c>
      <c r="O192" s="8" t="inlineStr">
        <is>
          <t>减组?</t>
        </is>
      </c>
      <c r="P192" s="8" t="inlineStr">
        <is>
          <t>实做组数</t>
        </is>
      </c>
      <c r="Q192" s="8" t="inlineStr">
        <is>
          <t>LVP_a</t>
        </is>
      </c>
      <c r="R192" s="8" t="inlineStr">
        <is>
          <t>LVP_b</t>
        </is>
      </c>
      <c r="S192" s="8" t="inlineStr">
        <is>
          <t>等级</t>
        </is>
      </c>
      <c r="T192" s="8" t="inlineStr">
        <is>
          <t>预测起始</t>
        </is>
      </c>
    </row>
    <row r="193">
      <c r="A193" s="9" t="inlineStr">
        <is>
          <t>P009</t>
        </is>
      </c>
      <c r="B193" s="9" t="inlineStr">
        <is>
          <t>王宏池</t>
        </is>
      </c>
      <c r="C193" s="9" t="n">
        <v>185</v>
      </c>
      <c r="D193" s="9" t="n">
        <v>135</v>
      </c>
      <c r="E193" s="9" t="n"/>
      <c r="F193" s="9" t="n"/>
      <c r="G193" s="9" t="n"/>
      <c r="H193" s="9" t="n"/>
      <c r="I193" s="10">
        <f>IFERROR(SUM(E193:H193),"")</f>
        <v/>
      </c>
      <c r="J193" s="9" t="n"/>
      <c r="K193" s="9" t="n"/>
      <c r="L193" s="9" t="n"/>
      <c r="M193" s="10">
        <f>IFERROR(AVERAGE(J193:L193),"")</f>
        <v/>
      </c>
      <c r="N193" s="10">
        <f>IF(M193="","",IF(M193&lt;54.27,"是⚠","否"))</f>
        <v/>
      </c>
      <c r="O193" s="10">
        <f>IF(M193="","",IF(M193&lt;54.27,"减1组","正常"))</f>
        <v/>
      </c>
      <c r="P193" s="10">
        <f>IF(M193="","",IF(M193&lt;54.27,4-1,4))</f>
        <v/>
      </c>
      <c r="Q193" s="9" t="n">
        <v>1.5667</v>
      </c>
      <c r="R193" s="9" t="n">
        <v>-0.008500000000000001</v>
      </c>
      <c r="S193" s="9" t="inlineStr">
        <is>
          <t>B</t>
        </is>
      </c>
      <c r="T193" s="10">
        <f>IFERROR(ROUND((0.6-1.5667)/-0.0085,0.5),"")</f>
        <v/>
      </c>
    </row>
    <row r="194">
      <c r="A194" s="8" t="inlineStr">
        <is>
          <t>热身校准</t>
        </is>
      </c>
      <c r="B194" s="8" t="inlineStr">
        <is>
          <t>LVP_a</t>
        </is>
      </c>
      <c r="C194" s="8" t="inlineStr">
        <is>
          <t>LVP_b</t>
        </is>
      </c>
      <c r="D194" s="8" t="inlineStr">
        <is>
          <t>50%热身kg</t>
        </is>
      </c>
      <c r="E194" s="8" t="inlineStr">
        <is>
          <t>70%热身kg</t>
        </is>
      </c>
      <c r="F194" s="8" t="inlineStr">
        <is>
          <t>热身负荷kg</t>
        </is>
      </c>
      <c r="G194" s="8" t="inlineStr">
        <is>
          <t>实测MCV</t>
        </is>
      </c>
      <c r="H194" s="8" t="inlineStr">
        <is>
          <t>预测MCV</t>
        </is>
      </c>
      <c r="I194" s="8" t="inlineStr">
        <is>
          <t>Δv</t>
        </is>
      </c>
      <c r="J194" s="8" t="inlineStr">
        <is>
          <t>调整量kg</t>
        </is>
      </c>
      <c r="K194" s="8" t="inlineStr">
        <is>
          <t>校准后第1组kg</t>
        </is>
      </c>
    </row>
    <row r="195">
      <c r="A195" s="11" t="inlineStr"/>
      <c r="B195" s="11" t="n">
        <v>1.5667</v>
      </c>
      <c r="C195" s="11" t="n">
        <v>-0.008500000000000001</v>
      </c>
      <c r="D195" s="10">
        <f>IFERROR(ROUND(T193*0.5,2.5),"")</f>
        <v/>
      </c>
      <c r="E195" s="10">
        <f>IFERROR(ROUND(T193*0.7,2.5),"")</f>
        <v/>
      </c>
      <c r="F195" s="10">
        <f>E195</f>
        <v/>
      </c>
      <c r="G195" s="9" t="n"/>
      <c r="H195" s="10">
        <f>IF(F195="","",B195+C195*F195)</f>
        <v/>
      </c>
      <c r="I195" s="10">
        <f>IF(OR(G195="",H195=""),"",G195-H195)</f>
        <v/>
      </c>
      <c r="J195" s="10">
        <f>IF(I195="","",IF(I195&gt;0.08,5,IF(I195&gt;0.04,2.5,IF(I195&gt;=-0.04,0,IF(I195&gt;=-0.08,-2.5,-5)))))</f>
        <v/>
      </c>
      <c r="K195" s="10">
        <f>IFERROR(ROUND(T193+J195,2.5),"")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8" t="inlineStr">
        <is>
          <t>组次</t>
        </is>
      </c>
      <c r="B196" s="8" t="inlineStr">
        <is>
          <t>负荷kg</t>
        </is>
      </c>
      <c r="C196" s="8" t="inlineStr">
        <is>
          <t>rep1</t>
        </is>
      </c>
      <c r="D196" s="8" t="inlineStr">
        <is>
          <t>rep2</t>
        </is>
      </c>
      <c r="E196" s="8" t="inlineStr">
        <is>
          <t>rep3</t>
        </is>
      </c>
      <c r="F196" s="8" t="inlineStr">
        <is>
          <t>rep4</t>
        </is>
      </c>
      <c r="G196" s="8" t="inlineStr">
        <is>
          <t>rep5</t>
        </is>
      </c>
      <c r="H196" s="8" t="inlineStr">
        <is>
          <t>rep6</t>
        </is>
      </c>
      <c r="I196" s="8" t="inlineStr">
        <is>
          <t>首rep</t>
        </is>
      </c>
      <c r="J196" s="8" t="inlineStr">
        <is>
          <t>最低速</t>
        </is>
      </c>
      <c r="K196" s="8" t="inlineStr">
        <is>
          <t>最低rep#</t>
        </is>
      </c>
      <c r="L196" s="8" t="inlineStr">
        <is>
          <t>VL%</t>
        </is>
      </c>
      <c r="M196" s="8" t="inlineStr">
        <is>
          <t>VL达标?</t>
        </is>
      </c>
      <c r="N196" s="8" t="inlineStr">
        <is>
          <t>安全停止?</t>
        </is>
      </c>
      <c r="O196" s="8" t="inlineStr">
        <is>
          <t>停组原因</t>
        </is>
      </c>
      <c r="P196" s="8" t="inlineStr">
        <is>
          <t>下组建议</t>
        </is>
      </c>
      <c r="Q196" s="8" t="inlineStr">
        <is>
          <t>实做次数</t>
        </is>
      </c>
    </row>
    <row r="197">
      <c r="A197" s="12" t="n">
        <v>1</v>
      </c>
      <c r="B197" s="10">
        <f>IF(K195="","",K195)</f>
        <v/>
      </c>
      <c r="C197" s="9" t="n"/>
      <c r="D197" s="9" t="n"/>
      <c r="E197" s="9" t="n"/>
      <c r="F197" s="9" t="n"/>
      <c r="G197" s="9" t="n"/>
      <c r="H197" s="9" t="n"/>
      <c r="I197" s="10">
        <f>IFERROR(INDEX(C197:H197,MATCH(TRUE,INDEX(C197:H197&lt;&gt;"",0),0)),"")</f>
        <v/>
      </c>
      <c r="J197" s="10">
        <f>IFERROR(MIN(IF(C197:H197&lt;&gt;"",C197:H197)),"")</f>
        <v/>
      </c>
      <c r="K197" s="10">
        <f>IFERROR(MATCH(I197,C197:H197,0),"")</f>
        <v/>
      </c>
      <c r="L197" s="10">
        <f>IF(OR(I197="",J197=""),"",ROUND((I197-J197)/I197*100,1))</f>
        <v/>
      </c>
      <c r="M197" s="10">
        <f>IF(L197="","",IF(L197&gt;=18,"是","否"))</f>
        <v/>
      </c>
      <c r="N197" s="10">
        <f>IF(J197="","",IF(J197&lt;0.15,"是","否"))</f>
        <v/>
      </c>
      <c r="O197" s="10">
        <f>IF(I197="","",IF(J197&lt;0.15,"SAFETY_STOP",IF(L197&gt;=18,"VL_THRESHOLD","PLANNED_END")))</f>
        <v/>
      </c>
      <c r="P197" s="10">
        <f>IF(I197="","",IF(I197&gt;($D$2+0.05),"+5kg",IF(I197&gt;($D$2+0.02),"+2.5kg",IF(I197&gt;=($D$2-0.05),"保持",IF(I197&gt;=($D$2-0.08),"-2.5kg","-5kg")))))</f>
        <v/>
      </c>
      <c r="Q197" s="9" t="n"/>
      <c r="R197" s="12" t="n"/>
      <c r="S197" s="12" t="n"/>
      <c r="T197" s="12" t="n"/>
    </row>
    <row r="198">
      <c r="A198" s="12" t="n">
        <v>2</v>
      </c>
      <c r="B198" s="9" t="n"/>
      <c r="C198" s="9" t="n"/>
      <c r="D198" s="9" t="n"/>
      <c r="E198" s="9" t="n"/>
      <c r="F198" s="9" t="n"/>
      <c r="G198" s="9" t="n"/>
      <c r="H198" s="9" t="n"/>
      <c r="I198" s="10">
        <f>IFERROR(INDEX(C198:H198,MATCH(TRUE,INDEX(C198:H198&lt;&gt;"",0),0)),"")</f>
        <v/>
      </c>
      <c r="J198" s="10">
        <f>IFERROR(MIN(IF(C198:H198&lt;&gt;"",C198:H198)),"")</f>
        <v/>
      </c>
      <c r="K198" s="10">
        <f>IFERROR(MATCH(I198,C198:H198,0),"")</f>
        <v/>
      </c>
      <c r="L198" s="10">
        <f>IF(OR(I198="",J198=""),"",ROUND((I198-J198)/I198*100,1))</f>
        <v/>
      </c>
      <c r="M198" s="10">
        <f>IF(L198="","",IF(L198&gt;=18,"是","否"))</f>
        <v/>
      </c>
      <c r="N198" s="10">
        <f>IF(J198="","",IF(J198&lt;0.15,"是","否"))</f>
        <v/>
      </c>
      <c r="O198" s="10">
        <f>IF(I198="","",IF(J198&lt;0.15,"SAFETY_STOP",IF(L198&gt;=18,"VL_THRESHOLD","PLANNED_END")))</f>
        <v/>
      </c>
      <c r="P198" s="10">
        <f>IF(I198="","",IF(I198&gt;($D$2+0.05),"+5kg",IF(I198&gt;($D$2+0.02),"+2.5kg",IF(I198&gt;=($D$2-0.05),"保持",IF(I198&gt;=($D$2-0.08),"-2.5kg","-5kg")))))</f>
        <v/>
      </c>
      <c r="Q198" s="9" t="n"/>
      <c r="R198" s="12" t="n"/>
      <c r="S198" s="12" t="n"/>
      <c r="T198" s="12" t="n"/>
    </row>
    <row r="199">
      <c r="A199" s="12" t="n">
        <v>3</v>
      </c>
      <c r="B199" s="9" t="n"/>
      <c r="C199" s="9" t="n"/>
      <c r="D199" s="9" t="n"/>
      <c r="E199" s="9" t="n"/>
      <c r="F199" s="9" t="n"/>
      <c r="G199" s="9" t="n"/>
      <c r="H199" s="9" t="n"/>
      <c r="I199" s="10">
        <f>IFERROR(INDEX(C199:H199,MATCH(TRUE,INDEX(C199:H199&lt;&gt;"",0),0)),"")</f>
        <v/>
      </c>
      <c r="J199" s="10">
        <f>IFERROR(MIN(IF(C199:H199&lt;&gt;"",C199:H199)),"")</f>
        <v/>
      </c>
      <c r="K199" s="10">
        <f>IFERROR(MATCH(I199,C199:H199,0),"")</f>
        <v/>
      </c>
      <c r="L199" s="10">
        <f>IF(OR(I199="",J199=""),"",ROUND((I199-J199)/I199*100,1))</f>
        <v/>
      </c>
      <c r="M199" s="10">
        <f>IF(L199="","",IF(L199&gt;=18,"是","否"))</f>
        <v/>
      </c>
      <c r="N199" s="10">
        <f>IF(J199="","",IF(J199&lt;0.15,"是","否"))</f>
        <v/>
      </c>
      <c r="O199" s="10">
        <f>IF(I199="","",IF(J199&lt;0.15,"SAFETY_STOP",IF(L199&gt;=18,"VL_THRESHOLD","PLANNED_END")))</f>
        <v/>
      </c>
      <c r="P199" s="10">
        <f>IF(I199="","",IF(I199&gt;($D$2+0.05),"+5kg",IF(I199&gt;($D$2+0.02),"+2.5kg",IF(I199&gt;=($D$2-0.05),"保持",IF(I199&gt;=($D$2-0.08),"-2.5kg","-5kg")))))</f>
        <v/>
      </c>
      <c r="Q199" s="9" t="n"/>
      <c r="R199" s="12" t="n"/>
      <c r="S199" s="12" t="n"/>
      <c r="T199" s="12" t="n"/>
    </row>
    <row r="200">
      <c r="A200" s="12" t="n">
        <v>4</v>
      </c>
      <c r="B200" s="9" t="n"/>
      <c r="C200" s="9" t="n"/>
      <c r="D200" s="9" t="n"/>
      <c r="E200" s="9" t="n"/>
      <c r="F200" s="9" t="n"/>
      <c r="G200" s="9" t="n"/>
      <c r="H200" s="9" t="n"/>
      <c r="I200" s="10">
        <f>IFERROR(INDEX(C200:H200,MATCH(TRUE,INDEX(C200:H200&lt;&gt;"",0),0)),"")</f>
        <v/>
      </c>
      <c r="J200" s="10">
        <f>IFERROR(MIN(IF(C200:H200&lt;&gt;"",C200:H200)),"")</f>
        <v/>
      </c>
      <c r="K200" s="10">
        <f>IFERROR(MATCH(I200,C200:H200,0),"")</f>
        <v/>
      </c>
      <c r="L200" s="10">
        <f>IF(OR(I200="",J200=""),"",ROUND((I200-J200)/I200*100,1))</f>
        <v/>
      </c>
      <c r="M200" s="10">
        <f>IF(L200="","",IF(L200&gt;=18,"是","否"))</f>
        <v/>
      </c>
      <c r="N200" s="10">
        <f>IF(J200="","",IF(J200&lt;0.15,"是","否"))</f>
        <v/>
      </c>
      <c r="O200" s="10">
        <f>IF(I200="","",IF(J200&lt;0.15,"SAFETY_STOP",IF(L200&gt;=18,"VL_THRESHOLD","PLANNED_END")))</f>
        <v/>
      </c>
      <c r="P200" s="10">
        <f>IF(I200="","",IF(I200&gt;($D$2+0.05),"+5kg",IF(I200&gt;($D$2+0.02),"+2.5kg",IF(I200&gt;=($D$2-0.05),"保持",IF(I200&gt;=($D$2-0.08),"-2.5kg","-5kg")))))</f>
        <v/>
      </c>
      <c r="Q200" s="9" t="n"/>
      <c r="R200" s="12" t="n"/>
      <c r="S200" s="12" t="n"/>
      <c r="T200" s="12" t="n"/>
    </row>
    <row r="201">
      <c r="A201" s="12" t="n">
        <v>5</v>
      </c>
      <c r="B201" s="9" t="n"/>
      <c r="C201" s="9" t="n"/>
      <c r="D201" s="9" t="n"/>
      <c r="E201" s="9" t="n"/>
      <c r="F201" s="9" t="n"/>
      <c r="G201" s="9" t="n"/>
      <c r="H201" s="9" t="n"/>
      <c r="I201" s="10">
        <f>IFERROR(INDEX(C201:H201,MATCH(TRUE,INDEX(C201:H201&lt;&gt;"",0),0)),"")</f>
        <v/>
      </c>
      <c r="J201" s="10">
        <f>IFERROR(MIN(IF(C201:H201&lt;&gt;"",C201:H201)),"")</f>
        <v/>
      </c>
      <c r="K201" s="10">
        <f>IFERROR(MATCH(I201,C201:H201,0),"")</f>
        <v/>
      </c>
      <c r="L201" s="10">
        <f>IF(OR(I201="",J201=""),"",ROUND((I201-J201)/I201*100,1))</f>
        <v/>
      </c>
      <c r="M201" s="10">
        <f>IF(L201="","",IF(L201&gt;=18,"是","否"))</f>
        <v/>
      </c>
      <c r="N201" s="10">
        <f>IF(J201="","",IF(J201&lt;0.15,"是","否"))</f>
        <v/>
      </c>
      <c r="O201" s="10">
        <f>IF(I201="","",IF(J201&lt;0.15,"SAFETY_STOP",IF(L201&gt;=18,"VL_THRESHOLD","PLANNED_END")))</f>
        <v/>
      </c>
      <c r="P201" s="10">
        <f>IF(I201="","",IF(I201&gt;($D$2+0.05),"+5kg",IF(I201&gt;($D$2+0.02),"+2.5kg",IF(I201&gt;=($D$2-0.05),"保持",IF(I201&gt;=($D$2-0.08),"-2.5kg","-5kg")))))</f>
        <v/>
      </c>
      <c r="Q201" s="9" t="n"/>
      <c r="R201" s="12" t="n"/>
      <c r="S201" s="12" t="n"/>
      <c r="T201" s="12" t="n"/>
    </row>
    <row r="202">
      <c r="A202" s="12" t="n">
        <v>6</v>
      </c>
      <c r="B202" s="9" t="n"/>
      <c r="C202" s="9" t="n"/>
      <c r="D202" s="9" t="n"/>
      <c r="E202" s="9" t="n"/>
      <c r="F202" s="9" t="n"/>
      <c r="G202" s="9" t="n"/>
      <c r="H202" s="9" t="n"/>
      <c r="I202" s="10">
        <f>IFERROR(INDEX(C202:H202,MATCH(TRUE,INDEX(C202:H202&lt;&gt;"",0),0)),"")</f>
        <v/>
      </c>
      <c r="J202" s="10">
        <f>IFERROR(MIN(IF(C202:H202&lt;&gt;"",C202:H202)),"")</f>
        <v/>
      </c>
      <c r="K202" s="10">
        <f>IFERROR(MATCH(I202,C202:H202,0),"")</f>
        <v/>
      </c>
      <c r="L202" s="10">
        <f>IF(OR(I202="",J202=""),"",ROUND((I202-J202)/I202*100,1))</f>
        <v/>
      </c>
      <c r="M202" s="10">
        <f>IF(L202="","",IF(L202&gt;=18,"是","否"))</f>
        <v/>
      </c>
      <c r="N202" s="10">
        <f>IF(J202="","",IF(J202&lt;0.15,"是","否"))</f>
        <v/>
      </c>
      <c r="O202" s="10">
        <f>IF(I202="","",IF(J202&lt;0.15,"SAFETY_STOP",IF(L202&gt;=18,"VL_THRESHOLD","PLANNED_END")))</f>
        <v/>
      </c>
      <c r="P202" s="10">
        <f>IF(I202="","",IF(I202&gt;($D$2+0.05),"+5kg",IF(I202&gt;($D$2+0.02),"+2.5kg",IF(I202&gt;=($D$2-0.05),"保持",IF(I202&gt;=($D$2-0.08),"-2.5kg","-5kg")))))</f>
        <v/>
      </c>
      <c r="Q202" s="9" t="n"/>
      <c r="R202" s="12" t="n"/>
      <c r="S202" s="12" t="n"/>
      <c r="T202" s="12" t="n"/>
    </row>
    <row r="203">
      <c r="A203" s="8" t="inlineStr">
        <is>
          <t>辅助动作</t>
        </is>
      </c>
      <c r="B203" s="8" t="inlineStr">
        <is>
          <t>动作名称</t>
        </is>
      </c>
      <c r="C203" s="8" t="inlineStr">
        <is>
          <t>负荷kg</t>
        </is>
      </c>
      <c r="D203" s="8" t="inlineStr">
        <is>
          <t>完成(组×次)</t>
        </is>
      </c>
    </row>
    <row r="204">
      <c r="A204" s="9" t="inlineStr"/>
      <c r="B204" s="9" t="n"/>
      <c r="C204" s="9" t="n"/>
      <c r="D204" s="9" t="n"/>
    </row>
    <row r="205">
      <c r="A205" s="8" t="inlineStr">
        <is>
          <t>训练后</t>
        </is>
      </c>
      <c r="B205" s="8" t="inlineStr">
        <is>
          <t>开始时间</t>
        </is>
      </c>
      <c r="C205" s="8" t="inlineStr">
        <is>
          <t>结束时间</t>
        </is>
      </c>
      <c r="D205" s="8" t="inlineStr">
        <is>
          <t>总时长min</t>
        </is>
      </c>
      <c r="E205" s="8" t="inlineStr">
        <is>
          <t>sRPE</t>
        </is>
      </c>
      <c r="F205" s="8" t="inlineStr">
        <is>
          <t>session_load</t>
        </is>
      </c>
      <c r="G205" s="8" t="inlineStr">
        <is>
          <t>有无不适</t>
        </is>
      </c>
      <c r="H205" s="8" t="inlineStr">
        <is>
          <t>备注</t>
        </is>
      </c>
      <c r="I205" s="8" t="inlineStr">
        <is>
          <t>研究员签名</t>
        </is>
      </c>
    </row>
    <row r="206">
      <c r="A206" s="13" t="inlineStr"/>
      <c r="B206" s="13" t="n"/>
      <c r="C206" s="13" t="n"/>
      <c r="D206" s="10">
        <f>IF(OR(B206="",C206=""),"",(C206-B206)*1440)</f>
        <v/>
      </c>
      <c r="E206" s="13" t="n"/>
      <c r="F206" s="10">
        <f>IF(OR(D206="",E206=""),"",D206*E206)</f>
        <v/>
      </c>
      <c r="G206" s="13" t="n"/>
      <c r="H206" s="13" t="n"/>
      <c r="I206" s="13" t="n"/>
    </row>
  </sheetData>
  <mergeCells count="13">
    <mergeCell ref="A1:T1"/>
    <mergeCell ref="A89:T89"/>
    <mergeCell ref="A4:T4"/>
    <mergeCell ref="A106:T106"/>
    <mergeCell ref="A21:T21"/>
    <mergeCell ref="A140:T140"/>
    <mergeCell ref="A55:T55"/>
    <mergeCell ref="A38:T38"/>
    <mergeCell ref="A157:T157"/>
    <mergeCell ref="A72:T72"/>
    <mergeCell ref="A174:T174"/>
    <mergeCell ref="A191:T191"/>
    <mergeCell ref="A123:T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6" customWidth="1" min="15" max="15"/>
    <col width="12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>
      <c r="A1" s="1" t="inlineStr">
        <is>
          <t>研究二 AI组训练执行计算表 — W1_B（Day B）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目标MCV区间</t>
        </is>
      </c>
      <c r="B2" s="4" t="inlineStr">
        <is>
          <t>0.75-0.85</t>
        </is>
      </c>
      <c r="C2" s="3" t="inlineStr">
        <is>
          <t>目标MCV中点</t>
        </is>
      </c>
      <c r="D2" s="4" t="n">
        <v>0.8</v>
      </c>
      <c r="E2" s="3" t="inlineStr">
        <is>
          <t>VL阈值%</t>
        </is>
      </c>
      <c r="F2" s="4" t="n">
        <v>10</v>
      </c>
      <c r="G2" s="3" t="inlineStr">
        <is>
          <t>安全停止(m/s)</t>
        </is>
      </c>
      <c r="H2" s="4" t="n">
        <v>0.15</v>
      </c>
      <c r="I2" s="3" t="inlineStr">
        <is>
          <t>计划组数</t>
        </is>
      </c>
      <c r="J2" s="4" t="n">
        <v>4</v>
      </c>
      <c r="K2" s="3" t="inlineStr">
        <is>
          <t>每组次数</t>
        </is>
      </c>
      <c r="L2" s="4" t="inlineStr">
        <is>
          <t>3-4</t>
        </is>
      </c>
    </row>
    <row r="4">
      <c r="A4" s="5" t="inlineStr">
        <is>
          <t>── P007 陈鑫 ──────────────────────────────────────────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7" t="n"/>
    </row>
    <row r="5">
      <c r="A5" s="8" t="inlineStr">
        <is>
          <t>编号</t>
        </is>
      </c>
      <c r="B5" s="8" t="inlineStr">
        <is>
          <t>姓名</t>
        </is>
      </c>
      <c r="C5" s="8" t="inlineStr">
        <is>
          <t>身高</t>
        </is>
      </c>
      <c r="D5" s="8" t="inlineStr">
        <is>
          <t>1RM</t>
        </is>
      </c>
      <c r="E5" s="8" t="inlineStr">
        <is>
          <t>睡眠</t>
        </is>
      </c>
      <c r="F5" s="8" t="inlineStr">
        <is>
          <t>压力</t>
        </is>
      </c>
      <c r="G5" s="8" t="inlineStr">
        <is>
          <t>疲劳</t>
        </is>
      </c>
      <c r="H5" s="8" t="inlineStr">
        <is>
          <t>酸痛</t>
        </is>
      </c>
      <c r="I5" s="8" t="inlineStr">
        <is>
          <t>Hooper总</t>
        </is>
      </c>
      <c r="J5" s="8" t="inlineStr">
        <is>
          <t>CMJ1</t>
        </is>
      </c>
      <c r="K5" s="8" t="inlineStr">
        <is>
          <t>CMJ2</t>
        </is>
      </c>
      <c r="L5" s="8" t="inlineStr">
        <is>
          <t>CMJ3</t>
        </is>
      </c>
      <c r="M5" s="8" t="inlineStr">
        <is>
          <t>CMJ均值</t>
        </is>
      </c>
      <c r="N5" s="8" t="inlineStr">
        <is>
          <t>&lt;95%?</t>
        </is>
      </c>
      <c r="O5" s="8" t="inlineStr">
        <is>
          <t>减组?</t>
        </is>
      </c>
      <c r="P5" s="8" t="inlineStr">
        <is>
          <t>实做组数</t>
        </is>
      </c>
      <c r="Q5" s="8" t="inlineStr">
        <is>
          <t>LVP_a</t>
        </is>
      </c>
      <c r="R5" s="8" t="inlineStr">
        <is>
          <t>LVP_b</t>
        </is>
      </c>
      <c r="S5" s="8" t="inlineStr">
        <is>
          <t>等级</t>
        </is>
      </c>
      <c r="T5" s="8" t="inlineStr">
        <is>
          <t>预测起始</t>
        </is>
      </c>
    </row>
    <row r="6">
      <c r="A6" s="9" t="inlineStr">
        <is>
          <t>P007</t>
        </is>
      </c>
      <c r="B6" s="9" t="inlineStr">
        <is>
          <t>陈鑫</t>
        </is>
      </c>
      <c r="C6" s="9" t="n">
        <v>173</v>
      </c>
      <c r="D6" s="9" t="n">
        <v>110</v>
      </c>
      <c r="E6" s="9" t="n"/>
      <c r="F6" s="9" t="n"/>
      <c r="G6" s="9" t="n"/>
      <c r="H6" s="9" t="n"/>
      <c r="I6" s="10">
        <f>IFERROR(SUM(E6:H6),"")</f>
        <v/>
      </c>
      <c r="J6" s="9" t="n"/>
      <c r="K6" s="9" t="n"/>
      <c r="L6" s="9" t="n"/>
      <c r="M6" s="10">
        <f>IFERROR(AVERAGE(J6:L6),"")</f>
        <v/>
      </c>
      <c r="N6" s="10">
        <f>IF(M6="","",IF(M6&lt;63.01,"是⚠","否"))</f>
        <v/>
      </c>
      <c r="O6" s="10">
        <f>IF(M6="","",IF(M6&lt;63.01,"减1组","正常"))</f>
        <v/>
      </c>
      <c r="P6" s="10">
        <f>IF(M6="","",IF(M6&lt;63.01,4-1,4))</f>
        <v/>
      </c>
      <c r="Q6" s="9" t="n">
        <v>1.65</v>
      </c>
      <c r="R6" s="9" t="n">
        <v>-0.0125</v>
      </c>
      <c r="S6" s="9" t="inlineStr">
        <is>
          <t>A</t>
        </is>
      </c>
      <c r="T6" s="10">
        <f>IFERROR(ROUND((0.8-1.65)/-0.0125,0.5),"")</f>
        <v/>
      </c>
    </row>
    <row r="7">
      <c r="A7" s="8" t="inlineStr">
        <is>
          <t>热身校准</t>
        </is>
      </c>
      <c r="B7" s="8" t="inlineStr">
        <is>
          <t>LVP_a</t>
        </is>
      </c>
      <c r="C7" s="8" t="inlineStr">
        <is>
          <t>LVP_b</t>
        </is>
      </c>
      <c r="D7" s="8" t="inlineStr">
        <is>
          <t>50%热身kg</t>
        </is>
      </c>
      <c r="E7" s="8" t="inlineStr">
        <is>
          <t>70%热身kg</t>
        </is>
      </c>
      <c r="F7" s="8" t="inlineStr">
        <is>
          <t>热身负荷kg</t>
        </is>
      </c>
      <c r="G7" s="8" t="inlineStr">
        <is>
          <t>实测MCV</t>
        </is>
      </c>
      <c r="H7" s="8" t="inlineStr">
        <is>
          <t>预测MCV</t>
        </is>
      </c>
      <c r="I7" s="8" t="inlineStr">
        <is>
          <t>Δv</t>
        </is>
      </c>
      <c r="J7" s="8" t="inlineStr">
        <is>
          <t>调整量kg</t>
        </is>
      </c>
      <c r="K7" s="8" t="inlineStr">
        <is>
          <t>校准后第1组kg</t>
        </is>
      </c>
    </row>
    <row r="8">
      <c r="A8" s="11" t="inlineStr"/>
      <c r="B8" s="11" t="n">
        <v>1.65</v>
      </c>
      <c r="C8" s="11" t="n">
        <v>-0.0125</v>
      </c>
      <c r="D8" s="10">
        <f>IFERROR(ROUND(T6*0.5,2.5),"")</f>
        <v/>
      </c>
      <c r="E8" s="10">
        <f>IFERROR(ROUND(T6*0.7,2.5),"")</f>
        <v/>
      </c>
      <c r="F8" s="10">
        <f>D8</f>
        <v/>
      </c>
      <c r="G8" s="9" t="n"/>
      <c r="H8" s="10">
        <f>IF(F8="","",B8+C8*F8)</f>
        <v/>
      </c>
      <c r="I8" s="10">
        <f>IF(OR(G8="",H8=""),"",G8-H8)</f>
        <v/>
      </c>
      <c r="J8" s="10">
        <f>IF(I8="","",IF(I8&gt;0.08,5,IF(I8&gt;0.04,2.5,IF(I8&gt;=-0.04,0,IF(I8&gt;=-0.08,-2.5,-5)))))</f>
        <v/>
      </c>
      <c r="K8" s="10">
        <f>IFERROR(ROUND(T6+J8,2.5),"")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8" t="inlineStr">
        <is>
          <t>组次</t>
        </is>
      </c>
      <c r="B9" s="8" t="inlineStr">
        <is>
          <t>负荷kg</t>
        </is>
      </c>
      <c r="C9" s="8" t="inlineStr">
        <is>
          <t>rep1</t>
        </is>
      </c>
      <c r="D9" s="8" t="inlineStr">
        <is>
          <t>rep2</t>
        </is>
      </c>
      <c r="E9" s="8" t="inlineStr">
        <is>
          <t>rep3</t>
        </is>
      </c>
      <c r="F9" s="8" t="inlineStr">
        <is>
          <t>rep4</t>
        </is>
      </c>
      <c r="G9" s="8" t="inlineStr">
        <is>
          <t>rep5</t>
        </is>
      </c>
      <c r="H9" s="8" t="inlineStr">
        <is>
          <t>rep6</t>
        </is>
      </c>
      <c r="I9" s="8" t="inlineStr">
        <is>
          <t>首rep</t>
        </is>
      </c>
      <c r="J9" s="8" t="inlineStr">
        <is>
          <t>最低速</t>
        </is>
      </c>
      <c r="K9" s="8" t="inlineStr">
        <is>
          <t>最低rep#</t>
        </is>
      </c>
      <c r="L9" s="8" t="inlineStr">
        <is>
          <t>VL%</t>
        </is>
      </c>
      <c r="M9" s="8" t="inlineStr">
        <is>
          <t>VL达标?</t>
        </is>
      </c>
      <c r="N9" s="8" t="inlineStr">
        <is>
          <t>安全停止?</t>
        </is>
      </c>
      <c r="O9" s="8" t="inlineStr">
        <is>
          <t>停组原因</t>
        </is>
      </c>
      <c r="P9" s="8" t="inlineStr">
        <is>
          <t>下组建议</t>
        </is>
      </c>
      <c r="Q9" s="8" t="inlineStr">
        <is>
          <t>实做次数</t>
        </is>
      </c>
    </row>
    <row r="10">
      <c r="A10" s="12" t="n">
        <v>1</v>
      </c>
      <c r="B10" s="10">
        <f>IF(K8="","",K8)</f>
        <v/>
      </c>
      <c r="C10" s="9" t="n"/>
      <c r="D10" s="9" t="n"/>
      <c r="E10" s="9" t="n"/>
      <c r="F10" s="9" t="n"/>
      <c r="G10" s="9" t="n"/>
      <c r="H10" s="9" t="n"/>
      <c r="I10" s="10">
        <f>IFERROR(INDEX(C10:H10,MATCH(TRUE,INDEX(C10:H10&lt;&gt;"",0),0)),"")</f>
        <v/>
      </c>
      <c r="J10" s="10">
        <f>IFERROR(MIN(IF(C10:H10&lt;&gt;"",C10:H10)),"")</f>
        <v/>
      </c>
      <c r="K10" s="10">
        <f>IFERROR(MATCH(I10,C10:H10,0),"")</f>
        <v/>
      </c>
      <c r="L10" s="10">
        <f>IF(OR(I10="",J10=""),"",ROUND((I10-J10)/I10*100,1))</f>
        <v/>
      </c>
      <c r="M10" s="10">
        <f>IF(L10="","",IF(L10&gt;=10,"是","否"))</f>
        <v/>
      </c>
      <c r="N10" s="10">
        <f>IF(J10="","",IF(J10&lt;0.15,"是","否"))</f>
        <v/>
      </c>
      <c r="O10" s="10">
        <f>IF(I10="","",IF(J10&lt;0.15,"SAFETY_STOP",IF(L10&gt;=10,"VL_THRESHOLD","PLANNED_END")))</f>
        <v/>
      </c>
      <c r="P10" s="10">
        <f>IF(I10="","",IF(I10&gt;($D$2+0.05),"+5kg",IF(I10&gt;($D$2+0.02),"+2.5kg",IF(I10&gt;=($D$2-0.05),"保持",IF(I10&gt;=($D$2-0.08),"-2.5kg","-5kg")))))</f>
        <v/>
      </c>
      <c r="Q10" s="9" t="n"/>
      <c r="R10" s="12" t="n"/>
      <c r="S10" s="12" t="n"/>
      <c r="T10" s="12" t="n"/>
    </row>
    <row r="11">
      <c r="A11" s="12" t="n">
        <v>2</v>
      </c>
      <c r="B11" s="9" t="n"/>
      <c r="C11" s="9" t="n"/>
      <c r="D11" s="9" t="n"/>
      <c r="E11" s="9" t="n"/>
      <c r="F11" s="9" t="n"/>
      <c r="G11" s="9" t="n"/>
      <c r="H11" s="9" t="n"/>
      <c r="I11" s="10">
        <f>IFERROR(INDEX(C11:H11,MATCH(TRUE,INDEX(C11:H11&lt;&gt;"",0),0)),"")</f>
        <v/>
      </c>
      <c r="J11" s="10">
        <f>IFERROR(MIN(IF(C11:H11&lt;&gt;"",C11:H11)),"")</f>
        <v/>
      </c>
      <c r="K11" s="10">
        <f>IFERROR(MATCH(I11,C11:H11,0),"")</f>
        <v/>
      </c>
      <c r="L11" s="10">
        <f>IF(OR(I11="",J11=""),"",ROUND((I11-J11)/I11*100,1))</f>
        <v/>
      </c>
      <c r="M11" s="10">
        <f>IF(L11="","",IF(L11&gt;=10,"是","否"))</f>
        <v/>
      </c>
      <c r="N11" s="10">
        <f>IF(J11="","",IF(J11&lt;0.15,"是","否"))</f>
        <v/>
      </c>
      <c r="O11" s="10">
        <f>IF(I11="","",IF(J11&lt;0.15,"SAFETY_STOP",IF(L11&gt;=10,"VL_THRESHOLD","PLANNED_END")))</f>
        <v/>
      </c>
      <c r="P11" s="10">
        <f>IF(I11="","",IF(I11&gt;($D$2+0.05),"+5kg",IF(I11&gt;($D$2+0.02),"+2.5kg",IF(I11&gt;=($D$2-0.05),"保持",IF(I11&gt;=($D$2-0.08),"-2.5kg","-5kg")))))</f>
        <v/>
      </c>
      <c r="Q11" s="9" t="n"/>
      <c r="R11" s="12" t="n"/>
      <c r="S11" s="12" t="n"/>
      <c r="T11" s="12" t="n"/>
    </row>
    <row r="12">
      <c r="A12" s="12" t="n">
        <v>3</v>
      </c>
      <c r="B12" s="9" t="n"/>
      <c r="C12" s="9" t="n"/>
      <c r="D12" s="9" t="n"/>
      <c r="E12" s="9" t="n"/>
      <c r="F12" s="9" t="n"/>
      <c r="G12" s="9" t="n"/>
      <c r="H12" s="9" t="n"/>
      <c r="I12" s="10">
        <f>IFERROR(INDEX(C12:H12,MATCH(TRUE,INDEX(C12:H12&lt;&gt;"",0),0)),"")</f>
        <v/>
      </c>
      <c r="J12" s="10">
        <f>IFERROR(MIN(IF(C12:H12&lt;&gt;"",C12:H12)),"")</f>
        <v/>
      </c>
      <c r="K12" s="10">
        <f>IFERROR(MATCH(I12,C12:H12,0),"")</f>
        <v/>
      </c>
      <c r="L12" s="10">
        <f>IF(OR(I12="",J12=""),"",ROUND((I12-J12)/I12*100,1))</f>
        <v/>
      </c>
      <c r="M12" s="10">
        <f>IF(L12="","",IF(L12&gt;=10,"是","否"))</f>
        <v/>
      </c>
      <c r="N12" s="10">
        <f>IF(J12="","",IF(J12&lt;0.15,"是","否"))</f>
        <v/>
      </c>
      <c r="O12" s="10">
        <f>IF(I12="","",IF(J12&lt;0.15,"SAFETY_STOP",IF(L12&gt;=10,"VL_THRESHOLD","PLANNED_END")))</f>
        <v/>
      </c>
      <c r="P12" s="10">
        <f>IF(I12="","",IF(I12&gt;($D$2+0.05),"+5kg",IF(I12&gt;($D$2+0.02),"+2.5kg",IF(I12&gt;=($D$2-0.05),"保持",IF(I12&gt;=($D$2-0.08),"-2.5kg","-5kg")))))</f>
        <v/>
      </c>
      <c r="Q12" s="9" t="n"/>
      <c r="R12" s="12" t="n"/>
      <c r="S12" s="12" t="n"/>
      <c r="T12" s="12" t="n"/>
    </row>
    <row r="13">
      <c r="A13" s="12" t="n">
        <v>4</v>
      </c>
      <c r="B13" s="9" t="n"/>
      <c r="C13" s="9" t="n"/>
      <c r="D13" s="9" t="n"/>
      <c r="E13" s="9" t="n"/>
      <c r="F13" s="9" t="n"/>
      <c r="G13" s="9" t="n"/>
      <c r="H13" s="9" t="n"/>
      <c r="I13" s="10">
        <f>IFERROR(INDEX(C13:H13,MATCH(TRUE,INDEX(C13:H13&lt;&gt;"",0),0)),"")</f>
        <v/>
      </c>
      <c r="J13" s="10">
        <f>IFERROR(MIN(IF(C13:H13&lt;&gt;"",C13:H13)),"")</f>
        <v/>
      </c>
      <c r="K13" s="10">
        <f>IFERROR(MATCH(I13,C13:H13,0),"")</f>
        <v/>
      </c>
      <c r="L13" s="10">
        <f>IF(OR(I13="",J13=""),"",ROUND((I13-J13)/I13*100,1))</f>
        <v/>
      </c>
      <c r="M13" s="10">
        <f>IF(L13="","",IF(L13&gt;=10,"是","否"))</f>
        <v/>
      </c>
      <c r="N13" s="10">
        <f>IF(J13="","",IF(J13&lt;0.15,"是","否"))</f>
        <v/>
      </c>
      <c r="O13" s="10">
        <f>IF(I13="","",IF(J13&lt;0.15,"SAFETY_STOP",IF(L13&gt;=10,"VL_THRESHOLD","PLANNED_END")))</f>
        <v/>
      </c>
      <c r="P13" s="10">
        <f>IF(I13="","",IF(I13&gt;($D$2+0.05),"+5kg",IF(I13&gt;($D$2+0.02),"+2.5kg",IF(I13&gt;=($D$2-0.05),"保持",IF(I13&gt;=($D$2-0.08),"-2.5kg","-5kg")))))</f>
        <v/>
      </c>
      <c r="Q13" s="9" t="n"/>
      <c r="R13" s="12" t="n"/>
      <c r="S13" s="12" t="n"/>
      <c r="T13" s="12" t="n"/>
    </row>
    <row r="14">
      <c r="A14" s="12" t="n">
        <v>5</v>
      </c>
      <c r="B14" s="9" t="n"/>
      <c r="C14" s="9" t="n"/>
      <c r="D14" s="9" t="n"/>
      <c r="E14" s="9" t="n"/>
      <c r="F14" s="9" t="n"/>
      <c r="G14" s="9" t="n"/>
      <c r="H14" s="9" t="n"/>
      <c r="I14" s="10">
        <f>IFERROR(INDEX(C14:H14,MATCH(TRUE,INDEX(C14:H14&lt;&gt;"",0),0)),"")</f>
        <v/>
      </c>
      <c r="J14" s="10">
        <f>IFERROR(MIN(IF(C14:H14&lt;&gt;"",C14:H14)),"")</f>
        <v/>
      </c>
      <c r="K14" s="10">
        <f>IFERROR(MATCH(I14,C14:H14,0),"")</f>
        <v/>
      </c>
      <c r="L14" s="10">
        <f>IF(OR(I14="",J14=""),"",ROUND((I14-J14)/I14*100,1))</f>
        <v/>
      </c>
      <c r="M14" s="10">
        <f>IF(L14="","",IF(L14&gt;=10,"是","否"))</f>
        <v/>
      </c>
      <c r="N14" s="10">
        <f>IF(J14="","",IF(J14&lt;0.15,"是","否"))</f>
        <v/>
      </c>
      <c r="O14" s="10">
        <f>IF(I14="","",IF(J14&lt;0.15,"SAFETY_STOP",IF(L14&gt;=10,"VL_THRESHOLD","PLANNED_END")))</f>
        <v/>
      </c>
      <c r="P14" s="10">
        <f>IF(I14="","",IF(I14&gt;($D$2+0.05),"+5kg",IF(I14&gt;($D$2+0.02),"+2.5kg",IF(I14&gt;=($D$2-0.05),"保持",IF(I14&gt;=($D$2-0.08),"-2.5kg","-5kg")))))</f>
        <v/>
      </c>
      <c r="Q14" s="9" t="n"/>
      <c r="R14" s="12" t="n"/>
      <c r="S14" s="12" t="n"/>
      <c r="T14" s="12" t="n"/>
    </row>
    <row r="15">
      <c r="A15" s="12" t="n">
        <v>6</v>
      </c>
      <c r="B15" s="9" t="n"/>
      <c r="C15" s="9" t="n"/>
      <c r="D15" s="9" t="n"/>
      <c r="E15" s="9" t="n"/>
      <c r="F15" s="9" t="n"/>
      <c r="G15" s="9" t="n"/>
      <c r="H15" s="9" t="n"/>
      <c r="I15" s="10">
        <f>IFERROR(INDEX(C15:H15,MATCH(TRUE,INDEX(C15:H15&lt;&gt;"",0),0)),"")</f>
        <v/>
      </c>
      <c r="J15" s="10">
        <f>IFERROR(MIN(IF(C15:H15&lt;&gt;"",C15:H15)),"")</f>
        <v/>
      </c>
      <c r="K15" s="10">
        <f>IFERROR(MATCH(I15,C15:H15,0),"")</f>
        <v/>
      </c>
      <c r="L15" s="10">
        <f>IF(OR(I15="",J15=""),"",ROUND((I15-J15)/I15*100,1))</f>
        <v/>
      </c>
      <c r="M15" s="10">
        <f>IF(L15="","",IF(L15&gt;=10,"是","否"))</f>
        <v/>
      </c>
      <c r="N15" s="10">
        <f>IF(J15="","",IF(J15&lt;0.15,"是","否"))</f>
        <v/>
      </c>
      <c r="O15" s="10">
        <f>IF(I15="","",IF(J15&lt;0.15,"SAFETY_STOP",IF(L15&gt;=10,"VL_THRESHOLD","PLANNED_END")))</f>
        <v/>
      </c>
      <c r="P15" s="10">
        <f>IF(I15="","",IF(I15&gt;($D$2+0.05),"+5kg",IF(I15&gt;($D$2+0.02),"+2.5kg",IF(I15&gt;=($D$2-0.05),"保持",IF(I15&gt;=($D$2-0.08),"-2.5kg","-5kg")))))</f>
        <v/>
      </c>
      <c r="Q15" s="9" t="n"/>
      <c r="R15" s="12" t="n"/>
      <c r="S15" s="12" t="n"/>
      <c r="T15" s="12" t="n"/>
    </row>
    <row r="16">
      <c r="A16" s="8" t="inlineStr">
        <is>
          <t>辅助动作</t>
        </is>
      </c>
      <c r="B16" s="8" t="inlineStr">
        <is>
          <t>动作名称</t>
        </is>
      </c>
      <c r="C16" s="8" t="inlineStr">
        <is>
          <t>负荷kg</t>
        </is>
      </c>
      <c r="D16" s="8" t="inlineStr">
        <is>
          <t>完成(组×次)</t>
        </is>
      </c>
    </row>
    <row r="17">
      <c r="A17" s="9" t="inlineStr"/>
      <c r="B17" s="9" t="n"/>
      <c r="C17" s="9" t="n"/>
      <c r="D17" s="9" t="n"/>
    </row>
    <row r="18">
      <c r="A18" s="8" t="inlineStr">
        <is>
          <t>训练后</t>
        </is>
      </c>
      <c r="B18" s="8" t="inlineStr">
        <is>
          <t>开始时间</t>
        </is>
      </c>
      <c r="C18" s="8" t="inlineStr">
        <is>
          <t>结束时间</t>
        </is>
      </c>
      <c r="D18" s="8" t="inlineStr">
        <is>
          <t>总时长min</t>
        </is>
      </c>
      <c r="E18" s="8" t="inlineStr">
        <is>
          <t>sRPE</t>
        </is>
      </c>
      <c r="F18" s="8" t="inlineStr">
        <is>
          <t>session_load</t>
        </is>
      </c>
      <c r="G18" s="8" t="inlineStr">
        <is>
          <t>有无不适</t>
        </is>
      </c>
      <c r="H18" s="8" t="inlineStr">
        <is>
          <t>备注</t>
        </is>
      </c>
      <c r="I18" s="8" t="inlineStr">
        <is>
          <t>研究员签名</t>
        </is>
      </c>
    </row>
    <row r="19">
      <c r="A19" s="13" t="inlineStr"/>
      <c r="B19" s="13" t="n"/>
      <c r="C19" s="13" t="n"/>
      <c r="D19" s="10">
        <f>IF(OR(B19="",C19=""),"",(C19-B19)*1440)</f>
        <v/>
      </c>
      <c r="E19" s="13" t="n"/>
      <c r="F19" s="10">
        <f>IF(OR(D19="",E19=""),"",D19*E19)</f>
        <v/>
      </c>
      <c r="G19" s="13" t="n"/>
      <c r="H19" s="13" t="n"/>
      <c r="I19" s="13" t="n"/>
    </row>
    <row r="21">
      <c r="A21" s="5" t="inlineStr">
        <is>
          <t>── P005 曾庆华 ──────────────────────────────────────────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inlineStr">
        <is>
          <t>编号</t>
        </is>
      </c>
      <c r="B22" s="8" t="inlineStr">
        <is>
          <t>姓名</t>
        </is>
      </c>
      <c r="C22" s="8" t="inlineStr">
        <is>
          <t>身高</t>
        </is>
      </c>
      <c r="D22" s="8" t="inlineStr">
        <is>
          <t>1RM</t>
        </is>
      </c>
      <c r="E22" s="8" t="inlineStr">
        <is>
          <t>睡眠</t>
        </is>
      </c>
      <c r="F22" s="8" t="inlineStr">
        <is>
          <t>压力</t>
        </is>
      </c>
      <c r="G22" s="8" t="inlineStr">
        <is>
          <t>疲劳</t>
        </is>
      </c>
      <c r="H22" s="8" t="inlineStr">
        <is>
          <t>酸痛</t>
        </is>
      </c>
      <c r="I22" s="8" t="inlineStr">
        <is>
          <t>Hooper总</t>
        </is>
      </c>
      <c r="J22" s="8" t="inlineStr">
        <is>
          <t>CMJ1</t>
        </is>
      </c>
      <c r="K22" s="8" t="inlineStr">
        <is>
          <t>CMJ2</t>
        </is>
      </c>
      <c r="L22" s="8" t="inlineStr">
        <is>
          <t>CMJ3</t>
        </is>
      </c>
      <c r="M22" s="8" t="inlineStr">
        <is>
          <t>CMJ均值</t>
        </is>
      </c>
      <c r="N22" s="8" t="inlineStr">
        <is>
          <t>&lt;95%?</t>
        </is>
      </c>
      <c r="O22" s="8" t="inlineStr">
        <is>
          <t>减组?</t>
        </is>
      </c>
      <c r="P22" s="8" t="inlineStr">
        <is>
          <t>实做组数</t>
        </is>
      </c>
      <c r="Q22" s="8" t="inlineStr">
        <is>
          <t>LVP_a</t>
        </is>
      </c>
      <c r="R22" s="8" t="inlineStr">
        <is>
          <t>LVP_b</t>
        </is>
      </c>
      <c r="S22" s="8" t="inlineStr">
        <is>
          <t>等级</t>
        </is>
      </c>
      <c r="T22" s="8" t="inlineStr">
        <is>
          <t>预测起始</t>
        </is>
      </c>
    </row>
    <row r="23">
      <c r="A23" s="9" t="inlineStr">
        <is>
          <t>P005</t>
        </is>
      </c>
      <c r="B23" s="9" t="inlineStr">
        <is>
          <t>曾庆华</t>
        </is>
      </c>
      <c r="C23" s="9" t="n">
        <v>177</v>
      </c>
      <c r="D23" s="9" t="n">
        <v>155</v>
      </c>
      <c r="E23" s="9" t="n"/>
      <c r="F23" s="9" t="n"/>
      <c r="G23" s="9" t="n"/>
      <c r="H23" s="9" t="n"/>
      <c r="I23" s="10">
        <f>IFERROR(SUM(E23:H23),"")</f>
        <v/>
      </c>
      <c r="J23" s="9" t="n"/>
      <c r="K23" s="9" t="n"/>
      <c r="L23" s="9" t="n"/>
      <c r="M23" s="10">
        <f>IFERROR(AVERAGE(J23:L23),"")</f>
        <v/>
      </c>
      <c r="N23" s="10">
        <f>IF(M23="","",IF(M23&lt;57.57,"是⚠","否"))</f>
        <v/>
      </c>
      <c r="O23" s="10">
        <f>IF(M23="","",IF(M23&lt;57.57,"减1组","正常"))</f>
        <v/>
      </c>
      <c r="P23" s="10">
        <f>IF(M23="","",IF(M23&lt;57.57,4-1,4))</f>
        <v/>
      </c>
      <c r="Q23" s="9" t="n">
        <v>1.775</v>
      </c>
      <c r="R23" s="9" t="n">
        <v>-0.008750000000000001</v>
      </c>
      <c r="S23" s="9" t="inlineStr">
        <is>
          <t>B</t>
        </is>
      </c>
      <c r="T23" s="10">
        <f>IFERROR(ROUND((0.8-1.775)/-0.00875,0.5),"")</f>
        <v/>
      </c>
    </row>
    <row r="24">
      <c r="A24" s="8" t="inlineStr">
        <is>
          <t>热身校准</t>
        </is>
      </c>
      <c r="B24" s="8" t="inlineStr">
        <is>
          <t>LVP_a</t>
        </is>
      </c>
      <c r="C24" s="8" t="inlineStr">
        <is>
          <t>LVP_b</t>
        </is>
      </c>
      <c r="D24" s="8" t="inlineStr">
        <is>
          <t>50%热身kg</t>
        </is>
      </c>
      <c r="E24" s="8" t="inlineStr">
        <is>
          <t>70%热身kg</t>
        </is>
      </c>
      <c r="F24" s="8" t="inlineStr">
        <is>
          <t>热身负荷kg</t>
        </is>
      </c>
      <c r="G24" s="8" t="inlineStr">
        <is>
          <t>实测MCV</t>
        </is>
      </c>
      <c r="H24" s="8" t="inlineStr">
        <is>
          <t>预测MCV</t>
        </is>
      </c>
      <c r="I24" s="8" t="inlineStr">
        <is>
          <t>Δv</t>
        </is>
      </c>
      <c r="J24" s="8" t="inlineStr">
        <is>
          <t>调整量kg</t>
        </is>
      </c>
      <c r="K24" s="8" t="inlineStr">
        <is>
          <t>校准后第1组kg</t>
        </is>
      </c>
    </row>
    <row r="25">
      <c r="A25" s="11" t="inlineStr"/>
      <c r="B25" s="11" t="n">
        <v>1.775</v>
      </c>
      <c r="C25" s="11" t="n">
        <v>-0.008750000000000001</v>
      </c>
      <c r="D25" s="10">
        <f>IFERROR(ROUND(T23*0.5,2.5),"")</f>
        <v/>
      </c>
      <c r="E25" s="10">
        <f>IFERROR(ROUND(T23*0.7,2.5),"")</f>
        <v/>
      </c>
      <c r="F25" s="10">
        <f>D25</f>
        <v/>
      </c>
      <c r="G25" s="9" t="n"/>
      <c r="H25" s="10">
        <f>IF(F25="","",B25+C25*F25)</f>
        <v/>
      </c>
      <c r="I25" s="10">
        <f>IF(OR(G25="",H25=""),"",G25-H25)</f>
        <v/>
      </c>
      <c r="J25" s="10">
        <f>IF(I25="","",IF(I25&gt;0.08,5,IF(I25&gt;0.04,2.5,IF(I25&gt;=-0.04,0,IF(I25&gt;=-0.08,-2.5,-5)))))</f>
        <v/>
      </c>
      <c r="K25" s="10">
        <f>IFERROR(ROUND(T23+J25,2.5),"")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8" t="inlineStr">
        <is>
          <t>组次</t>
        </is>
      </c>
      <c r="B26" s="8" t="inlineStr">
        <is>
          <t>负荷kg</t>
        </is>
      </c>
      <c r="C26" s="8" t="inlineStr">
        <is>
          <t>rep1</t>
        </is>
      </c>
      <c r="D26" s="8" t="inlineStr">
        <is>
          <t>rep2</t>
        </is>
      </c>
      <c r="E26" s="8" t="inlineStr">
        <is>
          <t>rep3</t>
        </is>
      </c>
      <c r="F26" s="8" t="inlineStr">
        <is>
          <t>rep4</t>
        </is>
      </c>
      <c r="G26" s="8" t="inlineStr">
        <is>
          <t>rep5</t>
        </is>
      </c>
      <c r="H26" s="8" t="inlineStr">
        <is>
          <t>rep6</t>
        </is>
      </c>
      <c r="I26" s="8" t="inlineStr">
        <is>
          <t>首rep</t>
        </is>
      </c>
      <c r="J26" s="8" t="inlineStr">
        <is>
          <t>最低速</t>
        </is>
      </c>
      <c r="K26" s="8" t="inlineStr">
        <is>
          <t>最低rep#</t>
        </is>
      </c>
      <c r="L26" s="8" t="inlineStr">
        <is>
          <t>VL%</t>
        </is>
      </c>
      <c r="M26" s="8" t="inlineStr">
        <is>
          <t>VL达标?</t>
        </is>
      </c>
      <c r="N26" s="8" t="inlineStr">
        <is>
          <t>安全停止?</t>
        </is>
      </c>
      <c r="O26" s="8" t="inlineStr">
        <is>
          <t>停组原因</t>
        </is>
      </c>
      <c r="P26" s="8" t="inlineStr">
        <is>
          <t>下组建议</t>
        </is>
      </c>
      <c r="Q26" s="8" t="inlineStr">
        <is>
          <t>实做次数</t>
        </is>
      </c>
    </row>
    <row r="27">
      <c r="A27" s="12" t="n">
        <v>1</v>
      </c>
      <c r="B27" s="10">
        <f>IF(K25="","",K25)</f>
        <v/>
      </c>
      <c r="C27" s="9" t="n"/>
      <c r="D27" s="9" t="n"/>
      <c r="E27" s="9" t="n"/>
      <c r="F27" s="9" t="n"/>
      <c r="G27" s="9" t="n"/>
      <c r="H27" s="9" t="n"/>
      <c r="I27" s="10">
        <f>IFERROR(INDEX(C27:H27,MATCH(TRUE,INDEX(C27:H27&lt;&gt;"",0),0)),"")</f>
        <v/>
      </c>
      <c r="J27" s="10">
        <f>IFERROR(MIN(IF(C27:H27&lt;&gt;"",C27:H27)),"")</f>
        <v/>
      </c>
      <c r="K27" s="10">
        <f>IFERROR(MATCH(I27,C27:H27,0),"")</f>
        <v/>
      </c>
      <c r="L27" s="10">
        <f>IF(OR(I27="",J27=""),"",ROUND((I27-J27)/I27*100,1))</f>
        <v/>
      </c>
      <c r="M27" s="10">
        <f>IF(L27="","",IF(L27&gt;=10,"是","否"))</f>
        <v/>
      </c>
      <c r="N27" s="10">
        <f>IF(J27="","",IF(J27&lt;0.15,"是","否"))</f>
        <v/>
      </c>
      <c r="O27" s="10">
        <f>IF(I27="","",IF(J27&lt;0.15,"SAFETY_STOP",IF(L27&gt;=10,"VL_THRESHOLD","PLANNED_END")))</f>
        <v/>
      </c>
      <c r="P27" s="10">
        <f>IF(I27="","",IF(I27&gt;($D$2+0.05),"+5kg",IF(I27&gt;($D$2+0.02),"+2.5kg",IF(I27&gt;=($D$2-0.05),"保持",IF(I27&gt;=($D$2-0.08),"-2.5kg","-5kg")))))</f>
        <v/>
      </c>
      <c r="Q27" s="9" t="n"/>
      <c r="R27" s="12" t="n"/>
      <c r="S27" s="12" t="n"/>
      <c r="T27" s="12" t="n"/>
    </row>
    <row r="28">
      <c r="A28" s="12" t="n">
        <v>2</v>
      </c>
      <c r="B28" s="9" t="n"/>
      <c r="C28" s="9" t="n"/>
      <c r="D28" s="9" t="n"/>
      <c r="E28" s="9" t="n"/>
      <c r="F28" s="9" t="n"/>
      <c r="G28" s="9" t="n"/>
      <c r="H28" s="9" t="n"/>
      <c r="I28" s="10">
        <f>IFERROR(INDEX(C28:H28,MATCH(TRUE,INDEX(C28:H28&lt;&gt;"",0),0)),"")</f>
        <v/>
      </c>
      <c r="J28" s="10">
        <f>IFERROR(MIN(IF(C28:H28&lt;&gt;"",C28:H28)),"")</f>
        <v/>
      </c>
      <c r="K28" s="10">
        <f>IFERROR(MATCH(I28,C28:H28,0),"")</f>
        <v/>
      </c>
      <c r="L28" s="10">
        <f>IF(OR(I28="",J28=""),"",ROUND((I28-J28)/I28*100,1))</f>
        <v/>
      </c>
      <c r="M28" s="10">
        <f>IF(L28="","",IF(L28&gt;=10,"是","否"))</f>
        <v/>
      </c>
      <c r="N28" s="10">
        <f>IF(J28="","",IF(J28&lt;0.15,"是","否"))</f>
        <v/>
      </c>
      <c r="O28" s="10">
        <f>IF(I28="","",IF(J28&lt;0.15,"SAFETY_STOP",IF(L28&gt;=10,"VL_THRESHOLD","PLANNED_END")))</f>
        <v/>
      </c>
      <c r="P28" s="10">
        <f>IF(I28="","",IF(I28&gt;($D$2+0.05),"+5kg",IF(I28&gt;($D$2+0.02),"+2.5kg",IF(I28&gt;=($D$2-0.05),"保持",IF(I28&gt;=($D$2-0.08),"-2.5kg","-5kg")))))</f>
        <v/>
      </c>
      <c r="Q28" s="9" t="n"/>
      <c r="R28" s="12" t="n"/>
      <c r="S28" s="12" t="n"/>
      <c r="T28" s="12" t="n"/>
    </row>
    <row r="29">
      <c r="A29" s="12" t="n">
        <v>3</v>
      </c>
      <c r="B29" s="9" t="n"/>
      <c r="C29" s="9" t="n"/>
      <c r="D29" s="9" t="n"/>
      <c r="E29" s="9" t="n"/>
      <c r="F29" s="9" t="n"/>
      <c r="G29" s="9" t="n"/>
      <c r="H29" s="9" t="n"/>
      <c r="I29" s="10">
        <f>IFERROR(INDEX(C29:H29,MATCH(TRUE,INDEX(C29:H29&lt;&gt;"",0),0)),"")</f>
        <v/>
      </c>
      <c r="J29" s="10">
        <f>IFERROR(MIN(IF(C29:H29&lt;&gt;"",C29:H29)),"")</f>
        <v/>
      </c>
      <c r="K29" s="10">
        <f>IFERROR(MATCH(I29,C29:H29,0),"")</f>
        <v/>
      </c>
      <c r="L29" s="10">
        <f>IF(OR(I29="",J29=""),"",ROUND((I29-J29)/I29*100,1))</f>
        <v/>
      </c>
      <c r="M29" s="10">
        <f>IF(L29="","",IF(L29&gt;=10,"是","否"))</f>
        <v/>
      </c>
      <c r="N29" s="10">
        <f>IF(J29="","",IF(J29&lt;0.15,"是","否"))</f>
        <v/>
      </c>
      <c r="O29" s="10">
        <f>IF(I29="","",IF(J29&lt;0.15,"SAFETY_STOP",IF(L29&gt;=10,"VL_THRESHOLD","PLANNED_END")))</f>
        <v/>
      </c>
      <c r="P29" s="10">
        <f>IF(I29="","",IF(I29&gt;($D$2+0.05),"+5kg",IF(I29&gt;($D$2+0.02),"+2.5kg",IF(I29&gt;=($D$2-0.05),"保持",IF(I29&gt;=($D$2-0.08),"-2.5kg","-5kg")))))</f>
        <v/>
      </c>
      <c r="Q29" s="9" t="n"/>
      <c r="R29" s="12" t="n"/>
      <c r="S29" s="12" t="n"/>
      <c r="T29" s="12" t="n"/>
    </row>
    <row r="30">
      <c r="A30" s="12" t="n">
        <v>4</v>
      </c>
      <c r="B30" s="9" t="n"/>
      <c r="C30" s="9" t="n"/>
      <c r="D30" s="9" t="n"/>
      <c r="E30" s="9" t="n"/>
      <c r="F30" s="9" t="n"/>
      <c r="G30" s="9" t="n"/>
      <c r="H30" s="9" t="n"/>
      <c r="I30" s="10">
        <f>IFERROR(INDEX(C30:H30,MATCH(TRUE,INDEX(C30:H30&lt;&gt;"",0),0)),"")</f>
        <v/>
      </c>
      <c r="J30" s="10">
        <f>IFERROR(MIN(IF(C30:H30&lt;&gt;"",C30:H30)),"")</f>
        <v/>
      </c>
      <c r="K30" s="10">
        <f>IFERROR(MATCH(I30,C30:H30,0),"")</f>
        <v/>
      </c>
      <c r="L30" s="10">
        <f>IF(OR(I30="",J30=""),"",ROUND((I30-J30)/I30*100,1))</f>
        <v/>
      </c>
      <c r="M30" s="10">
        <f>IF(L30="","",IF(L30&gt;=10,"是","否"))</f>
        <v/>
      </c>
      <c r="N30" s="10">
        <f>IF(J30="","",IF(J30&lt;0.15,"是","否"))</f>
        <v/>
      </c>
      <c r="O30" s="10">
        <f>IF(I30="","",IF(J30&lt;0.15,"SAFETY_STOP",IF(L30&gt;=10,"VL_THRESHOLD","PLANNED_END")))</f>
        <v/>
      </c>
      <c r="P30" s="10">
        <f>IF(I30="","",IF(I30&gt;($D$2+0.05),"+5kg",IF(I30&gt;($D$2+0.02),"+2.5kg",IF(I30&gt;=($D$2-0.05),"保持",IF(I30&gt;=($D$2-0.08),"-2.5kg","-5kg")))))</f>
        <v/>
      </c>
      <c r="Q30" s="9" t="n"/>
      <c r="R30" s="12" t="n"/>
      <c r="S30" s="12" t="n"/>
      <c r="T30" s="12" t="n"/>
    </row>
    <row r="31">
      <c r="A31" s="12" t="n">
        <v>5</v>
      </c>
      <c r="B31" s="9" t="n"/>
      <c r="C31" s="9" t="n"/>
      <c r="D31" s="9" t="n"/>
      <c r="E31" s="9" t="n"/>
      <c r="F31" s="9" t="n"/>
      <c r="G31" s="9" t="n"/>
      <c r="H31" s="9" t="n"/>
      <c r="I31" s="10">
        <f>IFERROR(INDEX(C31:H31,MATCH(TRUE,INDEX(C31:H31&lt;&gt;"",0),0)),"")</f>
        <v/>
      </c>
      <c r="J31" s="10">
        <f>IFERROR(MIN(IF(C31:H31&lt;&gt;"",C31:H31)),"")</f>
        <v/>
      </c>
      <c r="K31" s="10">
        <f>IFERROR(MATCH(I31,C31:H31,0),"")</f>
        <v/>
      </c>
      <c r="L31" s="10">
        <f>IF(OR(I31="",J31=""),"",ROUND((I31-J31)/I31*100,1))</f>
        <v/>
      </c>
      <c r="M31" s="10">
        <f>IF(L31="","",IF(L31&gt;=10,"是","否"))</f>
        <v/>
      </c>
      <c r="N31" s="10">
        <f>IF(J31="","",IF(J31&lt;0.15,"是","否"))</f>
        <v/>
      </c>
      <c r="O31" s="10">
        <f>IF(I31="","",IF(J31&lt;0.15,"SAFETY_STOP",IF(L31&gt;=10,"VL_THRESHOLD","PLANNED_END")))</f>
        <v/>
      </c>
      <c r="P31" s="10">
        <f>IF(I31="","",IF(I31&gt;($D$2+0.05),"+5kg",IF(I31&gt;($D$2+0.02),"+2.5kg",IF(I31&gt;=($D$2-0.05),"保持",IF(I31&gt;=($D$2-0.08),"-2.5kg","-5kg")))))</f>
        <v/>
      </c>
      <c r="Q31" s="9" t="n"/>
      <c r="R31" s="12" t="n"/>
      <c r="S31" s="12" t="n"/>
      <c r="T31" s="12" t="n"/>
    </row>
    <row r="32">
      <c r="A32" s="12" t="n">
        <v>6</v>
      </c>
      <c r="B32" s="9" t="n"/>
      <c r="C32" s="9" t="n"/>
      <c r="D32" s="9" t="n"/>
      <c r="E32" s="9" t="n"/>
      <c r="F32" s="9" t="n"/>
      <c r="G32" s="9" t="n"/>
      <c r="H32" s="9" t="n"/>
      <c r="I32" s="10">
        <f>IFERROR(INDEX(C32:H32,MATCH(TRUE,INDEX(C32:H32&lt;&gt;"",0),0)),"")</f>
        <v/>
      </c>
      <c r="J32" s="10">
        <f>IFERROR(MIN(IF(C32:H32&lt;&gt;"",C32:H32)),"")</f>
        <v/>
      </c>
      <c r="K32" s="10">
        <f>IFERROR(MATCH(I32,C32:H32,0),"")</f>
        <v/>
      </c>
      <c r="L32" s="10">
        <f>IF(OR(I32="",J32=""),"",ROUND((I32-J32)/I32*100,1))</f>
        <v/>
      </c>
      <c r="M32" s="10">
        <f>IF(L32="","",IF(L32&gt;=10,"是","否"))</f>
        <v/>
      </c>
      <c r="N32" s="10">
        <f>IF(J32="","",IF(J32&lt;0.15,"是","否"))</f>
        <v/>
      </c>
      <c r="O32" s="10">
        <f>IF(I32="","",IF(J32&lt;0.15,"SAFETY_STOP",IF(L32&gt;=10,"VL_THRESHOLD","PLANNED_END")))</f>
        <v/>
      </c>
      <c r="P32" s="10">
        <f>IF(I32="","",IF(I32&gt;($D$2+0.05),"+5kg",IF(I32&gt;($D$2+0.02),"+2.5kg",IF(I32&gt;=($D$2-0.05),"保持",IF(I32&gt;=($D$2-0.08),"-2.5kg","-5kg")))))</f>
        <v/>
      </c>
      <c r="Q32" s="9" t="n"/>
      <c r="R32" s="12" t="n"/>
      <c r="S32" s="12" t="n"/>
      <c r="T32" s="12" t="n"/>
    </row>
    <row r="33">
      <c r="A33" s="8" t="inlineStr">
        <is>
          <t>辅助动作</t>
        </is>
      </c>
      <c r="B33" s="8" t="inlineStr">
        <is>
          <t>动作名称</t>
        </is>
      </c>
      <c r="C33" s="8" t="inlineStr">
        <is>
          <t>负荷kg</t>
        </is>
      </c>
      <c r="D33" s="8" t="inlineStr">
        <is>
          <t>完成(组×次)</t>
        </is>
      </c>
    </row>
    <row r="34">
      <c r="A34" s="9" t="inlineStr"/>
      <c r="B34" s="9" t="n"/>
      <c r="C34" s="9" t="n"/>
      <c r="D34" s="9" t="n"/>
    </row>
    <row r="35">
      <c r="A35" s="8" t="inlineStr">
        <is>
          <t>训练后</t>
        </is>
      </c>
      <c r="B35" s="8" t="inlineStr">
        <is>
          <t>开始时间</t>
        </is>
      </c>
      <c r="C35" s="8" t="inlineStr">
        <is>
          <t>结束时间</t>
        </is>
      </c>
      <c r="D35" s="8" t="inlineStr">
        <is>
          <t>总时长min</t>
        </is>
      </c>
      <c r="E35" s="8" t="inlineStr">
        <is>
          <t>sRPE</t>
        </is>
      </c>
      <c r="F35" s="8" t="inlineStr">
        <is>
          <t>session_load</t>
        </is>
      </c>
      <c r="G35" s="8" t="inlineStr">
        <is>
          <t>有无不适</t>
        </is>
      </c>
      <c r="H35" s="8" t="inlineStr">
        <is>
          <t>备注</t>
        </is>
      </c>
      <c r="I35" s="8" t="inlineStr">
        <is>
          <t>研究员签名</t>
        </is>
      </c>
    </row>
    <row r="36">
      <c r="A36" s="13" t="inlineStr"/>
      <c r="B36" s="13" t="n"/>
      <c r="C36" s="13" t="n"/>
      <c r="D36" s="10">
        <f>IF(OR(B36="",C36=""),"",(C36-B36)*1440)</f>
        <v/>
      </c>
      <c r="E36" s="13" t="n"/>
      <c r="F36" s="10">
        <f>IF(OR(D36="",E36=""),"",D36*E36)</f>
        <v/>
      </c>
      <c r="G36" s="13" t="n"/>
      <c r="H36" s="13" t="n"/>
      <c r="I36" s="13" t="n"/>
    </row>
    <row r="38">
      <c r="A38" s="5" t="inlineStr">
        <is>
          <t>── P002 何天元 ──────────────────────────────────────────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</row>
    <row r="39">
      <c r="A39" s="8" t="inlineStr">
        <is>
          <t>编号</t>
        </is>
      </c>
      <c r="B39" s="8" t="inlineStr">
        <is>
          <t>姓名</t>
        </is>
      </c>
      <c r="C39" s="8" t="inlineStr">
        <is>
          <t>身高</t>
        </is>
      </c>
      <c r="D39" s="8" t="inlineStr">
        <is>
          <t>1RM</t>
        </is>
      </c>
      <c r="E39" s="8" t="inlineStr">
        <is>
          <t>睡眠</t>
        </is>
      </c>
      <c r="F39" s="8" t="inlineStr">
        <is>
          <t>压力</t>
        </is>
      </c>
      <c r="G39" s="8" t="inlineStr">
        <is>
          <t>疲劳</t>
        </is>
      </c>
      <c r="H39" s="8" t="inlineStr">
        <is>
          <t>酸痛</t>
        </is>
      </c>
      <c r="I39" s="8" t="inlineStr">
        <is>
          <t>Hooper总</t>
        </is>
      </c>
      <c r="J39" s="8" t="inlineStr">
        <is>
          <t>CMJ1</t>
        </is>
      </c>
      <c r="K39" s="8" t="inlineStr">
        <is>
          <t>CMJ2</t>
        </is>
      </c>
      <c r="L39" s="8" t="inlineStr">
        <is>
          <t>CMJ3</t>
        </is>
      </c>
      <c r="M39" s="8" t="inlineStr">
        <is>
          <t>CMJ均值</t>
        </is>
      </c>
      <c r="N39" s="8" t="inlineStr">
        <is>
          <t>&lt;95%?</t>
        </is>
      </c>
      <c r="O39" s="8" t="inlineStr">
        <is>
          <t>减组?</t>
        </is>
      </c>
      <c r="P39" s="8" t="inlineStr">
        <is>
          <t>实做组数</t>
        </is>
      </c>
      <c r="Q39" s="8" t="inlineStr">
        <is>
          <t>LVP_a</t>
        </is>
      </c>
      <c r="R39" s="8" t="inlineStr">
        <is>
          <t>LVP_b</t>
        </is>
      </c>
      <c r="S39" s="8" t="inlineStr">
        <is>
          <t>等级</t>
        </is>
      </c>
      <c r="T39" s="8" t="inlineStr">
        <is>
          <t>预测起始</t>
        </is>
      </c>
    </row>
    <row r="40">
      <c r="A40" s="9" t="inlineStr">
        <is>
          <t>P002</t>
        </is>
      </c>
      <c r="B40" s="9" t="inlineStr">
        <is>
          <t>何天元</t>
        </is>
      </c>
      <c r="C40" s="9" t="n">
        <v>178</v>
      </c>
      <c r="D40" s="9" t="n">
        <v>150</v>
      </c>
      <c r="E40" s="9" t="n"/>
      <c r="F40" s="9" t="n"/>
      <c r="G40" s="9" t="n"/>
      <c r="H40" s="9" t="n"/>
      <c r="I40" s="10">
        <f>IFERROR(SUM(E40:H40),"")</f>
        <v/>
      </c>
      <c r="J40" s="9" t="n"/>
      <c r="K40" s="9" t="n"/>
      <c r="L40" s="9" t="n"/>
      <c r="M40" s="10">
        <f>IFERROR(AVERAGE(J40:L40),"")</f>
        <v/>
      </c>
      <c r="N40" s="10">
        <f>IF(M40="","",IF(M40&lt;60.54,"是⚠","否"))</f>
        <v/>
      </c>
      <c r="O40" s="10">
        <f>IF(M40="","",IF(M40&lt;60.54,"减1组","正常"))</f>
        <v/>
      </c>
      <c r="P40" s="10">
        <f>IF(M40="","",IF(M40&lt;60.54,4-1,4))</f>
        <v/>
      </c>
      <c r="Q40" s="9" t="n">
        <v>1.291</v>
      </c>
      <c r="R40" s="9" t="n">
        <v>-0.0054</v>
      </c>
      <c r="S40" s="9" t="inlineStr">
        <is>
          <t>B</t>
        </is>
      </c>
      <c r="T40" s="10">
        <f>IFERROR(ROUND((0.8-1.291)/-0.0054,0.5),"")</f>
        <v/>
      </c>
    </row>
    <row r="41">
      <c r="A41" s="8" t="inlineStr">
        <is>
          <t>热身校准</t>
        </is>
      </c>
      <c r="B41" s="8" t="inlineStr">
        <is>
          <t>LVP_a</t>
        </is>
      </c>
      <c r="C41" s="8" t="inlineStr">
        <is>
          <t>LVP_b</t>
        </is>
      </c>
      <c r="D41" s="8" t="inlineStr">
        <is>
          <t>50%热身kg</t>
        </is>
      </c>
      <c r="E41" s="8" t="inlineStr">
        <is>
          <t>70%热身kg</t>
        </is>
      </c>
      <c r="F41" s="8" t="inlineStr">
        <is>
          <t>热身负荷kg</t>
        </is>
      </c>
      <c r="G41" s="8" t="inlineStr">
        <is>
          <t>实测MCV</t>
        </is>
      </c>
      <c r="H41" s="8" t="inlineStr">
        <is>
          <t>预测MCV</t>
        </is>
      </c>
      <c r="I41" s="8" t="inlineStr">
        <is>
          <t>Δv</t>
        </is>
      </c>
      <c r="J41" s="8" t="inlineStr">
        <is>
          <t>调整量kg</t>
        </is>
      </c>
      <c r="K41" s="8" t="inlineStr">
        <is>
          <t>校准后第1组kg</t>
        </is>
      </c>
    </row>
    <row r="42">
      <c r="A42" s="11" t="inlineStr"/>
      <c r="B42" s="11" t="n">
        <v>1.291</v>
      </c>
      <c r="C42" s="11" t="n">
        <v>-0.0054</v>
      </c>
      <c r="D42" s="10">
        <f>IFERROR(ROUND(T40*0.5,2.5),"")</f>
        <v/>
      </c>
      <c r="E42" s="10">
        <f>IFERROR(ROUND(T40*0.7,2.5),"")</f>
        <v/>
      </c>
      <c r="F42" s="10">
        <f>D42</f>
        <v/>
      </c>
      <c r="G42" s="9" t="n"/>
      <c r="H42" s="10">
        <f>IF(F42="","",B42+C42*F42)</f>
        <v/>
      </c>
      <c r="I42" s="10">
        <f>IF(OR(G42="",H42=""),"",G42-H42)</f>
        <v/>
      </c>
      <c r="J42" s="10">
        <f>IF(I42="","",IF(I42&gt;0.08,5,IF(I42&gt;0.04,2.5,IF(I42&gt;=-0.04,0,IF(I42&gt;=-0.08,-2.5,-5)))))</f>
        <v/>
      </c>
      <c r="K42" s="10">
        <f>IFERROR(ROUND(T40+J42,2.5),"")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8" t="inlineStr">
        <is>
          <t>组次</t>
        </is>
      </c>
      <c r="B43" s="8" t="inlineStr">
        <is>
          <t>负荷kg</t>
        </is>
      </c>
      <c r="C43" s="8" t="inlineStr">
        <is>
          <t>rep1</t>
        </is>
      </c>
      <c r="D43" s="8" t="inlineStr">
        <is>
          <t>rep2</t>
        </is>
      </c>
      <c r="E43" s="8" t="inlineStr">
        <is>
          <t>rep3</t>
        </is>
      </c>
      <c r="F43" s="8" t="inlineStr">
        <is>
          <t>rep4</t>
        </is>
      </c>
      <c r="G43" s="8" t="inlineStr">
        <is>
          <t>rep5</t>
        </is>
      </c>
      <c r="H43" s="8" t="inlineStr">
        <is>
          <t>rep6</t>
        </is>
      </c>
      <c r="I43" s="8" t="inlineStr">
        <is>
          <t>首rep</t>
        </is>
      </c>
      <c r="J43" s="8" t="inlineStr">
        <is>
          <t>最低速</t>
        </is>
      </c>
      <c r="K43" s="8" t="inlineStr">
        <is>
          <t>最低rep#</t>
        </is>
      </c>
      <c r="L43" s="8" t="inlineStr">
        <is>
          <t>VL%</t>
        </is>
      </c>
      <c r="M43" s="8" t="inlineStr">
        <is>
          <t>VL达标?</t>
        </is>
      </c>
      <c r="N43" s="8" t="inlineStr">
        <is>
          <t>安全停止?</t>
        </is>
      </c>
      <c r="O43" s="8" t="inlineStr">
        <is>
          <t>停组原因</t>
        </is>
      </c>
      <c r="P43" s="8" t="inlineStr">
        <is>
          <t>下组建议</t>
        </is>
      </c>
      <c r="Q43" s="8" t="inlineStr">
        <is>
          <t>实做次数</t>
        </is>
      </c>
    </row>
    <row r="44">
      <c r="A44" s="12" t="n">
        <v>1</v>
      </c>
      <c r="B44" s="10">
        <f>IF(K42="","",K42)</f>
        <v/>
      </c>
      <c r="C44" s="9" t="n"/>
      <c r="D44" s="9" t="n"/>
      <c r="E44" s="9" t="n"/>
      <c r="F44" s="9" t="n"/>
      <c r="G44" s="9" t="n"/>
      <c r="H44" s="9" t="n"/>
      <c r="I44" s="10">
        <f>IFERROR(INDEX(C44:H44,MATCH(TRUE,INDEX(C44:H44&lt;&gt;"",0),0)),"")</f>
        <v/>
      </c>
      <c r="J44" s="10">
        <f>IFERROR(MIN(IF(C44:H44&lt;&gt;"",C44:H44)),"")</f>
        <v/>
      </c>
      <c r="K44" s="10">
        <f>IFERROR(MATCH(I44,C44:H44,0),"")</f>
        <v/>
      </c>
      <c r="L44" s="10">
        <f>IF(OR(I44="",J44=""),"",ROUND((I44-J44)/I44*100,1))</f>
        <v/>
      </c>
      <c r="M44" s="10">
        <f>IF(L44="","",IF(L44&gt;=10,"是","否"))</f>
        <v/>
      </c>
      <c r="N44" s="10">
        <f>IF(J44="","",IF(J44&lt;0.15,"是","否"))</f>
        <v/>
      </c>
      <c r="O44" s="10">
        <f>IF(I44="","",IF(J44&lt;0.15,"SAFETY_STOP",IF(L44&gt;=10,"VL_THRESHOLD","PLANNED_END")))</f>
        <v/>
      </c>
      <c r="P44" s="10">
        <f>IF(I44="","",IF(I44&gt;($D$2+0.05),"+5kg",IF(I44&gt;($D$2+0.02),"+2.5kg",IF(I44&gt;=($D$2-0.05),"保持",IF(I44&gt;=($D$2-0.08),"-2.5kg","-5kg")))))</f>
        <v/>
      </c>
      <c r="Q44" s="9" t="n"/>
      <c r="R44" s="12" t="n"/>
      <c r="S44" s="12" t="n"/>
      <c r="T44" s="12" t="n"/>
    </row>
    <row r="45">
      <c r="A45" s="12" t="n">
        <v>2</v>
      </c>
      <c r="B45" s="9" t="n"/>
      <c r="C45" s="9" t="n"/>
      <c r="D45" s="9" t="n"/>
      <c r="E45" s="9" t="n"/>
      <c r="F45" s="9" t="n"/>
      <c r="G45" s="9" t="n"/>
      <c r="H45" s="9" t="n"/>
      <c r="I45" s="10">
        <f>IFERROR(INDEX(C45:H45,MATCH(TRUE,INDEX(C45:H45&lt;&gt;"",0),0)),"")</f>
        <v/>
      </c>
      <c r="J45" s="10">
        <f>IFERROR(MIN(IF(C45:H45&lt;&gt;"",C45:H45)),"")</f>
        <v/>
      </c>
      <c r="K45" s="10">
        <f>IFERROR(MATCH(I45,C45:H45,0),"")</f>
        <v/>
      </c>
      <c r="L45" s="10">
        <f>IF(OR(I45="",J45=""),"",ROUND((I45-J45)/I45*100,1))</f>
        <v/>
      </c>
      <c r="M45" s="10">
        <f>IF(L45="","",IF(L45&gt;=10,"是","否"))</f>
        <v/>
      </c>
      <c r="N45" s="10">
        <f>IF(J45="","",IF(J45&lt;0.15,"是","否"))</f>
        <v/>
      </c>
      <c r="O45" s="10">
        <f>IF(I45="","",IF(J45&lt;0.15,"SAFETY_STOP",IF(L45&gt;=10,"VL_THRESHOLD","PLANNED_END")))</f>
        <v/>
      </c>
      <c r="P45" s="10">
        <f>IF(I45="","",IF(I45&gt;($D$2+0.05),"+5kg",IF(I45&gt;($D$2+0.02),"+2.5kg",IF(I45&gt;=($D$2-0.05),"保持",IF(I45&gt;=($D$2-0.08),"-2.5kg","-5kg")))))</f>
        <v/>
      </c>
      <c r="Q45" s="9" t="n"/>
      <c r="R45" s="12" t="n"/>
      <c r="S45" s="12" t="n"/>
      <c r="T45" s="12" t="n"/>
    </row>
    <row r="46">
      <c r="A46" s="12" t="n">
        <v>3</v>
      </c>
      <c r="B46" s="9" t="n"/>
      <c r="C46" s="9" t="n"/>
      <c r="D46" s="9" t="n"/>
      <c r="E46" s="9" t="n"/>
      <c r="F46" s="9" t="n"/>
      <c r="G46" s="9" t="n"/>
      <c r="H46" s="9" t="n"/>
      <c r="I46" s="10">
        <f>IFERROR(INDEX(C46:H46,MATCH(TRUE,INDEX(C46:H46&lt;&gt;"",0),0)),"")</f>
        <v/>
      </c>
      <c r="J46" s="10">
        <f>IFERROR(MIN(IF(C46:H46&lt;&gt;"",C46:H46)),"")</f>
        <v/>
      </c>
      <c r="K46" s="10">
        <f>IFERROR(MATCH(I46,C46:H46,0),"")</f>
        <v/>
      </c>
      <c r="L46" s="10">
        <f>IF(OR(I46="",J46=""),"",ROUND((I46-J46)/I46*100,1))</f>
        <v/>
      </c>
      <c r="M46" s="10">
        <f>IF(L46="","",IF(L46&gt;=10,"是","否"))</f>
        <v/>
      </c>
      <c r="N46" s="10">
        <f>IF(J46="","",IF(J46&lt;0.15,"是","否"))</f>
        <v/>
      </c>
      <c r="O46" s="10">
        <f>IF(I46="","",IF(J46&lt;0.15,"SAFETY_STOP",IF(L46&gt;=10,"VL_THRESHOLD","PLANNED_END")))</f>
        <v/>
      </c>
      <c r="P46" s="10">
        <f>IF(I46="","",IF(I46&gt;($D$2+0.05),"+5kg",IF(I46&gt;($D$2+0.02),"+2.5kg",IF(I46&gt;=($D$2-0.05),"保持",IF(I46&gt;=($D$2-0.08),"-2.5kg","-5kg")))))</f>
        <v/>
      </c>
      <c r="Q46" s="9" t="n"/>
      <c r="R46" s="12" t="n"/>
      <c r="S46" s="12" t="n"/>
      <c r="T46" s="12" t="n"/>
    </row>
    <row r="47">
      <c r="A47" s="12" t="n">
        <v>4</v>
      </c>
      <c r="B47" s="9" t="n"/>
      <c r="C47" s="9" t="n"/>
      <c r="D47" s="9" t="n"/>
      <c r="E47" s="9" t="n"/>
      <c r="F47" s="9" t="n"/>
      <c r="G47" s="9" t="n"/>
      <c r="H47" s="9" t="n"/>
      <c r="I47" s="10">
        <f>IFERROR(INDEX(C47:H47,MATCH(TRUE,INDEX(C47:H47&lt;&gt;"",0),0)),"")</f>
        <v/>
      </c>
      <c r="J47" s="10">
        <f>IFERROR(MIN(IF(C47:H47&lt;&gt;"",C47:H47)),"")</f>
        <v/>
      </c>
      <c r="K47" s="10">
        <f>IFERROR(MATCH(I47,C47:H47,0),"")</f>
        <v/>
      </c>
      <c r="L47" s="10">
        <f>IF(OR(I47="",J47=""),"",ROUND((I47-J47)/I47*100,1))</f>
        <v/>
      </c>
      <c r="M47" s="10">
        <f>IF(L47="","",IF(L47&gt;=10,"是","否"))</f>
        <v/>
      </c>
      <c r="N47" s="10">
        <f>IF(J47="","",IF(J47&lt;0.15,"是","否"))</f>
        <v/>
      </c>
      <c r="O47" s="10">
        <f>IF(I47="","",IF(J47&lt;0.15,"SAFETY_STOP",IF(L47&gt;=10,"VL_THRESHOLD","PLANNED_END")))</f>
        <v/>
      </c>
      <c r="P47" s="10">
        <f>IF(I47="","",IF(I47&gt;($D$2+0.05),"+5kg",IF(I47&gt;($D$2+0.02),"+2.5kg",IF(I47&gt;=($D$2-0.05),"保持",IF(I47&gt;=($D$2-0.08),"-2.5kg","-5kg")))))</f>
        <v/>
      </c>
      <c r="Q47" s="9" t="n"/>
      <c r="R47" s="12" t="n"/>
      <c r="S47" s="12" t="n"/>
      <c r="T47" s="12" t="n"/>
    </row>
    <row r="48">
      <c r="A48" s="12" t="n">
        <v>5</v>
      </c>
      <c r="B48" s="9" t="n"/>
      <c r="C48" s="9" t="n"/>
      <c r="D48" s="9" t="n"/>
      <c r="E48" s="9" t="n"/>
      <c r="F48" s="9" t="n"/>
      <c r="G48" s="9" t="n"/>
      <c r="H48" s="9" t="n"/>
      <c r="I48" s="10">
        <f>IFERROR(INDEX(C48:H48,MATCH(TRUE,INDEX(C48:H48&lt;&gt;"",0),0)),"")</f>
        <v/>
      </c>
      <c r="J48" s="10">
        <f>IFERROR(MIN(IF(C48:H48&lt;&gt;"",C48:H48)),"")</f>
        <v/>
      </c>
      <c r="K48" s="10">
        <f>IFERROR(MATCH(I48,C48:H48,0),"")</f>
        <v/>
      </c>
      <c r="L48" s="10">
        <f>IF(OR(I48="",J48=""),"",ROUND((I48-J48)/I48*100,1))</f>
        <v/>
      </c>
      <c r="M48" s="10">
        <f>IF(L48="","",IF(L48&gt;=10,"是","否"))</f>
        <v/>
      </c>
      <c r="N48" s="10">
        <f>IF(J48="","",IF(J48&lt;0.15,"是","否"))</f>
        <v/>
      </c>
      <c r="O48" s="10">
        <f>IF(I48="","",IF(J48&lt;0.15,"SAFETY_STOP",IF(L48&gt;=10,"VL_THRESHOLD","PLANNED_END")))</f>
        <v/>
      </c>
      <c r="P48" s="10">
        <f>IF(I48="","",IF(I48&gt;($D$2+0.05),"+5kg",IF(I48&gt;($D$2+0.02),"+2.5kg",IF(I48&gt;=($D$2-0.05),"保持",IF(I48&gt;=($D$2-0.08),"-2.5kg","-5kg")))))</f>
        <v/>
      </c>
      <c r="Q48" s="9" t="n"/>
      <c r="R48" s="12" t="n"/>
      <c r="S48" s="12" t="n"/>
      <c r="T48" s="12" t="n"/>
    </row>
    <row r="49">
      <c r="A49" s="12" t="n">
        <v>6</v>
      </c>
      <c r="B49" s="9" t="n"/>
      <c r="C49" s="9" t="n"/>
      <c r="D49" s="9" t="n"/>
      <c r="E49" s="9" t="n"/>
      <c r="F49" s="9" t="n"/>
      <c r="G49" s="9" t="n"/>
      <c r="H49" s="9" t="n"/>
      <c r="I49" s="10">
        <f>IFERROR(INDEX(C49:H49,MATCH(TRUE,INDEX(C49:H49&lt;&gt;"",0),0)),"")</f>
        <v/>
      </c>
      <c r="J49" s="10">
        <f>IFERROR(MIN(IF(C49:H49&lt;&gt;"",C49:H49)),"")</f>
        <v/>
      </c>
      <c r="K49" s="10">
        <f>IFERROR(MATCH(I49,C49:H49,0),"")</f>
        <v/>
      </c>
      <c r="L49" s="10">
        <f>IF(OR(I49="",J49=""),"",ROUND((I49-J49)/I49*100,1))</f>
        <v/>
      </c>
      <c r="M49" s="10">
        <f>IF(L49="","",IF(L49&gt;=10,"是","否"))</f>
        <v/>
      </c>
      <c r="N49" s="10">
        <f>IF(J49="","",IF(J49&lt;0.15,"是","否"))</f>
        <v/>
      </c>
      <c r="O49" s="10">
        <f>IF(I49="","",IF(J49&lt;0.15,"SAFETY_STOP",IF(L49&gt;=10,"VL_THRESHOLD","PLANNED_END")))</f>
        <v/>
      </c>
      <c r="P49" s="10">
        <f>IF(I49="","",IF(I49&gt;($D$2+0.05),"+5kg",IF(I49&gt;($D$2+0.02),"+2.5kg",IF(I49&gt;=($D$2-0.05),"保持",IF(I49&gt;=($D$2-0.08),"-2.5kg","-5kg")))))</f>
        <v/>
      </c>
      <c r="Q49" s="9" t="n"/>
      <c r="R49" s="12" t="n"/>
      <c r="S49" s="12" t="n"/>
      <c r="T49" s="12" t="n"/>
    </row>
    <row r="50">
      <c r="A50" s="8" t="inlineStr">
        <is>
          <t>辅助动作</t>
        </is>
      </c>
      <c r="B50" s="8" t="inlineStr">
        <is>
          <t>动作名称</t>
        </is>
      </c>
      <c r="C50" s="8" t="inlineStr">
        <is>
          <t>负荷kg</t>
        </is>
      </c>
      <c r="D50" s="8" t="inlineStr">
        <is>
          <t>完成(组×次)</t>
        </is>
      </c>
    </row>
    <row r="51">
      <c r="A51" s="9" t="inlineStr"/>
      <c r="B51" s="9" t="n"/>
      <c r="C51" s="9" t="n"/>
      <c r="D51" s="9" t="n"/>
    </row>
    <row r="52">
      <c r="A52" s="8" t="inlineStr">
        <is>
          <t>训练后</t>
        </is>
      </c>
      <c r="B52" s="8" t="inlineStr">
        <is>
          <t>开始时间</t>
        </is>
      </c>
      <c r="C52" s="8" t="inlineStr">
        <is>
          <t>结束时间</t>
        </is>
      </c>
      <c r="D52" s="8" t="inlineStr">
        <is>
          <t>总时长min</t>
        </is>
      </c>
      <c r="E52" s="8" t="inlineStr">
        <is>
          <t>sRPE</t>
        </is>
      </c>
      <c r="F52" s="8" t="inlineStr">
        <is>
          <t>session_load</t>
        </is>
      </c>
      <c r="G52" s="8" t="inlineStr">
        <is>
          <t>有无不适</t>
        </is>
      </c>
      <c r="H52" s="8" t="inlineStr">
        <is>
          <t>备注</t>
        </is>
      </c>
      <c r="I52" s="8" t="inlineStr">
        <is>
          <t>研究员签名</t>
        </is>
      </c>
    </row>
    <row r="53">
      <c r="A53" s="13" t="inlineStr"/>
      <c r="B53" s="13" t="n"/>
      <c r="C53" s="13" t="n"/>
      <c r="D53" s="10">
        <f>IF(OR(B53="",C53=""),"",(C53-B53)*1440)</f>
        <v/>
      </c>
      <c r="E53" s="13" t="n"/>
      <c r="F53" s="10">
        <f>IF(OR(D53="",E53=""),"",D53*E53)</f>
        <v/>
      </c>
      <c r="G53" s="13" t="n"/>
      <c r="H53" s="13" t="n"/>
      <c r="I53" s="13" t="n"/>
    </row>
    <row r="55">
      <c r="A55" s="5" t="inlineStr">
        <is>
          <t>── P006 陈镕垚 ──────────────────────────────────────────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</row>
    <row r="56">
      <c r="A56" s="8" t="inlineStr">
        <is>
          <t>编号</t>
        </is>
      </c>
      <c r="B56" s="8" t="inlineStr">
        <is>
          <t>姓名</t>
        </is>
      </c>
      <c r="C56" s="8" t="inlineStr">
        <is>
          <t>身高</t>
        </is>
      </c>
      <c r="D56" s="8" t="inlineStr">
        <is>
          <t>1RM</t>
        </is>
      </c>
      <c r="E56" s="8" t="inlineStr">
        <is>
          <t>睡眠</t>
        </is>
      </c>
      <c r="F56" s="8" t="inlineStr">
        <is>
          <t>压力</t>
        </is>
      </c>
      <c r="G56" s="8" t="inlineStr">
        <is>
          <t>疲劳</t>
        </is>
      </c>
      <c r="H56" s="8" t="inlineStr">
        <is>
          <t>酸痛</t>
        </is>
      </c>
      <c r="I56" s="8" t="inlineStr">
        <is>
          <t>Hooper总</t>
        </is>
      </c>
      <c r="J56" s="8" t="inlineStr">
        <is>
          <t>CMJ1</t>
        </is>
      </c>
      <c r="K56" s="8" t="inlineStr">
        <is>
          <t>CMJ2</t>
        </is>
      </c>
      <c r="L56" s="8" t="inlineStr">
        <is>
          <t>CMJ3</t>
        </is>
      </c>
      <c r="M56" s="8" t="inlineStr">
        <is>
          <t>CMJ均值</t>
        </is>
      </c>
      <c r="N56" s="8" t="inlineStr">
        <is>
          <t>&lt;95%?</t>
        </is>
      </c>
      <c r="O56" s="8" t="inlineStr">
        <is>
          <t>减组?</t>
        </is>
      </c>
      <c r="P56" s="8" t="inlineStr">
        <is>
          <t>实做组数</t>
        </is>
      </c>
      <c r="Q56" s="8" t="inlineStr">
        <is>
          <t>LVP_a</t>
        </is>
      </c>
      <c r="R56" s="8" t="inlineStr">
        <is>
          <t>LVP_b</t>
        </is>
      </c>
      <c r="S56" s="8" t="inlineStr">
        <is>
          <t>等级</t>
        </is>
      </c>
      <c r="T56" s="8" t="inlineStr">
        <is>
          <t>预测起始</t>
        </is>
      </c>
    </row>
    <row r="57">
      <c r="A57" s="9" t="inlineStr">
        <is>
          <t>P006</t>
        </is>
      </c>
      <c r="B57" s="9" t="inlineStr">
        <is>
          <t>陈镕垚</t>
        </is>
      </c>
      <c r="C57" s="9" t="n">
        <v>181</v>
      </c>
      <c r="D57" s="9" t="n">
        <v>145</v>
      </c>
      <c r="E57" s="9" t="n"/>
      <c r="F57" s="9" t="n"/>
      <c r="G57" s="9" t="n"/>
      <c r="H57" s="9" t="n"/>
      <c r="I57" s="10">
        <f>IFERROR(SUM(E57:H57),"")</f>
        <v/>
      </c>
      <c r="J57" s="9" t="n"/>
      <c r="K57" s="9" t="n"/>
      <c r="L57" s="9" t="n"/>
      <c r="M57" s="10">
        <f>IFERROR(AVERAGE(J57:L57),"")</f>
        <v/>
      </c>
      <c r="N57" s="10">
        <f>IF(M57="","",IF(M57&lt;59.06,"是⚠","否"))</f>
        <v/>
      </c>
      <c r="O57" s="10">
        <f>IF(M57="","",IF(M57&lt;59.06,"减1组","正常"))</f>
        <v/>
      </c>
      <c r="P57" s="10">
        <f>IF(M57="","",IF(M57&lt;59.06,4-1,4))</f>
        <v/>
      </c>
      <c r="Q57" s="9" t="n">
        <v>1.45</v>
      </c>
      <c r="R57" s="9" t="n">
        <v>-0.00675</v>
      </c>
      <c r="S57" s="9" t="inlineStr">
        <is>
          <t>B</t>
        </is>
      </c>
      <c r="T57" s="10">
        <f>IFERROR(ROUND((0.8-1.45)/-0.00675,0.5),"")</f>
        <v/>
      </c>
    </row>
    <row r="58">
      <c r="A58" s="8" t="inlineStr">
        <is>
          <t>热身校准</t>
        </is>
      </c>
      <c r="B58" s="8" t="inlineStr">
        <is>
          <t>LVP_a</t>
        </is>
      </c>
      <c r="C58" s="8" t="inlineStr">
        <is>
          <t>LVP_b</t>
        </is>
      </c>
      <c r="D58" s="8" t="inlineStr">
        <is>
          <t>50%热身kg</t>
        </is>
      </c>
      <c r="E58" s="8" t="inlineStr">
        <is>
          <t>70%热身kg</t>
        </is>
      </c>
      <c r="F58" s="8" t="inlineStr">
        <is>
          <t>热身负荷kg</t>
        </is>
      </c>
      <c r="G58" s="8" t="inlineStr">
        <is>
          <t>实测MCV</t>
        </is>
      </c>
      <c r="H58" s="8" t="inlineStr">
        <is>
          <t>预测MCV</t>
        </is>
      </c>
      <c r="I58" s="8" t="inlineStr">
        <is>
          <t>Δv</t>
        </is>
      </c>
      <c r="J58" s="8" t="inlineStr">
        <is>
          <t>调整量kg</t>
        </is>
      </c>
      <c r="K58" s="8" t="inlineStr">
        <is>
          <t>校准后第1组kg</t>
        </is>
      </c>
    </row>
    <row r="59">
      <c r="A59" s="11" t="inlineStr"/>
      <c r="B59" s="11" t="n">
        <v>1.45</v>
      </c>
      <c r="C59" s="11" t="n">
        <v>-0.00675</v>
      </c>
      <c r="D59" s="10">
        <f>IFERROR(ROUND(T57*0.5,2.5),"")</f>
        <v/>
      </c>
      <c r="E59" s="10">
        <f>IFERROR(ROUND(T57*0.7,2.5),"")</f>
        <v/>
      </c>
      <c r="F59" s="10">
        <f>D59</f>
        <v/>
      </c>
      <c r="G59" s="9" t="n"/>
      <c r="H59" s="10">
        <f>IF(F59="","",B59+C59*F59)</f>
        <v/>
      </c>
      <c r="I59" s="10">
        <f>IF(OR(G59="",H59=""),"",G59-H59)</f>
        <v/>
      </c>
      <c r="J59" s="10">
        <f>IF(I59="","",IF(I59&gt;0.08,5,IF(I59&gt;0.04,2.5,IF(I59&gt;=-0.04,0,IF(I59&gt;=-0.08,-2.5,-5)))))</f>
        <v/>
      </c>
      <c r="K59" s="10">
        <f>IFERROR(ROUND(T57+J59,2.5),"")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8" t="inlineStr">
        <is>
          <t>组次</t>
        </is>
      </c>
      <c r="B60" s="8" t="inlineStr">
        <is>
          <t>负荷kg</t>
        </is>
      </c>
      <c r="C60" s="8" t="inlineStr">
        <is>
          <t>rep1</t>
        </is>
      </c>
      <c r="D60" s="8" t="inlineStr">
        <is>
          <t>rep2</t>
        </is>
      </c>
      <c r="E60" s="8" t="inlineStr">
        <is>
          <t>rep3</t>
        </is>
      </c>
      <c r="F60" s="8" t="inlineStr">
        <is>
          <t>rep4</t>
        </is>
      </c>
      <c r="G60" s="8" t="inlineStr">
        <is>
          <t>rep5</t>
        </is>
      </c>
      <c r="H60" s="8" t="inlineStr">
        <is>
          <t>rep6</t>
        </is>
      </c>
      <c r="I60" s="8" t="inlineStr">
        <is>
          <t>首rep</t>
        </is>
      </c>
      <c r="J60" s="8" t="inlineStr">
        <is>
          <t>最低速</t>
        </is>
      </c>
      <c r="K60" s="8" t="inlineStr">
        <is>
          <t>最低rep#</t>
        </is>
      </c>
      <c r="L60" s="8" t="inlineStr">
        <is>
          <t>VL%</t>
        </is>
      </c>
      <c r="M60" s="8" t="inlineStr">
        <is>
          <t>VL达标?</t>
        </is>
      </c>
      <c r="N60" s="8" t="inlineStr">
        <is>
          <t>安全停止?</t>
        </is>
      </c>
      <c r="O60" s="8" t="inlineStr">
        <is>
          <t>停组原因</t>
        </is>
      </c>
      <c r="P60" s="8" t="inlineStr">
        <is>
          <t>下组建议</t>
        </is>
      </c>
      <c r="Q60" s="8" t="inlineStr">
        <is>
          <t>实做次数</t>
        </is>
      </c>
    </row>
    <row r="61">
      <c r="A61" s="12" t="n">
        <v>1</v>
      </c>
      <c r="B61" s="10">
        <f>IF(K59="","",K59)</f>
        <v/>
      </c>
      <c r="C61" s="9" t="n"/>
      <c r="D61" s="9" t="n"/>
      <c r="E61" s="9" t="n"/>
      <c r="F61" s="9" t="n"/>
      <c r="G61" s="9" t="n"/>
      <c r="H61" s="9" t="n"/>
      <c r="I61" s="10">
        <f>IFERROR(INDEX(C61:H61,MATCH(TRUE,INDEX(C61:H61&lt;&gt;"",0),0)),"")</f>
        <v/>
      </c>
      <c r="J61" s="10">
        <f>IFERROR(MIN(IF(C61:H61&lt;&gt;"",C61:H61)),"")</f>
        <v/>
      </c>
      <c r="K61" s="10">
        <f>IFERROR(MATCH(I61,C61:H61,0),"")</f>
        <v/>
      </c>
      <c r="L61" s="10">
        <f>IF(OR(I61="",J61=""),"",ROUND((I61-J61)/I61*100,1))</f>
        <v/>
      </c>
      <c r="M61" s="10">
        <f>IF(L61="","",IF(L61&gt;=10,"是","否"))</f>
        <v/>
      </c>
      <c r="N61" s="10">
        <f>IF(J61="","",IF(J61&lt;0.15,"是","否"))</f>
        <v/>
      </c>
      <c r="O61" s="10">
        <f>IF(I61="","",IF(J61&lt;0.15,"SAFETY_STOP",IF(L61&gt;=10,"VL_THRESHOLD","PLANNED_END")))</f>
        <v/>
      </c>
      <c r="P61" s="10">
        <f>IF(I61="","",IF(I61&gt;($D$2+0.05),"+5kg",IF(I61&gt;($D$2+0.02),"+2.5kg",IF(I61&gt;=($D$2-0.05),"保持",IF(I61&gt;=($D$2-0.08),"-2.5kg","-5kg")))))</f>
        <v/>
      </c>
      <c r="Q61" s="9" t="n"/>
      <c r="R61" s="12" t="n"/>
      <c r="S61" s="12" t="n"/>
      <c r="T61" s="12" t="n"/>
    </row>
    <row r="62">
      <c r="A62" s="12" t="n">
        <v>2</v>
      </c>
      <c r="B62" s="9" t="n"/>
      <c r="C62" s="9" t="n"/>
      <c r="D62" s="9" t="n"/>
      <c r="E62" s="9" t="n"/>
      <c r="F62" s="9" t="n"/>
      <c r="G62" s="9" t="n"/>
      <c r="H62" s="9" t="n"/>
      <c r="I62" s="10">
        <f>IFERROR(INDEX(C62:H62,MATCH(TRUE,INDEX(C62:H62&lt;&gt;"",0),0)),"")</f>
        <v/>
      </c>
      <c r="J62" s="10">
        <f>IFERROR(MIN(IF(C62:H62&lt;&gt;"",C62:H62)),"")</f>
        <v/>
      </c>
      <c r="K62" s="10">
        <f>IFERROR(MATCH(I62,C62:H62,0),"")</f>
        <v/>
      </c>
      <c r="L62" s="10">
        <f>IF(OR(I62="",J62=""),"",ROUND((I62-J62)/I62*100,1))</f>
        <v/>
      </c>
      <c r="M62" s="10">
        <f>IF(L62="","",IF(L62&gt;=10,"是","否"))</f>
        <v/>
      </c>
      <c r="N62" s="10">
        <f>IF(J62="","",IF(J62&lt;0.15,"是","否"))</f>
        <v/>
      </c>
      <c r="O62" s="10">
        <f>IF(I62="","",IF(J62&lt;0.15,"SAFETY_STOP",IF(L62&gt;=10,"VL_THRESHOLD","PLANNED_END")))</f>
        <v/>
      </c>
      <c r="P62" s="10">
        <f>IF(I62="","",IF(I62&gt;($D$2+0.05),"+5kg",IF(I62&gt;($D$2+0.02),"+2.5kg",IF(I62&gt;=($D$2-0.05),"保持",IF(I62&gt;=($D$2-0.08),"-2.5kg","-5kg")))))</f>
        <v/>
      </c>
      <c r="Q62" s="9" t="n"/>
      <c r="R62" s="12" t="n"/>
      <c r="S62" s="12" t="n"/>
      <c r="T62" s="12" t="n"/>
    </row>
    <row r="63">
      <c r="A63" s="12" t="n">
        <v>3</v>
      </c>
      <c r="B63" s="9" t="n"/>
      <c r="C63" s="9" t="n"/>
      <c r="D63" s="9" t="n"/>
      <c r="E63" s="9" t="n"/>
      <c r="F63" s="9" t="n"/>
      <c r="G63" s="9" t="n"/>
      <c r="H63" s="9" t="n"/>
      <c r="I63" s="10">
        <f>IFERROR(INDEX(C63:H63,MATCH(TRUE,INDEX(C63:H63&lt;&gt;"",0),0)),"")</f>
        <v/>
      </c>
      <c r="J63" s="10">
        <f>IFERROR(MIN(IF(C63:H63&lt;&gt;"",C63:H63)),"")</f>
        <v/>
      </c>
      <c r="K63" s="10">
        <f>IFERROR(MATCH(I63,C63:H63,0),"")</f>
        <v/>
      </c>
      <c r="L63" s="10">
        <f>IF(OR(I63="",J63=""),"",ROUND((I63-J63)/I63*100,1))</f>
        <v/>
      </c>
      <c r="M63" s="10">
        <f>IF(L63="","",IF(L63&gt;=10,"是","否"))</f>
        <v/>
      </c>
      <c r="N63" s="10">
        <f>IF(J63="","",IF(J63&lt;0.15,"是","否"))</f>
        <v/>
      </c>
      <c r="O63" s="10">
        <f>IF(I63="","",IF(J63&lt;0.15,"SAFETY_STOP",IF(L63&gt;=10,"VL_THRESHOLD","PLANNED_END")))</f>
        <v/>
      </c>
      <c r="P63" s="10">
        <f>IF(I63="","",IF(I63&gt;($D$2+0.05),"+5kg",IF(I63&gt;($D$2+0.02),"+2.5kg",IF(I63&gt;=($D$2-0.05),"保持",IF(I63&gt;=($D$2-0.08),"-2.5kg","-5kg")))))</f>
        <v/>
      </c>
      <c r="Q63" s="9" t="n"/>
      <c r="R63" s="12" t="n"/>
      <c r="S63" s="12" t="n"/>
      <c r="T63" s="12" t="n"/>
    </row>
    <row r="64">
      <c r="A64" s="12" t="n">
        <v>4</v>
      </c>
      <c r="B64" s="9" t="n"/>
      <c r="C64" s="9" t="n"/>
      <c r="D64" s="9" t="n"/>
      <c r="E64" s="9" t="n"/>
      <c r="F64" s="9" t="n"/>
      <c r="G64" s="9" t="n"/>
      <c r="H64" s="9" t="n"/>
      <c r="I64" s="10">
        <f>IFERROR(INDEX(C64:H64,MATCH(TRUE,INDEX(C64:H64&lt;&gt;"",0),0)),"")</f>
        <v/>
      </c>
      <c r="J64" s="10">
        <f>IFERROR(MIN(IF(C64:H64&lt;&gt;"",C64:H64)),"")</f>
        <v/>
      </c>
      <c r="K64" s="10">
        <f>IFERROR(MATCH(I64,C64:H64,0),"")</f>
        <v/>
      </c>
      <c r="L64" s="10">
        <f>IF(OR(I64="",J64=""),"",ROUND((I64-J64)/I64*100,1))</f>
        <v/>
      </c>
      <c r="M64" s="10">
        <f>IF(L64="","",IF(L64&gt;=10,"是","否"))</f>
        <v/>
      </c>
      <c r="N64" s="10">
        <f>IF(J64="","",IF(J64&lt;0.15,"是","否"))</f>
        <v/>
      </c>
      <c r="O64" s="10">
        <f>IF(I64="","",IF(J64&lt;0.15,"SAFETY_STOP",IF(L64&gt;=10,"VL_THRESHOLD","PLANNED_END")))</f>
        <v/>
      </c>
      <c r="P64" s="10">
        <f>IF(I64="","",IF(I64&gt;($D$2+0.05),"+5kg",IF(I64&gt;($D$2+0.02),"+2.5kg",IF(I64&gt;=($D$2-0.05),"保持",IF(I64&gt;=($D$2-0.08),"-2.5kg","-5kg")))))</f>
        <v/>
      </c>
      <c r="Q64" s="9" t="n"/>
      <c r="R64" s="12" t="n"/>
      <c r="S64" s="12" t="n"/>
      <c r="T64" s="12" t="n"/>
    </row>
    <row r="65">
      <c r="A65" s="12" t="n">
        <v>5</v>
      </c>
      <c r="B65" s="9" t="n"/>
      <c r="C65" s="9" t="n"/>
      <c r="D65" s="9" t="n"/>
      <c r="E65" s="9" t="n"/>
      <c r="F65" s="9" t="n"/>
      <c r="G65" s="9" t="n"/>
      <c r="H65" s="9" t="n"/>
      <c r="I65" s="10">
        <f>IFERROR(INDEX(C65:H65,MATCH(TRUE,INDEX(C65:H65&lt;&gt;"",0),0)),"")</f>
        <v/>
      </c>
      <c r="J65" s="10">
        <f>IFERROR(MIN(IF(C65:H65&lt;&gt;"",C65:H65)),"")</f>
        <v/>
      </c>
      <c r="K65" s="10">
        <f>IFERROR(MATCH(I65,C65:H65,0),"")</f>
        <v/>
      </c>
      <c r="L65" s="10">
        <f>IF(OR(I65="",J65=""),"",ROUND((I65-J65)/I65*100,1))</f>
        <v/>
      </c>
      <c r="M65" s="10">
        <f>IF(L65="","",IF(L65&gt;=10,"是","否"))</f>
        <v/>
      </c>
      <c r="N65" s="10">
        <f>IF(J65="","",IF(J65&lt;0.15,"是","否"))</f>
        <v/>
      </c>
      <c r="O65" s="10">
        <f>IF(I65="","",IF(J65&lt;0.15,"SAFETY_STOP",IF(L65&gt;=10,"VL_THRESHOLD","PLANNED_END")))</f>
        <v/>
      </c>
      <c r="P65" s="10">
        <f>IF(I65="","",IF(I65&gt;($D$2+0.05),"+5kg",IF(I65&gt;($D$2+0.02),"+2.5kg",IF(I65&gt;=($D$2-0.05),"保持",IF(I65&gt;=($D$2-0.08),"-2.5kg","-5kg")))))</f>
        <v/>
      </c>
      <c r="Q65" s="9" t="n"/>
      <c r="R65" s="12" t="n"/>
      <c r="S65" s="12" t="n"/>
      <c r="T65" s="12" t="n"/>
    </row>
    <row r="66">
      <c r="A66" s="12" t="n">
        <v>6</v>
      </c>
      <c r="B66" s="9" t="n"/>
      <c r="C66" s="9" t="n"/>
      <c r="D66" s="9" t="n"/>
      <c r="E66" s="9" t="n"/>
      <c r="F66" s="9" t="n"/>
      <c r="G66" s="9" t="n"/>
      <c r="H66" s="9" t="n"/>
      <c r="I66" s="10">
        <f>IFERROR(INDEX(C66:H66,MATCH(TRUE,INDEX(C66:H66&lt;&gt;"",0),0)),"")</f>
        <v/>
      </c>
      <c r="J66" s="10">
        <f>IFERROR(MIN(IF(C66:H66&lt;&gt;"",C66:H66)),"")</f>
        <v/>
      </c>
      <c r="K66" s="10">
        <f>IFERROR(MATCH(I66,C66:H66,0),"")</f>
        <v/>
      </c>
      <c r="L66" s="10">
        <f>IF(OR(I66="",J66=""),"",ROUND((I66-J66)/I66*100,1))</f>
        <v/>
      </c>
      <c r="M66" s="10">
        <f>IF(L66="","",IF(L66&gt;=10,"是","否"))</f>
        <v/>
      </c>
      <c r="N66" s="10">
        <f>IF(J66="","",IF(J66&lt;0.15,"是","否"))</f>
        <v/>
      </c>
      <c r="O66" s="10">
        <f>IF(I66="","",IF(J66&lt;0.15,"SAFETY_STOP",IF(L66&gt;=10,"VL_THRESHOLD","PLANNED_END")))</f>
        <v/>
      </c>
      <c r="P66" s="10">
        <f>IF(I66="","",IF(I66&gt;($D$2+0.05),"+5kg",IF(I66&gt;($D$2+0.02),"+2.5kg",IF(I66&gt;=($D$2-0.05),"保持",IF(I66&gt;=($D$2-0.08),"-2.5kg","-5kg")))))</f>
        <v/>
      </c>
      <c r="Q66" s="9" t="n"/>
      <c r="R66" s="12" t="n"/>
      <c r="S66" s="12" t="n"/>
      <c r="T66" s="12" t="n"/>
    </row>
    <row r="67">
      <c r="A67" s="8" t="inlineStr">
        <is>
          <t>辅助动作</t>
        </is>
      </c>
      <c r="B67" s="8" t="inlineStr">
        <is>
          <t>动作名称</t>
        </is>
      </c>
      <c r="C67" s="8" t="inlineStr">
        <is>
          <t>负荷kg</t>
        </is>
      </c>
      <c r="D67" s="8" t="inlineStr">
        <is>
          <t>完成(组×次)</t>
        </is>
      </c>
    </row>
    <row r="68">
      <c r="A68" s="9" t="inlineStr"/>
      <c r="B68" s="9" t="n"/>
      <c r="C68" s="9" t="n"/>
      <c r="D68" s="9" t="n"/>
    </row>
    <row r="69">
      <c r="A69" s="8" t="inlineStr">
        <is>
          <t>训练后</t>
        </is>
      </c>
      <c r="B69" s="8" t="inlineStr">
        <is>
          <t>开始时间</t>
        </is>
      </c>
      <c r="C69" s="8" t="inlineStr">
        <is>
          <t>结束时间</t>
        </is>
      </c>
      <c r="D69" s="8" t="inlineStr">
        <is>
          <t>总时长min</t>
        </is>
      </c>
      <c r="E69" s="8" t="inlineStr">
        <is>
          <t>sRPE</t>
        </is>
      </c>
      <c r="F69" s="8" t="inlineStr">
        <is>
          <t>session_load</t>
        </is>
      </c>
      <c r="G69" s="8" t="inlineStr">
        <is>
          <t>有无不适</t>
        </is>
      </c>
      <c r="H69" s="8" t="inlineStr">
        <is>
          <t>备注</t>
        </is>
      </c>
      <c r="I69" s="8" t="inlineStr">
        <is>
          <t>研究员签名</t>
        </is>
      </c>
    </row>
    <row r="70">
      <c r="A70" s="13" t="inlineStr"/>
      <c r="B70" s="13" t="n"/>
      <c r="C70" s="13" t="n"/>
      <c r="D70" s="10">
        <f>IF(OR(B70="",C70=""),"",(C70-B70)*1440)</f>
        <v/>
      </c>
      <c r="E70" s="13" t="n"/>
      <c r="F70" s="10">
        <f>IF(OR(D70="",E70=""),"",D70*E70)</f>
        <v/>
      </c>
      <c r="G70" s="13" t="n"/>
      <c r="H70" s="13" t="n"/>
      <c r="I70" s="13" t="n"/>
    </row>
    <row r="72">
      <c r="A72" s="5" t="inlineStr">
        <is>
          <t>── P015 陈先栋 ──────────────────────────────────────────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7" t="n"/>
    </row>
    <row r="73">
      <c r="A73" s="8" t="inlineStr">
        <is>
          <t>编号</t>
        </is>
      </c>
      <c r="B73" s="8" t="inlineStr">
        <is>
          <t>姓名</t>
        </is>
      </c>
      <c r="C73" s="8" t="inlineStr">
        <is>
          <t>身高</t>
        </is>
      </c>
      <c r="D73" s="8" t="inlineStr">
        <is>
          <t>1RM</t>
        </is>
      </c>
      <c r="E73" s="8" t="inlineStr">
        <is>
          <t>睡眠</t>
        </is>
      </c>
      <c r="F73" s="8" t="inlineStr">
        <is>
          <t>压力</t>
        </is>
      </c>
      <c r="G73" s="8" t="inlineStr">
        <is>
          <t>疲劳</t>
        </is>
      </c>
      <c r="H73" s="8" t="inlineStr">
        <is>
          <t>酸痛</t>
        </is>
      </c>
      <c r="I73" s="8" t="inlineStr">
        <is>
          <t>Hooper总</t>
        </is>
      </c>
      <c r="J73" s="8" t="inlineStr">
        <is>
          <t>CMJ1</t>
        </is>
      </c>
      <c r="K73" s="8" t="inlineStr">
        <is>
          <t>CMJ2</t>
        </is>
      </c>
      <c r="L73" s="8" t="inlineStr">
        <is>
          <t>CMJ3</t>
        </is>
      </c>
      <c r="M73" s="8" t="inlineStr">
        <is>
          <t>CMJ均值</t>
        </is>
      </c>
      <c r="N73" s="8" t="inlineStr">
        <is>
          <t>&lt;95%?</t>
        </is>
      </c>
      <c r="O73" s="8" t="inlineStr">
        <is>
          <t>减组?</t>
        </is>
      </c>
      <c r="P73" s="8" t="inlineStr">
        <is>
          <t>实做组数</t>
        </is>
      </c>
      <c r="Q73" s="8" t="inlineStr">
        <is>
          <t>LVP_a</t>
        </is>
      </c>
      <c r="R73" s="8" t="inlineStr">
        <is>
          <t>LVP_b</t>
        </is>
      </c>
      <c r="S73" s="8" t="inlineStr">
        <is>
          <t>等级</t>
        </is>
      </c>
      <c r="T73" s="8" t="inlineStr">
        <is>
          <t>预测起始</t>
        </is>
      </c>
    </row>
    <row r="74">
      <c r="A74" s="9" t="inlineStr">
        <is>
          <t>P015</t>
        </is>
      </c>
      <c r="B74" s="9" t="inlineStr">
        <is>
          <t>陈先栋</t>
        </is>
      </c>
      <c r="C74" s="9" t="n">
        <v>175</v>
      </c>
      <c r="D74" s="9" t="n">
        <v>135</v>
      </c>
      <c r="E74" s="9" t="n"/>
      <c r="F74" s="9" t="n"/>
      <c r="G74" s="9" t="n"/>
      <c r="H74" s="9" t="n"/>
      <c r="I74" s="10">
        <f>IFERROR(SUM(E74:H74),"")</f>
        <v/>
      </c>
      <c r="J74" s="9" t="n"/>
      <c r="K74" s="9" t="n"/>
      <c r="L74" s="9" t="n"/>
      <c r="M74" s="10">
        <f>IFERROR(AVERAGE(J74:L74),"")</f>
        <v/>
      </c>
      <c r="N74" s="10">
        <f>IF(M74="","",IF(M74&lt;54.25,"是⚠","否"))</f>
        <v/>
      </c>
      <c r="O74" s="10">
        <f>IF(M74="","",IF(M74&lt;54.25,"减1组","正常"))</f>
        <v/>
      </c>
      <c r="P74" s="10">
        <f>IF(M74="","",IF(M74&lt;54.25,4-1,4))</f>
        <v/>
      </c>
      <c r="Q74" s="9" t="n">
        <v>1.77</v>
      </c>
      <c r="R74" s="9" t="n">
        <v>-0.01025</v>
      </c>
      <c r="S74" s="9" t="inlineStr">
        <is>
          <t>C</t>
        </is>
      </c>
      <c r="T74" s="10">
        <f>IFERROR(ROUND((0.8-1.77)/-0.01025,0.5),"")</f>
        <v/>
      </c>
    </row>
    <row r="75">
      <c r="A75" s="8" t="inlineStr">
        <is>
          <t>热身校准</t>
        </is>
      </c>
      <c r="B75" s="8" t="inlineStr">
        <is>
          <t>LVP_a</t>
        </is>
      </c>
      <c r="C75" s="8" t="inlineStr">
        <is>
          <t>LVP_b</t>
        </is>
      </c>
      <c r="D75" s="8" t="inlineStr">
        <is>
          <t>50%热身kg</t>
        </is>
      </c>
      <c r="E75" s="8" t="inlineStr">
        <is>
          <t>70%热身kg</t>
        </is>
      </c>
      <c r="F75" s="8" t="inlineStr">
        <is>
          <t>热身负荷kg</t>
        </is>
      </c>
      <c r="G75" s="8" t="inlineStr">
        <is>
          <t>实测MCV</t>
        </is>
      </c>
      <c r="H75" s="8" t="inlineStr">
        <is>
          <t>预测MCV</t>
        </is>
      </c>
      <c r="I75" s="8" t="inlineStr">
        <is>
          <t>Δv</t>
        </is>
      </c>
      <c r="J75" s="8" t="inlineStr">
        <is>
          <t>调整量kg</t>
        </is>
      </c>
      <c r="K75" s="8" t="inlineStr">
        <is>
          <t>校准后第1组kg</t>
        </is>
      </c>
    </row>
    <row r="76">
      <c r="A76" s="11" t="inlineStr"/>
      <c r="B76" s="11" t="n">
        <v>1.77</v>
      </c>
      <c r="C76" s="11" t="n">
        <v>-0.01025</v>
      </c>
      <c r="D76" s="10">
        <f>IFERROR(ROUND(T74*0.5,2.5),"")</f>
        <v/>
      </c>
      <c r="E76" s="10">
        <f>IFERROR(ROUND(T74*0.7,2.5),"")</f>
        <v/>
      </c>
      <c r="F76" s="10">
        <f>D76</f>
        <v/>
      </c>
      <c r="G76" s="9" t="n"/>
      <c r="H76" s="10">
        <f>IF(F76="","",B76+C76*F76)</f>
        <v/>
      </c>
      <c r="I76" s="10">
        <f>IF(OR(G76="",H76=""),"",G76-H76)</f>
        <v/>
      </c>
      <c r="J76" s="10">
        <f>IF(I76="","",IF(I76&gt;0.08,5,IF(I76&gt;0.04,2.5,IF(I76&gt;=-0.04,0,IF(I76&gt;=-0.08,-2.5,-5)))))</f>
        <v/>
      </c>
      <c r="K76" s="10">
        <f>IFERROR(ROUND(T74+J76,2.5),"")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8" t="inlineStr">
        <is>
          <t>组次</t>
        </is>
      </c>
      <c r="B77" s="8" t="inlineStr">
        <is>
          <t>负荷kg</t>
        </is>
      </c>
      <c r="C77" s="8" t="inlineStr">
        <is>
          <t>rep1</t>
        </is>
      </c>
      <c r="D77" s="8" t="inlineStr">
        <is>
          <t>rep2</t>
        </is>
      </c>
      <c r="E77" s="8" t="inlineStr">
        <is>
          <t>rep3</t>
        </is>
      </c>
      <c r="F77" s="8" t="inlineStr">
        <is>
          <t>rep4</t>
        </is>
      </c>
      <c r="G77" s="8" t="inlineStr">
        <is>
          <t>rep5</t>
        </is>
      </c>
      <c r="H77" s="8" t="inlineStr">
        <is>
          <t>rep6</t>
        </is>
      </c>
      <c r="I77" s="8" t="inlineStr">
        <is>
          <t>首rep</t>
        </is>
      </c>
      <c r="J77" s="8" t="inlineStr">
        <is>
          <t>最低速</t>
        </is>
      </c>
      <c r="K77" s="8" t="inlineStr">
        <is>
          <t>最低rep#</t>
        </is>
      </c>
      <c r="L77" s="8" t="inlineStr">
        <is>
          <t>VL%</t>
        </is>
      </c>
      <c r="M77" s="8" t="inlineStr">
        <is>
          <t>VL达标?</t>
        </is>
      </c>
      <c r="N77" s="8" t="inlineStr">
        <is>
          <t>安全停止?</t>
        </is>
      </c>
      <c r="O77" s="8" t="inlineStr">
        <is>
          <t>停组原因</t>
        </is>
      </c>
      <c r="P77" s="8" t="inlineStr">
        <is>
          <t>下组建议</t>
        </is>
      </c>
      <c r="Q77" s="8" t="inlineStr">
        <is>
          <t>实做次数</t>
        </is>
      </c>
    </row>
    <row r="78">
      <c r="A78" s="12" t="n">
        <v>1</v>
      </c>
      <c r="B78" s="10">
        <f>IF(K76="","",K76)</f>
        <v/>
      </c>
      <c r="C78" s="9" t="n"/>
      <c r="D78" s="9" t="n"/>
      <c r="E78" s="9" t="n"/>
      <c r="F78" s="9" t="n"/>
      <c r="G78" s="9" t="n"/>
      <c r="H78" s="9" t="n"/>
      <c r="I78" s="10">
        <f>IFERROR(INDEX(C78:H78,MATCH(TRUE,INDEX(C78:H78&lt;&gt;"",0),0)),"")</f>
        <v/>
      </c>
      <c r="J78" s="10">
        <f>IFERROR(MIN(IF(C78:H78&lt;&gt;"",C78:H78)),"")</f>
        <v/>
      </c>
      <c r="K78" s="10">
        <f>IFERROR(MATCH(I78,C78:H78,0),"")</f>
        <v/>
      </c>
      <c r="L78" s="10">
        <f>IF(OR(I78="",J78=""),"",ROUND((I78-J78)/I78*100,1))</f>
        <v/>
      </c>
      <c r="M78" s="10">
        <f>IF(L78="","",IF(L78&gt;=10,"是","否"))</f>
        <v/>
      </c>
      <c r="N78" s="10">
        <f>IF(J78="","",IF(J78&lt;0.15,"是","否"))</f>
        <v/>
      </c>
      <c r="O78" s="10">
        <f>IF(I78="","",IF(J78&lt;0.15,"SAFETY_STOP",IF(L78&gt;=10,"VL_THRESHOLD","PLANNED_END")))</f>
        <v/>
      </c>
      <c r="P78" s="10">
        <f>IF(I78="","",IF(I78&gt;($D$2+0.05),"+5kg",IF(I78&gt;($D$2+0.02),"+2.5kg",IF(I78&gt;=($D$2-0.05),"保持",IF(I78&gt;=($D$2-0.08),"-2.5kg","-5kg")))))</f>
        <v/>
      </c>
      <c r="Q78" s="9" t="n"/>
      <c r="R78" s="12" t="n"/>
      <c r="S78" s="12" t="n"/>
      <c r="T78" s="12" t="n"/>
    </row>
    <row r="79">
      <c r="A79" s="12" t="n">
        <v>2</v>
      </c>
      <c r="B79" s="9" t="n"/>
      <c r="C79" s="9" t="n"/>
      <c r="D79" s="9" t="n"/>
      <c r="E79" s="9" t="n"/>
      <c r="F79" s="9" t="n"/>
      <c r="G79" s="9" t="n"/>
      <c r="H79" s="9" t="n"/>
      <c r="I79" s="10">
        <f>IFERROR(INDEX(C79:H79,MATCH(TRUE,INDEX(C79:H79&lt;&gt;"",0),0)),"")</f>
        <v/>
      </c>
      <c r="J79" s="10">
        <f>IFERROR(MIN(IF(C79:H79&lt;&gt;"",C79:H79)),"")</f>
        <v/>
      </c>
      <c r="K79" s="10">
        <f>IFERROR(MATCH(I79,C79:H79,0),"")</f>
        <v/>
      </c>
      <c r="L79" s="10">
        <f>IF(OR(I79="",J79=""),"",ROUND((I79-J79)/I79*100,1))</f>
        <v/>
      </c>
      <c r="M79" s="10">
        <f>IF(L79="","",IF(L79&gt;=10,"是","否"))</f>
        <v/>
      </c>
      <c r="N79" s="10">
        <f>IF(J79="","",IF(J79&lt;0.15,"是","否"))</f>
        <v/>
      </c>
      <c r="O79" s="10">
        <f>IF(I79="","",IF(J79&lt;0.15,"SAFETY_STOP",IF(L79&gt;=10,"VL_THRESHOLD","PLANNED_END")))</f>
        <v/>
      </c>
      <c r="P79" s="10">
        <f>IF(I79="","",IF(I79&gt;($D$2+0.05),"+5kg",IF(I79&gt;($D$2+0.02),"+2.5kg",IF(I79&gt;=($D$2-0.05),"保持",IF(I79&gt;=($D$2-0.08),"-2.5kg","-5kg")))))</f>
        <v/>
      </c>
      <c r="Q79" s="9" t="n"/>
      <c r="R79" s="12" t="n"/>
      <c r="S79" s="12" t="n"/>
      <c r="T79" s="12" t="n"/>
    </row>
    <row r="80">
      <c r="A80" s="12" t="n">
        <v>3</v>
      </c>
      <c r="B80" s="9" t="n"/>
      <c r="C80" s="9" t="n"/>
      <c r="D80" s="9" t="n"/>
      <c r="E80" s="9" t="n"/>
      <c r="F80" s="9" t="n"/>
      <c r="G80" s="9" t="n"/>
      <c r="H80" s="9" t="n"/>
      <c r="I80" s="10">
        <f>IFERROR(INDEX(C80:H80,MATCH(TRUE,INDEX(C80:H80&lt;&gt;"",0),0)),"")</f>
        <v/>
      </c>
      <c r="J80" s="10">
        <f>IFERROR(MIN(IF(C80:H80&lt;&gt;"",C80:H80)),"")</f>
        <v/>
      </c>
      <c r="K80" s="10">
        <f>IFERROR(MATCH(I80,C80:H80,0),"")</f>
        <v/>
      </c>
      <c r="L80" s="10">
        <f>IF(OR(I80="",J80=""),"",ROUND((I80-J80)/I80*100,1))</f>
        <v/>
      </c>
      <c r="M80" s="10">
        <f>IF(L80="","",IF(L80&gt;=10,"是","否"))</f>
        <v/>
      </c>
      <c r="N80" s="10">
        <f>IF(J80="","",IF(J80&lt;0.15,"是","否"))</f>
        <v/>
      </c>
      <c r="O80" s="10">
        <f>IF(I80="","",IF(J80&lt;0.15,"SAFETY_STOP",IF(L80&gt;=10,"VL_THRESHOLD","PLANNED_END")))</f>
        <v/>
      </c>
      <c r="P80" s="10">
        <f>IF(I80="","",IF(I80&gt;($D$2+0.05),"+5kg",IF(I80&gt;($D$2+0.02),"+2.5kg",IF(I80&gt;=($D$2-0.05),"保持",IF(I80&gt;=($D$2-0.08),"-2.5kg","-5kg")))))</f>
        <v/>
      </c>
      <c r="Q80" s="9" t="n"/>
      <c r="R80" s="12" t="n"/>
      <c r="S80" s="12" t="n"/>
      <c r="T80" s="12" t="n"/>
    </row>
    <row r="81">
      <c r="A81" s="12" t="n">
        <v>4</v>
      </c>
      <c r="B81" s="9" t="n"/>
      <c r="C81" s="9" t="n"/>
      <c r="D81" s="9" t="n"/>
      <c r="E81" s="9" t="n"/>
      <c r="F81" s="9" t="n"/>
      <c r="G81" s="9" t="n"/>
      <c r="H81" s="9" t="n"/>
      <c r="I81" s="10">
        <f>IFERROR(INDEX(C81:H81,MATCH(TRUE,INDEX(C81:H81&lt;&gt;"",0),0)),"")</f>
        <v/>
      </c>
      <c r="J81" s="10">
        <f>IFERROR(MIN(IF(C81:H81&lt;&gt;"",C81:H81)),"")</f>
        <v/>
      </c>
      <c r="K81" s="10">
        <f>IFERROR(MATCH(I81,C81:H81,0),"")</f>
        <v/>
      </c>
      <c r="L81" s="10">
        <f>IF(OR(I81="",J81=""),"",ROUND((I81-J81)/I81*100,1))</f>
        <v/>
      </c>
      <c r="M81" s="10">
        <f>IF(L81="","",IF(L81&gt;=10,"是","否"))</f>
        <v/>
      </c>
      <c r="N81" s="10">
        <f>IF(J81="","",IF(J81&lt;0.15,"是","否"))</f>
        <v/>
      </c>
      <c r="O81" s="10">
        <f>IF(I81="","",IF(J81&lt;0.15,"SAFETY_STOP",IF(L81&gt;=10,"VL_THRESHOLD","PLANNED_END")))</f>
        <v/>
      </c>
      <c r="P81" s="10">
        <f>IF(I81="","",IF(I81&gt;($D$2+0.05),"+5kg",IF(I81&gt;($D$2+0.02),"+2.5kg",IF(I81&gt;=($D$2-0.05),"保持",IF(I81&gt;=($D$2-0.08),"-2.5kg","-5kg")))))</f>
        <v/>
      </c>
      <c r="Q81" s="9" t="n"/>
      <c r="R81" s="12" t="n"/>
      <c r="S81" s="12" t="n"/>
      <c r="T81" s="12" t="n"/>
    </row>
    <row r="82">
      <c r="A82" s="12" t="n">
        <v>5</v>
      </c>
      <c r="B82" s="9" t="n"/>
      <c r="C82" s="9" t="n"/>
      <c r="D82" s="9" t="n"/>
      <c r="E82" s="9" t="n"/>
      <c r="F82" s="9" t="n"/>
      <c r="G82" s="9" t="n"/>
      <c r="H82" s="9" t="n"/>
      <c r="I82" s="10">
        <f>IFERROR(INDEX(C82:H82,MATCH(TRUE,INDEX(C82:H82&lt;&gt;"",0),0)),"")</f>
        <v/>
      </c>
      <c r="J82" s="10">
        <f>IFERROR(MIN(IF(C82:H82&lt;&gt;"",C82:H82)),"")</f>
        <v/>
      </c>
      <c r="K82" s="10">
        <f>IFERROR(MATCH(I82,C82:H82,0),"")</f>
        <v/>
      </c>
      <c r="L82" s="10">
        <f>IF(OR(I82="",J82=""),"",ROUND((I82-J82)/I82*100,1))</f>
        <v/>
      </c>
      <c r="M82" s="10">
        <f>IF(L82="","",IF(L82&gt;=10,"是","否"))</f>
        <v/>
      </c>
      <c r="N82" s="10">
        <f>IF(J82="","",IF(J82&lt;0.15,"是","否"))</f>
        <v/>
      </c>
      <c r="O82" s="10">
        <f>IF(I82="","",IF(J82&lt;0.15,"SAFETY_STOP",IF(L82&gt;=10,"VL_THRESHOLD","PLANNED_END")))</f>
        <v/>
      </c>
      <c r="P82" s="10">
        <f>IF(I82="","",IF(I82&gt;($D$2+0.05),"+5kg",IF(I82&gt;($D$2+0.02),"+2.5kg",IF(I82&gt;=($D$2-0.05),"保持",IF(I82&gt;=($D$2-0.08),"-2.5kg","-5kg")))))</f>
        <v/>
      </c>
      <c r="Q82" s="9" t="n"/>
      <c r="R82" s="12" t="n"/>
      <c r="S82" s="12" t="n"/>
      <c r="T82" s="12" t="n"/>
    </row>
    <row r="83">
      <c r="A83" s="12" t="n">
        <v>6</v>
      </c>
      <c r="B83" s="9" t="n"/>
      <c r="C83" s="9" t="n"/>
      <c r="D83" s="9" t="n"/>
      <c r="E83" s="9" t="n"/>
      <c r="F83" s="9" t="n"/>
      <c r="G83" s="9" t="n"/>
      <c r="H83" s="9" t="n"/>
      <c r="I83" s="10">
        <f>IFERROR(INDEX(C83:H83,MATCH(TRUE,INDEX(C83:H83&lt;&gt;"",0),0)),"")</f>
        <v/>
      </c>
      <c r="J83" s="10">
        <f>IFERROR(MIN(IF(C83:H83&lt;&gt;"",C83:H83)),"")</f>
        <v/>
      </c>
      <c r="K83" s="10">
        <f>IFERROR(MATCH(I83,C83:H83,0),"")</f>
        <v/>
      </c>
      <c r="L83" s="10">
        <f>IF(OR(I83="",J83=""),"",ROUND((I83-J83)/I83*100,1))</f>
        <v/>
      </c>
      <c r="M83" s="10">
        <f>IF(L83="","",IF(L83&gt;=10,"是","否"))</f>
        <v/>
      </c>
      <c r="N83" s="10">
        <f>IF(J83="","",IF(J83&lt;0.15,"是","否"))</f>
        <v/>
      </c>
      <c r="O83" s="10">
        <f>IF(I83="","",IF(J83&lt;0.15,"SAFETY_STOP",IF(L83&gt;=10,"VL_THRESHOLD","PLANNED_END")))</f>
        <v/>
      </c>
      <c r="P83" s="10">
        <f>IF(I83="","",IF(I83&gt;($D$2+0.05),"+5kg",IF(I83&gt;($D$2+0.02),"+2.5kg",IF(I83&gt;=($D$2-0.05),"保持",IF(I83&gt;=($D$2-0.08),"-2.5kg","-5kg")))))</f>
        <v/>
      </c>
      <c r="Q83" s="9" t="n"/>
      <c r="R83" s="12" t="n"/>
      <c r="S83" s="12" t="n"/>
      <c r="T83" s="12" t="n"/>
    </row>
    <row r="84">
      <c r="A84" s="8" t="inlineStr">
        <is>
          <t>辅助动作</t>
        </is>
      </c>
      <c r="B84" s="8" t="inlineStr">
        <is>
          <t>动作名称</t>
        </is>
      </c>
      <c r="C84" s="8" t="inlineStr">
        <is>
          <t>负荷kg</t>
        </is>
      </c>
      <c r="D84" s="8" t="inlineStr">
        <is>
          <t>完成(组×次)</t>
        </is>
      </c>
    </row>
    <row r="85">
      <c r="A85" s="9" t="inlineStr"/>
      <c r="B85" s="9" t="n"/>
      <c r="C85" s="9" t="n"/>
      <c r="D85" s="9" t="n"/>
    </row>
    <row r="86">
      <c r="A86" s="8" t="inlineStr">
        <is>
          <t>训练后</t>
        </is>
      </c>
      <c r="B86" s="8" t="inlineStr">
        <is>
          <t>开始时间</t>
        </is>
      </c>
      <c r="C86" s="8" t="inlineStr">
        <is>
          <t>结束时间</t>
        </is>
      </c>
      <c r="D86" s="8" t="inlineStr">
        <is>
          <t>总时长min</t>
        </is>
      </c>
      <c r="E86" s="8" t="inlineStr">
        <is>
          <t>sRPE</t>
        </is>
      </c>
      <c r="F86" s="8" t="inlineStr">
        <is>
          <t>session_load</t>
        </is>
      </c>
      <c r="G86" s="8" t="inlineStr">
        <is>
          <t>有无不适</t>
        </is>
      </c>
      <c r="H86" s="8" t="inlineStr">
        <is>
          <t>备注</t>
        </is>
      </c>
      <c r="I86" s="8" t="inlineStr">
        <is>
          <t>研究员签名</t>
        </is>
      </c>
    </row>
    <row r="87">
      <c r="A87" s="13" t="inlineStr"/>
      <c r="B87" s="13" t="n"/>
      <c r="C87" s="13" t="n"/>
      <c r="D87" s="10">
        <f>IF(OR(B87="",C87=""),"",(C87-B87)*1440)</f>
        <v/>
      </c>
      <c r="E87" s="13" t="n"/>
      <c r="F87" s="10">
        <f>IF(OR(D87="",E87=""),"",D87*E87)</f>
        <v/>
      </c>
      <c r="G87" s="13" t="n"/>
      <c r="H87" s="13" t="n"/>
      <c r="I87" s="13" t="n"/>
    </row>
    <row r="89">
      <c r="A89" s="5" t="inlineStr">
        <is>
          <t>── P011 朱怀远 ──────────────────────────────────────────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" t="n"/>
    </row>
    <row r="90">
      <c r="A90" s="8" t="inlineStr">
        <is>
          <t>编号</t>
        </is>
      </c>
      <c r="B90" s="8" t="inlineStr">
        <is>
          <t>姓名</t>
        </is>
      </c>
      <c r="C90" s="8" t="inlineStr">
        <is>
          <t>身高</t>
        </is>
      </c>
      <c r="D90" s="8" t="inlineStr">
        <is>
          <t>1RM</t>
        </is>
      </c>
      <c r="E90" s="8" t="inlineStr">
        <is>
          <t>睡眠</t>
        </is>
      </c>
      <c r="F90" s="8" t="inlineStr">
        <is>
          <t>压力</t>
        </is>
      </c>
      <c r="G90" s="8" t="inlineStr">
        <is>
          <t>疲劳</t>
        </is>
      </c>
      <c r="H90" s="8" t="inlineStr">
        <is>
          <t>酸痛</t>
        </is>
      </c>
      <c r="I90" s="8" t="inlineStr">
        <is>
          <t>Hooper总</t>
        </is>
      </c>
      <c r="J90" s="8" t="inlineStr">
        <is>
          <t>CMJ1</t>
        </is>
      </c>
      <c r="K90" s="8" t="inlineStr">
        <is>
          <t>CMJ2</t>
        </is>
      </c>
      <c r="L90" s="8" t="inlineStr">
        <is>
          <t>CMJ3</t>
        </is>
      </c>
      <c r="M90" s="8" t="inlineStr">
        <is>
          <t>CMJ均值</t>
        </is>
      </c>
      <c r="N90" s="8" t="inlineStr">
        <is>
          <t>&lt;95%?</t>
        </is>
      </c>
      <c r="O90" s="8" t="inlineStr">
        <is>
          <t>减组?</t>
        </is>
      </c>
      <c r="P90" s="8" t="inlineStr">
        <is>
          <t>实做组数</t>
        </is>
      </c>
      <c r="Q90" s="8" t="inlineStr">
        <is>
          <t>LVP_a</t>
        </is>
      </c>
      <c r="R90" s="8" t="inlineStr">
        <is>
          <t>LVP_b</t>
        </is>
      </c>
      <c r="S90" s="8" t="inlineStr">
        <is>
          <t>等级</t>
        </is>
      </c>
      <c r="T90" s="8" t="inlineStr">
        <is>
          <t>预测起始</t>
        </is>
      </c>
    </row>
    <row r="91">
      <c r="A91" s="9" t="inlineStr">
        <is>
          <t>P011</t>
        </is>
      </c>
      <c r="B91" s="9" t="inlineStr">
        <is>
          <t>朱怀远</t>
        </is>
      </c>
      <c r="C91" s="9" t="n">
        <v>165</v>
      </c>
      <c r="D91" s="9" t="n">
        <v>125</v>
      </c>
      <c r="E91" s="9" t="n"/>
      <c r="F91" s="9" t="n"/>
      <c r="G91" s="9" t="n"/>
      <c r="H91" s="9" t="n"/>
      <c r="I91" s="10">
        <f>IFERROR(SUM(E91:H91),"")</f>
        <v/>
      </c>
      <c r="J91" s="9" t="n"/>
      <c r="K91" s="9" t="n"/>
      <c r="L91" s="9" t="n"/>
      <c r="M91" s="10">
        <f>IFERROR(AVERAGE(J91:L91),"")</f>
        <v/>
      </c>
      <c r="N91" s="10">
        <f>IF(M91="","",IF(M91&lt;64.98,"是⚠","否"))</f>
        <v/>
      </c>
      <c r="O91" s="10">
        <f>IF(M91="","",IF(M91&lt;64.98,"减1组","正常"))</f>
        <v/>
      </c>
      <c r="P91" s="10">
        <f>IF(M91="","",IF(M91&lt;64.98,4-1,4))</f>
        <v/>
      </c>
      <c r="Q91" s="9" t="n">
        <v>1.2583</v>
      </c>
      <c r="R91" s="9" t="n">
        <v>-0.006125</v>
      </c>
      <c r="S91" s="9" t="inlineStr">
        <is>
          <t>D</t>
        </is>
      </c>
      <c r="T91" s="10">
        <f>IFERROR(ROUND((0.8-1.2583)/-0.006125,0.5),"")</f>
        <v/>
      </c>
    </row>
    <row r="92">
      <c r="A92" s="8" t="inlineStr">
        <is>
          <t>热身校准</t>
        </is>
      </c>
      <c r="B92" s="8" t="inlineStr">
        <is>
          <t>LVP_a</t>
        </is>
      </c>
      <c r="C92" s="8" t="inlineStr">
        <is>
          <t>LVP_b</t>
        </is>
      </c>
      <c r="D92" s="8" t="inlineStr">
        <is>
          <t>50%热身kg</t>
        </is>
      </c>
      <c r="E92" s="8" t="inlineStr">
        <is>
          <t>70%热身kg</t>
        </is>
      </c>
      <c r="F92" s="8" t="inlineStr">
        <is>
          <t>热身负荷kg</t>
        </is>
      </c>
      <c r="G92" s="8" t="inlineStr">
        <is>
          <t>实测MCV</t>
        </is>
      </c>
      <c r="H92" s="8" t="inlineStr">
        <is>
          <t>预测MCV</t>
        </is>
      </c>
      <c r="I92" s="8" t="inlineStr">
        <is>
          <t>Δv</t>
        </is>
      </c>
      <c r="J92" s="8" t="inlineStr">
        <is>
          <t>调整量kg</t>
        </is>
      </c>
      <c r="K92" s="8" t="inlineStr">
        <is>
          <t>校准后第1组kg</t>
        </is>
      </c>
    </row>
    <row r="93">
      <c r="A93" s="11" t="inlineStr"/>
      <c r="B93" s="11" t="n">
        <v>1.2583</v>
      </c>
      <c r="C93" s="11" t="n">
        <v>-0.006125</v>
      </c>
      <c r="D93" s="10">
        <f>IFERROR(ROUND(T91*0.5,2.5),"")</f>
        <v/>
      </c>
      <c r="E93" s="10">
        <f>IFERROR(ROUND(T91*0.7,2.5),"")</f>
        <v/>
      </c>
      <c r="F93" s="10">
        <f>D93</f>
        <v/>
      </c>
      <c r="G93" s="9" t="n"/>
      <c r="H93" s="10">
        <f>IF(F93="","",B93+C93*F93)</f>
        <v/>
      </c>
      <c r="I93" s="10">
        <f>IF(OR(G93="",H93=""),"",G93-H93)</f>
        <v/>
      </c>
      <c r="J93" s="10">
        <f>IF(I93="","",IF(I93&gt;0.08,5,IF(I93&gt;0.04,2.5,IF(I93&gt;=-0.04,0,IF(I93&gt;=-0.08,-2.5,-5)))))</f>
        <v/>
      </c>
      <c r="K93" s="10">
        <f>IFERROR(ROUND(T91+J93,2.5),"")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8" t="inlineStr">
        <is>
          <t>组次</t>
        </is>
      </c>
      <c r="B94" s="8" t="inlineStr">
        <is>
          <t>负荷kg</t>
        </is>
      </c>
      <c r="C94" s="8" t="inlineStr">
        <is>
          <t>rep1</t>
        </is>
      </c>
      <c r="D94" s="8" t="inlineStr">
        <is>
          <t>rep2</t>
        </is>
      </c>
      <c r="E94" s="8" t="inlineStr">
        <is>
          <t>rep3</t>
        </is>
      </c>
      <c r="F94" s="8" t="inlineStr">
        <is>
          <t>rep4</t>
        </is>
      </c>
      <c r="G94" s="8" t="inlineStr">
        <is>
          <t>rep5</t>
        </is>
      </c>
      <c r="H94" s="8" t="inlineStr">
        <is>
          <t>rep6</t>
        </is>
      </c>
      <c r="I94" s="8" t="inlineStr">
        <is>
          <t>首rep</t>
        </is>
      </c>
      <c r="J94" s="8" t="inlineStr">
        <is>
          <t>最低速</t>
        </is>
      </c>
      <c r="K94" s="8" t="inlineStr">
        <is>
          <t>最低rep#</t>
        </is>
      </c>
      <c r="L94" s="8" t="inlineStr">
        <is>
          <t>VL%</t>
        </is>
      </c>
      <c r="M94" s="8" t="inlineStr">
        <is>
          <t>VL达标?</t>
        </is>
      </c>
      <c r="N94" s="8" t="inlineStr">
        <is>
          <t>安全停止?</t>
        </is>
      </c>
      <c r="O94" s="8" t="inlineStr">
        <is>
          <t>停组原因</t>
        </is>
      </c>
      <c r="P94" s="8" t="inlineStr">
        <is>
          <t>下组建议</t>
        </is>
      </c>
      <c r="Q94" s="8" t="inlineStr">
        <is>
          <t>实做次数</t>
        </is>
      </c>
    </row>
    <row r="95">
      <c r="A95" s="12" t="n">
        <v>1</v>
      </c>
      <c r="B95" s="10">
        <f>IF(K93="","",K93)</f>
        <v/>
      </c>
      <c r="C95" s="9" t="n"/>
      <c r="D95" s="9" t="n"/>
      <c r="E95" s="9" t="n"/>
      <c r="F95" s="9" t="n"/>
      <c r="G95" s="9" t="n"/>
      <c r="H95" s="9" t="n"/>
      <c r="I95" s="10">
        <f>IFERROR(INDEX(C95:H95,MATCH(TRUE,INDEX(C95:H95&lt;&gt;"",0),0)),"")</f>
        <v/>
      </c>
      <c r="J95" s="10">
        <f>IFERROR(MIN(IF(C95:H95&lt;&gt;"",C95:H95)),"")</f>
        <v/>
      </c>
      <c r="K95" s="10">
        <f>IFERROR(MATCH(I95,C95:H95,0),"")</f>
        <v/>
      </c>
      <c r="L95" s="10">
        <f>IF(OR(I95="",J95=""),"",ROUND((I95-J95)/I95*100,1))</f>
        <v/>
      </c>
      <c r="M95" s="10">
        <f>IF(L95="","",IF(L95&gt;=10,"是","否"))</f>
        <v/>
      </c>
      <c r="N95" s="10">
        <f>IF(J95="","",IF(J95&lt;0.15,"是","否"))</f>
        <v/>
      </c>
      <c r="O95" s="10">
        <f>IF(I95="","",IF(J95&lt;0.15,"SAFETY_STOP",IF(L95&gt;=10,"VL_THRESHOLD","PLANNED_END")))</f>
        <v/>
      </c>
      <c r="P95" s="10">
        <f>IF(I95="","",IF(I95&gt;($D$2+0.05),"+5kg",IF(I95&gt;($D$2+0.02),"+2.5kg",IF(I95&gt;=($D$2-0.05),"保持",IF(I95&gt;=($D$2-0.08),"-2.5kg","-5kg")))))</f>
        <v/>
      </c>
      <c r="Q95" s="9" t="n"/>
      <c r="R95" s="12" t="n"/>
      <c r="S95" s="12" t="n"/>
      <c r="T95" s="12" t="n"/>
    </row>
    <row r="96">
      <c r="A96" s="12" t="n">
        <v>2</v>
      </c>
      <c r="B96" s="9" t="n"/>
      <c r="C96" s="9" t="n"/>
      <c r="D96" s="9" t="n"/>
      <c r="E96" s="9" t="n"/>
      <c r="F96" s="9" t="n"/>
      <c r="G96" s="9" t="n"/>
      <c r="H96" s="9" t="n"/>
      <c r="I96" s="10">
        <f>IFERROR(INDEX(C96:H96,MATCH(TRUE,INDEX(C96:H96&lt;&gt;"",0),0)),"")</f>
        <v/>
      </c>
      <c r="J96" s="10">
        <f>IFERROR(MIN(IF(C96:H96&lt;&gt;"",C96:H96)),"")</f>
        <v/>
      </c>
      <c r="K96" s="10">
        <f>IFERROR(MATCH(I96,C96:H96,0),"")</f>
        <v/>
      </c>
      <c r="L96" s="10">
        <f>IF(OR(I96="",J96=""),"",ROUND((I96-J96)/I96*100,1))</f>
        <v/>
      </c>
      <c r="M96" s="10">
        <f>IF(L96="","",IF(L96&gt;=10,"是","否"))</f>
        <v/>
      </c>
      <c r="N96" s="10">
        <f>IF(J96="","",IF(J96&lt;0.15,"是","否"))</f>
        <v/>
      </c>
      <c r="O96" s="10">
        <f>IF(I96="","",IF(J96&lt;0.15,"SAFETY_STOP",IF(L96&gt;=10,"VL_THRESHOLD","PLANNED_END")))</f>
        <v/>
      </c>
      <c r="P96" s="10">
        <f>IF(I96="","",IF(I96&gt;($D$2+0.05),"+5kg",IF(I96&gt;($D$2+0.02),"+2.5kg",IF(I96&gt;=($D$2-0.05),"保持",IF(I96&gt;=($D$2-0.08),"-2.5kg","-5kg")))))</f>
        <v/>
      </c>
      <c r="Q96" s="9" t="n"/>
      <c r="R96" s="12" t="n"/>
      <c r="S96" s="12" t="n"/>
      <c r="T96" s="12" t="n"/>
    </row>
    <row r="97">
      <c r="A97" s="12" t="n">
        <v>3</v>
      </c>
      <c r="B97" s="9" t="n"/>
      <c r="C97" s="9" t="n"/>
      <c r="D97" s="9" t="n"/>
      <c r="E97" s="9" t="n"/>
      <c r="F97" s="9" t="n"/>
      <c r="G97" s="9" t="n"/>
      <c r="H97" s="9" t="n"/>
      <c r="I97" s="10">
        <f>IFERROR(INDEX(C97:H97,MATCH(TRUE,INDEX(C97:H97&lt;&gt;"",0),0)),"")</f>
        <v/>
      </c>
      <c r="J97" s="10">
        <f>IFERROR(MIN(IF(C97:H97&lt;&gt;"",C97:H97)),"")</f>
        <v/>
      </c>
      <c r="K97" s="10">
        <f>IFERROR(MATCH(I97,C97:H97,0),"")</f>
        <v/>
      </c>
      <c r="L97" s="10">
        <f>IF(OR(I97="",J97=""),"",ROUND((I97-J97)/I97*100,1))</f>
        <v/>
      </c>
      <c r="M97" s="10">
        <f>IF(L97="","",IF(L97&gt;=10,"是","否"))</f>
        <v/>
      </c>
      <c r="N97" s="10">
        <f>IF(J97="","",IF(J97&lt;0.15,"是","否"))</f>
        <v/>
      </c>
      <c r="O97" s="10">
        <f>IF(I97="","",IF(J97&lt;0.15,"SAFETY_STOP",IF(L97&gt;=10,"VL_THRESHOLD","PLANNED_END")))</f>
        <v/>
      </c>
      <c r="P97" s="10">
        <f>IF(I97="","",IF(I97&gt;($D$2+0.05),"+5kg",IF(I97&gt;($D$2+0.02),"+2.5kg",IF(I97&gt;=($D$2-0.05),"保持",IF(I97&gt;=($D$2-0.08),"-2.5kg","-5kg")))))</f>
        <v/>
      </c>
      <c r="Q97" s="9" t="n"/>
      <c r="R97" s="12" t="n"/>
      <c r="S97" s="12" t="n"/>
      <c r="T97" s="12" t="n"/>
    </row>
    <row r="98">
      <c r="A98" s="12" t="n">
        <v>4</v>
      </c>
      <c r="B98" s="9" t="n"/>
      <c r="C98" s="9" t="n"/>
      <c r="D98" s="9" t="n"/>
      <c r="E98" s="9" t="n"/>
      <c r="F98" s="9" t="n"/>
      <c r="G98" s="9" t="n"/>
      <c r="H98" s="9" t="n"/>
      <c r="I98" s="10">
        <f>IFERROR(INDEX(C98:H98,MATCH(TRUE,INDEX(C98:H98&lt;&gt;"",0),0)),"")</f>
        <v/>
      </c>
      <c r="J98" s="10">
        <f>IFERROR(MIN(IF(C98:H98&lt;&gt;"",C98:H98)),"")</f>
        <v/>
      </c>
      <c r="K98" s="10">
        <f>IFERROR(MATCH(I98,C98:H98,0),"")</f>
        <v/>
      </c>
      <c r="L98" s="10">
        <f>IF(OR(I98="",J98=""),"",ROUND((I98-J98)/I98*100,1))</f>
        <v/>
      </c>
      <c r="M98" s="10">
        <f>IF(L98="","",IF(L98&gt;=10,"是","否"))</f>
        <v/>
      </c>
      <c r="N98" s="10">
        <f>IF(J98="","",IF(J98&lt;0.15,"是","否"))</f>
        <v/>
      </c>
      <c r="O98" s="10">
        <f>IF(I98="","",IF(J98&lt;0.15,"SAFETY_STOP",IF(L98&gt;=10,"VL_THRESHOLD","PLANNED_END")))</f>
        <v/>
      </c>
      <c r="P98" s="10">
        <f>IF(I98="","",IF(I98&gt;($D$2+0.05),"+5kg",IF(I98&gt;($D$2+0.02),"+2.5kg",IF(I98&gt;=($D$2-0.05),"保持",IF(I98&gt;=($D$2-0.08),"-2.5kg","-5kg")))))</f>
        <v/>
      </c>
      <c r="Q98" s="9" t="n"/>
      <c r="R98" s="12" t="n"/>
      <c r="S98" s="12" t="n"/>
      <c r="T98" s="12" t="n"/>
    </row>
    <row r="99">
      <c r="A99" s="12" t="n">
        <v>5</v>
      </c>
      <c r="B99" s="9" t="n"/>
      <c r="C99" s="9" t="n"/>
      <c r="D99" s="9" t="n"/>
      <c r="E99" s="9" t="n"/>
      <c r="F99" s="9" t="n"/>
      <c r="G99" s="9" t="n"/>
      <c r="H99" s="9" t="n"/>
      <c r="I99" s="10">
        <f>IFERROR(INDEX(C99:H99,MATCH(TRUE,INDEX(C99:H99&lt;&gt;"",0),0)),"")</f>
        <v/>
      </c>
      <c r="J99" s="10">
        <f>IFERROR(MIN(IF(C99:H99&lt;&gt;"",C99:H99)),"")</f>
        <v/>
      </c>
      <c r="K99" s="10">
        <f>IFERROR(MATCH(I99,C99:H99,0),"")</f>
        <v/>
      </c>
      <c r="L99" s="10">
        <f>IF(OR(I99="",J99=""),"",ROUND((I99-J99)/I99*100,1))</f>
        <v/>
      </c>
      <c r="M99" s="10">
        <f>IF(L99="","",IF(L99&gt;=10,"是","否"))</f>
        <v/>
      </c>
      <c r="N99" s="10">
        <f>IF(J99="","",IF(J99&lt;0.15,"是","否"))</f>
        <v/>
      </c>
      <c r="O99" s="10">
        <f>IF(I99="","",IF(J99&lt;0.15,"SAFETY_STOP",IF(L99&gt;=10,"VL_THRESHOLD","PLANNED_END")))</f>
        <v/>
      </c>
      <c r="P99" s="10">
        <f>IF(I99="","",IF(I99&gt;($D$2+0.05),"+5kg",IF(I99&gt;($D$2+0.02),"+2.5kg",IF(I99&gt;=($D$2-0.05),"保持",IF(I99&gt;=($D$2-0.08),"-2.5kg","-5kg")))))</f>
        <v/>
      </c>
      <c r="Q99" s="9" t="n"/>
      <c r="R99" s="12" t="n"/>
      <c r="S99" s="12" t="n"/>
      <c r="T99" s="12" t="n"/>
    </row>
    <row r="100">
      <c r="A100" s="12" t="n">
        <v>6</v>
      </c>
      <c r="B100" s="9" t="n"/>
      <c r="C100" s="9" t="n"/>
      <c r="D100" s="9" t="n"/>
      <c r="E100" s="9" t="n"/>
      <c r="F100" s="9" t="n"/>
      <c r="G100" s="9" t="n"/>
      <c r="H100" s="9" t="n"/>
      <c r="I100" s="10">
        <f>IFERROR(INDEX(C100:H100,MATCH(TRUE,INDEX(C100:H100&lt;&gt;"",0),0)),"")</f>
        <v/>
      </c>
      <c r="J100" s="10">
        <f>IFERROR(MIN(IF(C100:H100&lt;&gt;"",C100:H100)),"")</f>
        <v/>
      </c>
      <c r="K100" s="10">
        <f>IFERROR(MATCH(I100,C100:H100,0),"")</f>
        <v/>
      </c>
      <c r="L100" s="10">
        <f>IF(OR(I100="",J100=""),"",ROUND((I100-J100)/I100*100,1))</f>
        <v/>
      </c>
      <c r="M100" s="10">
        <f>IF(L100="","",IF(L100&gt;=10,"是","否"))</f>
        <v/>
      </c>
      <c r="N100" s="10">
        <f>IF(J100="","",IF(J100&lt;0.15,"是","否"))</f>
        <v/>
      </c>
      <c r="O100" s="10">
        <f>IF(I100="","",IF(J100&lt;0.15,"SAFETY_STOP",IF(L100&gt;=10,"VL_THRESHOLD","PLANNED_END")))</f>
        <v/>
      </c>
      <c r="P100" s="10">
        <f>IF(I100="","",IF(I100&gt;($D$2+0.05),"+5kg",IF(I100&gt;($D$2+0.02),"+2.5kg",IF(I100&gt;=($D$2-0.05),"保持",IF(I100&gt;=($D$2-0.08),"-2.5kg","-5kg")))))</f>
        <v/>
      </c>
      <c r="Q100" s="9" t="n"/>
      <c r="R100" s="12" t="n"/>
      <c r="S100" s="12" t="n"/>
      <c r="T100" s="12" t="n"/>
    </row>
    <row r="101">
      <c r="A101" s="8" t="inlineStr">
        <is>
          <t>辅助动作</t>
        </is>
      </c>
      <c r="B101" s="8" t="inlineStr">
        <is>
          <t>动作名称</t>
        </is>
      </c>
      <c r="C101" s="8" t="inlineStr">
        <is>
          <t>负荷kg</t>
        </is>
      </c>
      <c r="D101" s="8" t="inlineStr">
        <is>
          <t>完成(组×次)</t>
        </is>
      </c>
    </row>
    <row r="102">
      <c r="A102" s="9" t="inlineStr"/>
      <c r="B102" s="9" t="n"/>
      <c r="C102" s="9" t="n"/>
      <c r="D102" s="9" t="n"/>
    </row>
    <row r="103">
      <c r="A103" s="8" t="inlineStr">
        <is>
          <t>训练后</t>
        </is>
      </c>
      <c r="B103" s="8" t="inlineStr">
        <is>
          <t>开始时间</t>
        </is>
      </c>
      <c r="C103" s="8" t="inlineStr">
        <is>
          <t>结束时间</t>
        </is>
      </c>
      <c r="D103" s="8" t="inlineStr">
        <is>
          <t>总时长min</t>
        </is>
      </c>
      <c r="E103" s="8" t="inlineStr">
        <is>
          <t>sRPE</t>
        </is>
      </c>
      <c r="F103" s="8" t="inlineStr">
        <is>
          <t>session_load</t>
        </is>
      </c>
      <c r="G103" s="8" t="inlineStr">
        <is>
          <t>有无不适</t>
        </is>
      </c>
      <c r="H103" s="8" t="inlineStr">
        <is>
          <t>备注</t>
        </is>
      </c>
      <c r="I103" s="8" t="inlineStr">
        <is>
          <t>研究员签名</t>
        </is>
      </c>
    </row>
    <row r="104">
      <c r="A104" s="13" t="inlineStr"/>
      <c r="B104" s="13" t="n"/>
      <c r="C104" s="13" t="n"/>
      <c r="D104" s="10">
        <f>IF(OR(B104="",C104=""),"",(C104-B104)*1440)</f>
        <v/>
      </c>
      <c r="E104" s="13" t="n"/>
      <c r="F104" s="10">
        <f>IF(OR(D104="",E104=""),"",D104*E104)</f>
        <v/>
      </c>
      <c r="G104" s="13" t="n"/>
      <c r="H104" s="13" t="n"/>
      <c r="I104" s="13" t="n"/>
    </row>
    <row r="106">
      <c r="A106" s="5" t="inlineStr">
        <is>
          <t>── P016 杜遥 ──────────────────────────────────────────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7" t="n"/>
    </row>
    <row r="107">
      <c r="A107" s="8" t="inlineStr">
        <is>
          <t>编号</t>
        </is>
      </c>
      <c r="B107" s="8" t="inlineStr">
        <is>
          <t>姓名</t>
        </is>
      </c>
      <c r="C107" s="8" t="inlineStr">
        <is>
          <t>身高</t>
        </is>
      </c>
      <c r="D107" s="8" t="inlineStr">
        <is>
          <t>1RM</t>
        </is>
      </c>
      <c r="E107" s="8" t="inlineStr">
        <is>
          <t>睡眠</t>
        </is>
      </c>
      <c r="F107" s="8" t="inlineStr">
        <is>
          <t>压力</t>
        </is>
      </c>
      <c r="G107" s="8" t="inlineStr">
        <is>
          <t>疲劳</t>
        </is>
      </c>
      <c r="H107" s="8" t="inlineStr">
        <is>
          <t>酸痛</t>
        </is>
      </c>
      <c r="I107" s="8" t="inlineStr">
        <is>
          <t>Hooper总</t>
        </is>
      </c>
      <c r="J107" s="8" t="inlineStr">
        <is>
          <t>CMJ1</t>
        </is>
      </c>
      <c r="K107" s="8" t="inlineStr">
        <is>
          <t>CMJ2</t>
        </is>
      </c>
      <c r="L107" s="8" t="inlineStr">
        <is>
          <t>CMJ3</t>
        </is>
      </c>
      <c r="M107" s="8" t="inlineStr">
        <is>
          <t>CMJ均值</t>
        </is>
      </c>
      <c r="N107" s="8" t="inlineStr">
        <is>
          <t>&lt;95%?</t>
        </is>
      </c>
      <c r="O107" s="8" t="inlineStr">
        <is>
          <t>减组?</t>
        </is>
      </c>
      <c r="P107" s="8" t="inlineStr">
        <is>
          <t>实做组数</t>
        </is>
      </c>
      <c r="Q107" s="8" t="inlineStr">
        <is>
          <t>LVP_a</t>
        </is>
      </c>
      <c r="R107" s="8" t="inlineStr">
        <is>
          <t>LVP_b</t>
        </is>
      </c>
      <c r="S107" s="8" t="inlineStr">
        <is>
          <t>等级</t>
        </is>
      </c>
      <c r="T107" s="8" t="inlineStr">
        <is>
          <t>预测起始</t>
        </is>
      </c>
    </row>
    <row r="108">
      <c r="A108" s="9" t="inlineStr">
        <is>
          <t>P016</t>
        </is>
      </c>
      <c r="B108" s="9" t="inlineStr">
        <is>
          <t>杜遥</t>
        </is>
      </c>
      <c r="C108" s="9" t="n">
        <v>180</v>
      </c>
      <c r="D108" s="9" t="n">
        <v>135</v>
      </c>
      <c r="E108" s="9" t="n"/>
      <c r="F108" s="9" t="n"/>
      <c r="G108" s="9" t="n"/>
      <c r="H108" s="9" t="n"/>
      <c r="I108" s="10">
        <f>IFERROR(SUM(E108:H108),"")</f>
        <v/>
      </c>
      <c r="J108" s="9" t="n"/>
      <c r="K108" s="9" t="n"/>
      <c r="L108" s="9" t="n"/>
      <c r="M108" s="10">
        <f>IFERROR(AVERAGE(J108:L108),"")</f>
        <v/>
      </c>
      <c r="N108" s="10">
        <f>IF(M108="","",IF(M108&lt;49.75,"是⚠","否"))</f>
        <v/>
      </c>
      <c r="O108" s="10">
        <f>IF(M108="","",IF(M108&lt;49.75,"减1组","正常"))</f>
        <v/>
      </c>
      <c r="P108" s="10">
        <f>IF(M108="","",IF(M108&lt;49.75,4-1,4))</f>
        <v/>
      </c>
      <c r="Q108" s="9" t="n">
        <v>1.54</v>
      </c>
      <c r="R108" s="9" t="n">
        <v>-0.008500000000000001</v>
      </c>
      <c r="S108" s="9" t="inlineStr">
        <is>
          <t>B</t>
        </is>
      </c>
      <c r="T108" s="10">
        <f>IFERROR(ROUND((0.8-1.54)/-0.0085,0.5),"")</f>
        <v/>
      </c>
    </row>
    <row r="109">
      <c r="A109" s="8" t="inlineStr">
        <is>
          <t>热身校准</t>
        </is>
      </c>
      <c r="B109" s="8" t="inlineStr">
        <is>
          <t>LVP_a</t>
        </is>
      </c>
      <c r="C109" s="8" t="inlineStr">
        <is>
          <t>LVP_b</t>
        </is>
      </c>
      <c r="D109" s="8" t="inlineStr">
        <is>
          <t>50%热身kg</t>
        </is>
      </c>
      <c r="E109" s="8" t="inlineStr">
        <is>
          <t>70%热身kg</t>
        </is>
      </c>
      <c r="F109" s="8" t="inlineStr">
        <is>
          <t>热身负荷kg</t>
        </is>
      </c>
      <c r="G109" s="8" t="inlineStr">
        <is>
          <t>实测MCV</t>
        </is>
      </c>
      <c r="H109" s="8" t="inlineStr">
        <is>
          <t>预测MCV</t>
        </is>
      </c>
      <c r="I109" s="8" t="inlineStr">
        <is>
          <t>Δv</t>
        </is>
      </c>
      <c r="J109" s="8" t="inlineStr">
        <is>
          <t>调整量kg</t>
        </is>
      </c>
      <c r="K109" s="8" t="inlineStr">
        <is>
          <t>校准后第1组kg</t>
        </is>
      </c>
    </row>
    <row r="110">
      <c r="A110" s="11" t="inlineStr"/>
      <c r="B110" s="11" t="n">
        <v>1.54</v>
      </c>
      <c r="C110" s="11" t="n">
        <v>-0.008500000000000001</v>
      </c>
      <c r="D110" s="10">
        <f>IFERROR(ROUND(T108*0.5,2.5),"")</f>
        <v/>
      </c>
      <c r="E110" s="10">
        <f>IFERROR(ROUND(T108*0.7,2.5),"")</f>
        <v/>
      </c>
      <c r="F110" s="10">
        <f>D110</f>
        <v/>
      </c>
      <c r="G110" s="9" t="n"/>
      <c r="H110" s="10">
        <f>IF(F110="","",B110+C110*F110)</f>
        <v/>
      </c>
      <c r="I110" s="10">
        <f>IF(OR(G110="",H110=""),"",G110-H110)</f>
        <v/>
      </c>
      <c r="J110" s="10">
        <f>IF(I110="","",IF(I110&gt;0.08,5,IF(I110&gt;0.04,2.5,IF(I110&gt;=-0.04,0,IF(I110&gt;=-0.08,-2.5,-5)))))</f>
        <v/>
      </c>
      <c r="K110" s="10">
        <f>IFERROR(ROUND(T108+J110,2.5),"")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8" t="inlineStr">
        <is>
          <t>组次</t>
        </is>
      </c>
      <c r="B111" s="8" t="inlineStr">
        <is>
          <t>负荷kg</t>
        </is>
      </c>
      <c r="C111" s="8" t="inlineStr">
        <is>
          <t>rep1</t>
        </is>
      </c>
      <c r="D111" s="8" t="inlineStr">
        <is>
          <t>rep2</t>
        </is>
      </c>
      <c r="E111" s="8" t="inlineStr">
        <is>
          <t>rep3</t>
        </is>
      </c>
      <c r="F111" s="8" t="inlineStr">
        <is>
          <t>rep4</t>
        </is>
      </c>
      <c r="G111" s="8" t="inlineStr">
        <is>
          <t>rep5</t>
        </is>
      </c>
      <c r="H111" s="8" t="inlineStr">
        <is>
          <t>rep6</t>
        </is>
      </c>
      <c r="I111" s="8" t="inlineStr">
        <is>
          <t>首rep</t>
        </is>
      </c>
      <c r="J111" s="8" t="inlineStr">
        <is>
          <t>最低速</t>
        </is>
      </c>
      <c r="K111" s="8" t="inlineStr">
        <is>
          <t>最低rep#</t>
        </is>
      </c>
      <c r="L111" s="8" t="inlineStr">
        <is>
          <t>VL%</t>
        </is>
      </c>
      <c r="M111" s="8" t="inlineStr">
        <is>
          <t>VL达标?</t>
        </is>
      </c>
      <c r="N111" s="8" t="inlineStr">
        <is>
          <t>安全停止?</t>
        </is>
      </c>
      <c r="O111" s="8" t="inlineStr">
        <is>
          <t>停组原因</t>
        </is>
      </c>
      <c r="P111" s="8" t="inlineStr">
        <is>
          <t>下组建议</t>
        </is>
      </c>
      <c r="Q111" s="8" t="inlineStr">
        <is>
          <t>实做次数</t>
        </is>
      </c>
    </row>
    <row r="112">
      <c r="A112" s="12" t="n">
        <v>1</v>
      </c>
      <c r="B112" s="10">
        <f>IF(K110="","",K110)</f>
        <v/>
      </c>
      <c r="C112" s="9" t="n"/>
      <c r="D112" s="9" t="n"/>
      <c r="E112" s="9" t="n"/>
      <c r="F112" s="9" t="n"/>
      <c r="G112" s="9" t="n"/>
      <c r="H112" s="9" t="n"/>
      <c r="I112" s="10">
        <f>IFERROR(INDEX(C112:H112,MATCH(TRUE,INDEX(C112:H112&lt;&gt;"",0),0)),"")</f>
        <v/>
      </c>
      <c r="J112" s="10">
        <f>IFERROR(MIN(IF(C112:H112&lt;&gt;"",C112:H112)),"")</f>
        <v/>
      </c>
      <c r="K112" s="10">
        <f>IFERROR(MATCH(I112,C112:H112,0),"")</f>
        <v/>
      </c>
      <c r="L112" s="10">
        <f>IF(OR(I112="",J112=""),"",ROUND((I112-J112)/I112*100,1))</f>
        <v/>
      </c>
      <c r="M112" s="10">
        <f>IF(L112="","",IF(L112&gt;=10,"是","否"))</f>
        <v/>
      </c>
      <c r="N112" s="10">
        <f>IF(J112="","",IF(J112&lt;0.15,"是","否"))</f>
        <v/>
      </c>
      <c r="O112" s="10">
        <f>IF(I112="","",IF(J112&lt;0.15,"SAFETY_STOP",IF(L112&gt;=10,"VL_THRESHOLD","PLANNED_END")))</f>
        <v/>
      </c>
      <c r="P112" s="10">
        <f>IF(I112="","",IF(I112&gt;($D$2+0.05),"+5kg",IF(I112&gt;($D$2+0.02),"+2.5kg",IF(I112&gt;=($D$2-0.05),"保持",IF(I112&gt;=($D$2-0.08),"-2.5kg","-5kg")))))</f>
        <v/>
      </c>
      <c r="Q112" s="9" t="n"/>
      <c r="R112" s="12" t="n"/>
      <c r="S112" s="12" t="n"/>
      <c r="T112" s="12" t="n"/>
    </row>
    <row r="113">
      <c r="A113" s="12" t="n">
        <v>2</v>
      </c>
      <c r="B113" s="9" t="n"/>
      <c r="C113" s="9" t="n"/>
      <c r="D113" s="9" t="n"/>
      <c r="E113" s="9" t="n"/>
      <c r="F113" s="9" t="n"/>
      <c r="G113" s="9" t="n"/>
      <c r="H113" s="9" t="n"/>
      <c r="I113" s="10">
        <f>IFERROR(INDEX(C113:H113,MATCH(TRUE,INDEX(C113:H113&lt;&gt;"",0),0)),"")</f>
        <v/>
      </c>
      <c r="J113" s="10">
        <f>IFERROR(MIN(IF(C113:H113&lt;&gt;"",C113:H113)),"")</f>
        <v/>
      </c>
      <c r="K113" s="10">
        <f>IFERROR(MATCH(I113,C113:H113,0),"")</f>
        <v/>
      </c>
      <c r="L113" s="10">
        <f>IF(OR(I113="",J113=""),"",ROUND((I113-J113)/I113*100,1))</f>
        <v/>
      </c>
      <c r="M113" s="10">
        <f>IF(L113="","",IF(L113&gt;=10,"是","否"))</f>
        <v/>
      </c>
      <c r="N113" s="10">
        <f>IF(J113="","",IF(J113&lt;0.15,"是","否"))</f>
        <v/>
      </c>
      <c r="O113" s="10">
        <f>IF(I113="","",IF(J113&lt;0.15,"SAFETY_STOP",IF(L113&gt;=10,"VL_THRESHOLD","PLANNED_END")))</f>
        <v/>
      </c>
      <c r="P113" s="10">
        <f>IF(I113="","",IF(I113&gt;($D$2+0.05),"+5kg",IF(I113&gt;($D$2+0.02),"+2.5kg",IF(I113&gt;=($D$2-0.05),"保持",IF(I113&gt;=($D$2-0.08),"-2.5kg","-5kg")))))</f>
        <v/>
      </c>
      <c r="Q113" s="9" t="n"/>
      <c r="R113" s="12" t="n"/>
      <c r="S113" s="12" t="n"/>
      <c r="T113" s="12" t="n"/>
    </row>
    <row r="114">
      <c r="A114" s="12" t="n">
        <v>3</v>
      </c>
      <c r="B114" s="9" t="n"/>
      <c r="C114" s="9" t="n"/>
      <c r="D114" s="9" t="n"/>
      <c r="E114" s="9" t="n"/>
      <c r="F114" s="9" t="n"/>
      <c r="G114" s="9" t="n"/>
      <c r="H114" s="9" t="n"/>
      <c r="I114" s="10">
        <f>IFERROR(INDEX(C114:H114,MATCH(TRUE,INDEX(C114:H114&lt;&gt;"",0),0)),"")</f>
        <v/>
      </c>
      <c r="J114" s="10">
        <f>IFERROR(MIN(IF(C114:H114&lt;&gt;"",C114:H114)),"")</f>
        <v/>
      </c>
      <c r="K114" s="10">
        <f>IFERROR(MATCH(I114,C114:H114,0),"")</f>
        <v/>
      </c>
      <c r="L114" s="10">
        <f>IF(OR(I114="",J114=""),"",ROUND((I114-J114)/I114*100,1))</f>
        <v/>
      </c>
      <c r="M114" s="10">
        <f>IF(L114="","",IF(L114&gt;=10,"是","否"))</f>
        <v/>
      </c>
      <c r="N114" s="10">
        <f>IF(J114="","",IF(J114&lt;0.15,"是","否"))</f>
        <v/>
      </c>
      <c r="O114" s="10">
        <f>IF(I114="","",IF(J114&lt;0.15,"SAFETY_STOP",IF(L114&gt;=10,"VL_THRESHOLD","PLANNED_END")))</f>
        <v/>
      </c>
      <c r="P114" s="10">
        <f>IF(I114="","",IF(I114&gt;($D$2+0.05),"+5kg",IF(I114&gt;($D$2+0.02),"+2.5kg",IF(I114&gt;=($D$2-0.05),"保持",IF(I114&gt;=($D$2-0.08),"-2.5kg","-5kg")))))</f>
        <v/>
      </c>
      <c r="Q114" s="9" t="n"/>
      <c r="R114" s="12" t="n"/>
      <c r="S114" s="12" t="n"/>
      <c r="T114" s="12" t="n"/>
    </row>
    <row r="115">
      <c r="A115" s="12" t="n">
        <v>4</v>
      </c>
      <c r="B115" s="9" t="n"/>
      <c r="C115" s="9" t="n"/>
      <c r="D115" s="9" t="n"/>
      <c r="E115" s="9" t="n"/>
      <c r="F115" s="9" t="n"/>
      <c r="G115" s="9" t="n"/>
      <c r="H115" s="9" t="n"/>
      <c r="I115" s="10">
        <f>IFERROR(INDEX(C115:H115,MATCH(TRUE,INDEX(C115:H115&lt;&gt;"",0),0)),"")</f>
        <v/>
      </c>
      <c r="J115" s="10">
        <f>IFERROR(MIN(IF(C115:H115&lt;&gt;"",C115:H115)),"")</f>
        <v/>
      </c>
      <c r="K115" s="10">
        <f>IFERROR(MATCH(I115,C115:H115,0),"")</f>
        <v/>
      </c>
      <c r="L115" s="10">
        <f>IF(OR(I115="",J115=""),"",ROUND((I115-J115)/I115*100,1))</f>
        <v/>
      </c>
      <c r="M115" s="10">
        <f>IF(L115="","",IF(L115&gt;=10,"是","否"))</f>
        <v/>
      </c>
      <c r="N115" s="10">
        <f>IF(J115="","",IF(J115&lt;0.15,"是","否"))</f>
        <v/>
      </c>
      <c r="O115" s="10">
        <f>IF(I115="","",IF(J115&lt;0.15,"SAFETY_STOP",IF(L115&gt;=10,"VL_THRESHOLD","PLANNED_END")))</f>
        <v/>
      </c>
      <c r="P115" s="10">
        <f>IF(I115="","",IF(I115&gt;($D$2+0.05),"+5kg",IF(I115&gt;($D$2+0.02),"+2.5kg",IF(I115&gt;=($D$2-0.05),"保持",IF(I115&gt;=($D$2-0.08),"-2.5kg","-5kg")))))</f>
        <v/>
      </c>
      <c r="Q115" s="9" t="n"/>
      <c r="R115" s="12" t="n"/>
      <c r="S115" s="12" t="n"/>
      <c r="T115" s="12" t="n"/>
    </row>
    <row r="116">
      <c r="A116" s="12" t="n">
        <v>5</v>
      </c>
      <c r="B116" s="9" t="n"/>
      <c r="C116" s="9" t="n"/>
      <c r="D116" s="9" t="n"/>
      <c r="E116" s="9" t="n"/>
      <c r="F116" s="9" t="n"/>
      <c r="G116" s="9" t="n"/>
      <c r="H116" s="9" t="n"/>
      <c r="I116" s="10">
        <f>IFERROR(INDEX(C116:H116,MATCH(TRUE,INDEX(C116:H116&lt;&gt;"",0),0)),"")</f>
        <v/>
      </c>
      <c r="J116" s="10">
        <f>IFERROR(MIN(IF(C116:H116&lt;&gt;"",C116:H116)),"")</f>
        <v/>
      </c>
      <c r="K116" s="10">
        <f>IFERROR(MATCH(I116,C116:H116,0),"")</f>
        <v/>
      </c>
      <c r="L116" s="10">
        <f>IF(OR(I116="",J116=""),"",ROUND((I116-J116)/I116*100,1))</f>
        <v/>
      </c>
      <c r="M116" s="10">
        <f>IF(L116="","",IF(L116&gt;=10,"是","否"))</f>
        <v/>
      </c>
      <c r="N116" s="10">
        <f>IF(J116="","",IF(J116&lt;0.15,"是","否"))</f>
        <v/>
      </c>
      <c r="O116" s="10">
        <f>IF(I116="","",IF(J116&lt;0.15,"SAFETY_STOP",IF(L116&gt;=10,"VL_THRESHOLD","PLANNED_END")))</f>
        <v/>
      </c>
      <c r="P116" s="10">
        <f>IF(I116="","",IF(I116&gt;($D$2+0.05),"+5kg",IF(I116&gt;($D$2+0.02),"+2.5kg",IF(I116&gt;=($D$2-0.05),"保持",IF(I116&gt;=($D$2-0.08),"-2.5kg","-5kg")))))</f>
        <v/>
      </c>
      <c r="Q116" s="9" t="n"/>
      <c r="R116" s="12" t="n"/>
      <c r="S116" s="12" t="n"/>
      <c r="T116" s="12" t="n"/>
    </row>
    <row r="117">
      <c r="A117" s="12" t="n">
        <v>6</v>
      </c>
      <c r="B117" s="9" t="n"/>
      <c r="C117" s="9" t="n"/>
      <c r="D117" s="9" t="n"/>
      <c r="E117" s="9" t="n"/>
      <c r="F117" s="9" t="n"/>
      <c r="G117" s="9" t="n"/>
      <c r="H117" s="9" t="n"/>
      <c r="I117" s="10">
        <f>IFERROR(INDEX(C117:H117,MATCH(TRUE,INDEX(C117:H117&lt;&gt;"",0),0)),"")</f>
        <v/>
      </c>
      <c r="J117" s="10">
        <f>IFERROR(MIN(IF(C117:H117&lt;&gt;"",C117:H117)),"")</f>
        <v/>
      </c>
      <c r="K117" s="10">
        <f>IFERROR(MATCH(I117,C117:H117,0),"")</f>
        <v/>
      </c>
      <c r="L117" s="10">
        <f>IF(OR(I117="",J117=""),"",ROUND((I117-J117)/I117*100,1))</f>
        <v/>
      </c>
      <c r="M117" s="10">
        <f>IF(L117="","",IF(L117&gt;=10,"是","否"))</f>
        <v/>
      </c>
      <c r="N117" s="10">
        <f>IF(J117="","",IF(J117&lt;0.15,"是","否"))</f>
        <v/>
      </c>
      <c r="O117" s="10">
        <f>IF(I117="","",IF(J117&lt;0.15,"SAFETY_STOP",IF(L117&gt;=10,"VL_THRESHOLD","PLANNED_END")))</f>
        <v/>
      </c>
      <c r="P117" s="10">
        <f>IF(I117="","",IF(I117&gt;($D$2+0.05),"+5kg",IF(I117&gt;($D$2+0.02),"+2.5kg",IF(I117&gt;=($D$2-0.05),"保持",IF(I117&gt;=($D$2-0.08),"-2.5kg","-5kg")))))</f>
        <v/>
      </c>
      <c r="Q117" s="9" t="n"/>
      <c r="R117" s="12" t="n"/>
      <c r="S117" s="12" t="n"/>
      <c r="T117" s="12" t="n"/>
    </row>
    <row r="118">
      <c r="A118" s="8" t="inlineStr">
        <is>
          <t>辅助动作</t>
        </is>
      </c>
      <c r="B118" s="8" t="inlineStr">
        <is>
          <t>动作名称</t>
        </is>
      </c>
      <c r="C118" s="8" t="inlineStr">
        <is>
          <t>负荷kg</t>
        </is>
      </c>
      <c r="D118" s="8" t="inlineStr">
        <is>
          <t>完成(组×次)</t>
        </is>
      </c>
    </row>
    <row r="119">
      <c r="A119" s="9" t="inlineStr"/>
      <c r="B119" s="9" t="n"/>
      <c r="C119" s="9" t="n"/>
      <c r="D119" s="9" t="n"/>
    </row>
    <row r="120">
      <c r="A120" s="8" t="inlineStr">
        <is>
          <t>训练后</t>
        </is>
      </c>
      <c r="B120" s="8" t="inlineStr">
        <is>
          <t>开始时间</t>
        </is>
      </c>
      <c r="C120" s="8" t="inlineStr">
        <is>
          <t>结束时间</t>
        </is>
      </c>
      <c r="D120" s="8" t="inlineStr">
        <is>
          <t>总时长min</t>
        </is>
      </c>
      <c r="E120" s="8" t="inlineStr">
        <is>
          <t>sRPE</t>
        </is>
      </c>
      <c r="F120" s="8" t="inlineStr">
        <is>
          <t>session_load</t>
        </is>
      </c>
      <c r="G120" s="8" t="inlineStr">
        <is>
          <t>有无不适</t>
        </is>
      </c>
      <c r="H120" s="8" t="inlineStr">
        <is>
          <t>备注</t>
        </is>
      </c>
      <c r="I120" s="8" t="inlineStr">
        <is>
          <t>研究员签名</t>
        </is>
      </c>
    </row>
    <row r="121">
      <c r="A121" s="13" t="inlineStr"/>
      <c r="B121" s="13" t="n"/>
      <c r="C121" s="13" t="n"/>
      <c r="D121" s="10">
        <f>IF(OR(B121="",C121=""),"",(C121-B121)*1440)</f>
        <v/>
      </c>
      <c r="E121" s="13" t="n"/>
      <c r="F121" s="10">
        <f>IF(OR(D121="",E121=""),"",D121*E121)</f>
        <v/>
      </c>
      <c r="G121" s="13" t="n"/>
      <c r="H121" s="13" t="n"/>
      <c r="I121" s="13" t="n"/>
    </row>
    <row r="123">
      <c r="A123" s="5" t="inlineStr">
        <is>
          <t>── P025 范芳忠 ──────────────────────────────────────────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7" t="n"/>
    </row>
    <row r="124">
      <c r="A124" s="8" t="inlineStr">
        <is>
          <t>编号</t>
        </is>
      </c>
      <c r="B124" s="8" t="inlineStr">
        <is>
          <t>姓名</t>
        </is>
      </c>
      <c r="C124" s="8" t="inlineStr">
        <is>
          <t>身高</t>
        </is>
      </c>
      <c r="D124" s="8" t="inlineStr">
        <is>
          <t>1RM</t>
        </is>
      </c>
      <c r="E124" s="8" t="inlineStr">
        <is>
          <t>睡眠</t>
        </is>
      </c>
      <c r="F124" s="8" t="inlineStr">
        <is>
          <t>压力</t>
        </is>
      </c>
      <c r="G124" s="8" t="inlineStr">
        <is>
          <t>疲劳</t>
        </is>
      </c>
      <c r="H124" s="8" t="inlineStr">
        <is>
          <t>酸痛</t>
        </is>
      </c>
      <c r="I124" s="8" t="inlineStr">
        <is>
          <t>Hooper总</t>
        </is>
      </c>
      <c r="J124" s="8" t="inlineStr">
        <is>
          <t>CMJ1</t>
        </is>
      </c>
      <c r="K124" s="8" t="inlineStr">
        <is>
          <t>CMJ2</t>
        </is>
      </c>
      <c r="L124" s="8" t="inlineStr">
        <is>
          <t>CMJ3</t>
        </is>
      </c>
      <c r="M124" s="8" t="inlineStr">
        <is>
          <t>CMJ均值</t>
        </is>
      </c>
      <c r="N124" s="8" t="inlineStr">
        <is>
          <t>&lt;95%?</t>
        </is>
      </c>
      <c r="O124" s="8" t="inlineStr">
        <is>
          <t>减组?</t>
        </is>
      </c>
      <c r="P124" s="8" t="inlineStr">
        <is>
          <t>实做组数</t>
        </is>
      </c>
      <c r="Q124" s="8" t="inlineStr">
        <is>
          <t>LVP_a</t>
        </is>
      </c>
      <c r="R124" s="8" t="inlineStr">
        <is>
          <t>LVP_b</t>
        </is>
      </c>
      <c r="S124" s="8" t="inlineStr">
        <is>
          <t>等级</t>
        </is>
      </c>
      <c r="T124" s="8" t="inlineStr">
        <is>
          <t>预测起始</t>
        </is>
      </c>
    </row>
    <row r="125">
      <c r="A125" s="9" t="inlineStr">
        <is>
          <t>P025</t>
        </is>
      </c>
      <c r="B125" s="9" t="inlineStr">
        <is>
          <t>范芳忠</t>
        </is>
      </c>
      <c r="C125" s="9" t="n">
        <v>178</v>
      </c>
      <c r="D125" s="9" t="n">
        <v>135</v>
      </c>
      <c r="E125" s="9" t="n"/>
      <c r="F125" s="9" t="n"/>
      <c r="G125" s="9" t="n"/>
      <c r="H125" s="9" t="n"/>
      <c r="I125" s="10">
        <f>IFERROR(SUM(E125:H125),"")</f>
        <v/>
      </c>
      <c r="J125" s="9" t="n"/>
      <c r="K125" s="9" t="n"/>
      <c r="L125" s="9" t="n"/>
      <c r="M125" s="10">
        <f>IFERROR(AVERAGE(J125:L125),"")</f>
        <v/>
      </c>
      <c r="N125" s="10">
        <f>IF(M125="","",IF(M125&lt;58.43,"是⚠","否"))</f>
        <v/>
      </c>
      <c r="O125" s="10">
        <f>IF(M125="","",IF(M125&lt;58.43,"减1组","正常"))</f>
        <v/>
      </c>
      <c r="P125" s="10">
        <f>IF(M125="","",IF(M125&lt;58.43,4-1,4))</f>
        <v/>
      </c>
      <c r="Q125" s="9" t="n">
        <v>1.77</v>
      </c>
      <c r="R125" s="9" t="n">
        <v>-0.0105</v>
      </c>
      <c r="S125" s="9" t="inlineStr">
        <is>
          <t>A</t>
        </is>
      </c>
      <c r="T125" s="10">
        <f>IFERROR(ROUND((0.8-1.77)/-0.0105,0.5),"")</f>
        <v/>
      </c>
    </row>
    <row r="126">
      <c r="A126" s="8" t="inlineStr">
        <is>
          <t>热身校准</t>
        </is>
      </c>
      <c r="B126" s="8" t="inlineStr">
        <is>
          <t>LVP_a</t>
        </is>
      </c>
      <c r="C126" s="8" t="inlineStr">
        <is>
          <t>LVP_b</t>
        </is>
      </c>
      <c r="D126" s="8" t="inlineStr">
        <is>
          <t>50%热身kg</t>
        </is>
      </c>
      <c r="E126" s="8" t="inlineStr">
        <is>
          <t>70%热身kg</t>
        </is>
      </c>
      <c r="F126" s="8" t="inlineStr">
        <is>
          <t>热身负荷kg</t>
        </is>
      </c>
      <c r="G126" s="8" t="inlineStr">
        <is>
          <t>实测MCV</t>
        </is>
      </c>
      <c r="H126" s="8" t="inlineStr">
        <is>
          <t>预测MCV</t>
        </is>
      </c>
      <c r="I126" s="8" t="inlineStr">
        <is>
          <t>Δv</t>
        </is>
      </c>
      <c r="J126" s="8" t="inlineStr">
        <is>
          <t>调整量kg</t>
        </is>
      </c>
      <c r="K126" s="8" t="inlineStr">
        <is>
          <t>校准后第1组kg</t>
        </is>
      </c>
    </row>
    <row r="127">
      <c r="A127" s="11" t="inlineStr"/>
      <c r="B127" s="11" t="n">
        <v>1.77</v>
      </c>
      <c r="C127" s="11" t="n">
        <v>-0.0105</v>
      </c>
      <c r="D127" s="10">
        <f>IFERROR(ROUND(T125*0.5,2.5),"")</f>
        <v/>
      </c>
      <c r="E127" s="10">
        <f>IFERROR(ROUND(T125*0.7,2.5),"")</f>
        <v/>
      </c>
      <c r="F127" s="10">
        <f>D127</f>
        <v/>
      </c>
      <c r="G127" s="9" t="n"/>
      <c r="H127" s="10">
        <f>IF(F127="","",B127+C127*F127)</f>
        <v/>
      </c>
      <c r="I127" s="10">
        <f>IF(OR(G127="",H127=""),"",G127-H127)</f>
        <v/>
      </c>
      <c r="J127" s="10">
        <f>IF(I127="","",IF(I127&gt;0.08,5,IF(I127&gt;0.04,2.5,IF(I127&gt;=-0.04,0,IF(I127&gt;=-0.08,-2.5,-5)))))</f>
        <v/>
      </c>
      <c r="K127" s="10">
        <f>IFERROR(ROUND(T125+J127,2.5),"")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8" t="inlineStr">
        <is>
          <t>组次</t>
        </is>
      </c>
      <c r="B128" s="8" t="inlineStr">
        <is>
          <t>负荷kg</t>
        </is>
      </c>
      <c r="C128" s="8" t="inlineStr">
        <is>
          <t>rep1</t>
        </is>
      </c>
      <c r="D128" s="8" t="inlineStr">
        <is>
          <t>rep2</t>
        </is>
      </c>
      <c r="E128" s="8" t="inlineStr">
        <is>
          <t>rep3</t>
        </is>
      </c>
      <c r="F128" s="8" t="inlineStr">
        <is>
          <t>rep4</t>
        </is>
      </c>
      <c r="G128" s="8" t="inlineStr">
        <is>
          <t>rep5</t>
        </is>
      </c>
      <c r="H128" s="8" t="inlineStr">
        <is>
          <t>rep6</t>
        </is>
      </c>
      <c r="I128" s="8" t="inlineStr">
        <is>
          <t>首rep</t>
        </is>
      </c>
      <c r="J128" s="8" t="inlineStr">
        <is>
          <t>最低速</t>
        </is>
      </c>
      <c r="K128" s="8" t="inlineStr">
        <is>
          <t>最低rep#</t>
        </is>
      </c>
      <c r="L128" s="8" t="inlineStr">
        <is>
          <t>VL%</t>
        </is>
      </c>
      <c r="M128" s="8" t="inlineStr">
        <is>
          <t>VL达标?</t>
        </is>
      </c>
      <c r="N128" s="8" t="inlineStr">
        <is>
          <t>安全停止?</t>
        </is>
      </c>
      <c r="O128" s="8" t="inlineStr">
        <is>
          <t>停组原因</t>
        </is>
      </c>
      <c r="P128" s="8" t="inlineStr">
        <is>
          <t>下组建议</t>
        </is>
      </c>
      <c r="Q128" s="8" t="inlineStr">
        <is>
          <t>实做次数</t>
        </is>
      </c>
    </row>
    <row r="129">
      <c r="A129" s="12" t="n">
        <v>1</v>
      </c>
      <c r="B129" s="10">
        <f>IF(K127="","",K127)</f>
        <v/>
      </c>
      <c r="C129" s="9" t="n"/>
      <c r="D129" s="9" t="n"/>
      <c r="E129" s="9" t="n"/>
      <c r="F129" s="9" t="n"/>
      <c r="G129" s="9" t="n"/>
      <c r="H129" s="9" t="n"/>
      <c r="I129" s="10">
        <f>IFERROR(INDEX(C129:H129,MATCH(TRUE,INDEX(C129:H129&lt;&gt;"",0),0)),"")</f>
        <v/>
      </c>
      <c r="J129" s="10">
        <f>IFERROR(MIN(IF(C129:H129&lt;&gt;"",C129:H129)),"")</f>
        <v/>
      </c>
      <c r="K129" s="10">
        <f>IFERROR(MATCH(I129,C129:H129,0),"")</f>
        <v/>
      </c>
      <c r="L129" s="10">
        <f>IF(OR(I129="",J129=""),"",ROUND((I129-J129)/I129*100,1))</f>
        <v/>
      </c>
      <c r="M129" s="10">
        <f>IF(L129="","",IF(L129&gt;=10,"是","否"))</f>
        <v/>
      </c>
      <c r="N129" s="10">
        <f>IF(J129="","",IF(J129&lt;0.15,"是","否"))</f>
        <v/>
      </c>
      <c r="O129" s="10">
        <f>IF(I129="","",IF(J129&lt;0.15,"SAFETY_STOP",IF(L129&gt;=10,"VL_THRESHOLD","PLANNED_END")))</f>
        <v/>
      </c>
      <c r="P129" s="10">
        <f>IF(I129="","",IF(I129&gt;($D$2+0.05),"+5kg",IF(I129&gt;($D$2+0.02),"+2.5kg",IF(I129&gt;=($D$2-0.05),"保持",IF(I129&gt;=($D$2-0.08),"-2.5kg","-5kg")))))</f>
        <v/>
      </c>
      <c r="Q129" s="9" t="n"/>
      <c r="R129" s="12" t="n"/>
      <c r="S129" s="12" t="n"/>
      <c r="T129" s="12" t="n"/>
    </row>
    <row r="130">
      <c r="A130" s="12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10">
        <f>IFERROR(INDEX(C130:H130,MATCH(TRUE,INDEX(C130:H130&lt;&gt;"",0),0)),"")</f>
        <v/>
      </c>
      <c r="J130" s="10">
        <f>IFERROR(MIN(IF(C130:H130&lt;&gt;"",C130:H130)),"")</f>
        <v/>
      </c>
      <c r="K130" s="10">
        <f>IFERROR(MATCH(I130,C130:H130,0),"")</f>
        <v/>
      </c>
      <c r="L130" s="10">
        <f>IF(OR(I130="",J130=""),"",ROUND((I130-J130)/I130*100,1))</f>
        <v/>
      </c>
      <c r="M130" s="10">
        <f>IF(L130="","",IF(L130&gt;=10,"是","否"))</f>
        <v/>
      </c>
      <c r="N130" s="10">
        <f>IF(J130="","",IF(J130&lt;0.15,"是","否"))</f>
        <v/>
      </c>
      <c r="O130" s="10">
        <f>IF(I130="","",IF(J130&lt;0.15,"SAFETY_STOP",IF(L130&gt;=10,"VL_THRESHOLD","PLANNED_END")))</f>
        <v/>
      </c>
      <c r="P130" s="10">
        <f>IF(I130="","",IF(I130&gt;($D$2+0.05),"+5kg",IF(I130&gt;($D$2+0.02),"+2.5kg",IF(I130&gt;=($D$2-0.05),"保持",IF(I130&gt;=($D$2-0.08),"-2.5kg","-5kg")))))</f>
        <v/>
      </c>
      <c r="Q130" s="9" t="n"/>
      <c r="R130" s="12" t="n"/>
      <c r="S130" s="12" t="n"/>
      <c r="T130" s="12" t="n"/>
    </row>
    <row r="131">
      <c r="A131" s="12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10">
        <f>IFERROR(INDEX(C131:H131,MATCH(TRUE,INDEX(C131:H131&lt;&gt;"",0),0)),"")</f>
        <v/>
      </c>
      <c r="J131" s="10">
        <f>IFERROR(MIN(IF(C131:H131&lt;&gt;"",C131:H131)),"")</f>
        <v/>
      </c>
      <c r="K131" s="10">
        <f>IFERROR(MATCH(I131,C131:H131,0),"")</f>
        <v/>
      </c>
      <c r="L131" s="10">
        <f>IF(OR(I131="",J131=""),"",ROUND((I131-J131)/I131*100,1))</f>
        <v/>
      </c>
      <c r="M131" s="10">
        <f>IF(L131="","",IF(L131&gt;=10,"是","否"))</f>
        <v/>
      </c>
      <c r="N131" s="10">
        <f>IF(J131="","",IF(J131&lt;0.15,"是","否"))</f>
        <v/>
      </c>
      <c r="O131" s="10">
        <f>IF(I131="","",IF(J131&lt;0.15,"SAFETY_STOP",IF(L131&gt;=10,"VL_THRESHOLD","PLANNED_END")))</f>
        <v/>
      </c>
      <c r="P131" s="10">
        <f>IF(I131="","",IF(I131&gt;($D$2+0.05),"+5kg",IF(I131&gt;($D$2+0.02),"+2.5kg",IF(I131&gt;=($D$2-0.05),"保持",IF(I131&gt;=($D$2-0.08),"-2.5kg","-5kg")))))</f>
        <v/>
      </c>
      <c r="Q131" s="9" t="n"/>
      <c r="R131" s="12" t="n"/>
      <c r="S131" s="12" t="n"/>
      <c r="T131" s="12" t="n"/>
    </row>
    <row r="132">
      <c r="A132" s="12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10">
        <f>IFERROR(INDEX(C132:H132,MATCH(TRUE,INDEX(C132:H132&lt;&gt;"",0),0)),"")</f>
        <v/>
      </c>
      <c r="J132" s="10">
        <f>IFERROR(MIN(IF(C132:H132&lt;&gt;"",C132:H132)),"")</f>
        <v/>
      </c>
      <c r="K132" s="10">
        <f>IFERROR(MATCH(I132,C132:H132,0),"")</f>
        <v/>
      </c>
      <c r="L132" s="10">
        <f>IF(OR(I132="",J132=""),"",ROUND((I132-J132)/I132*100,1))</f>
        <v/>
      </c>
      <c r="M132" s="10">
        <f>IF(L132="","",IF(L132&gt;=10,"是","否"))</f>
        <v/>
      </c>
      <c r="N132" s="10">
        <f>IF(J132="","",IF(J132&lt;0.15,"是","否"))</f>
        <v/>
      </c>
      <c r="O132" s="10">
        <f>IF(I132="","",IF(J132&lt;0.15,"SAFETY_STOP",IF(L132&gt;=10,"VL_THRESHOLD","PLANNED_END")))</f>
        <v/>
      </c>
      <c r="P132" s="10">
        <f>IF(I132="","",IF(I132&gt;($D$2+0.05),"+5kg",IF(I132&gt;($D$2+0.02),"+2.5kg",IF(I132&gt;=($D$2-0.05),"保持",IF(I132&gt;=($D$2-0.08),"-2.5kg","-5kg")))))</f>
        <v/>
      </c>
      <c r="Q132" s="9" t="n"/>
      <c r="R132" s="12" t="n"/>
      <c r="S132" s="12" t="n"/>
      <c r="T132" s="12" t="n"/>
    </row>
    <row r="133">
      <c r="A133" s="12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10">
        <f>IFERROR(INDEX(C133:H133,MATCH(TRUE,INDEX(C133:H133&lt;&gt;"",0),0)),"")</f>
        <v/>
      </c>
      <c r="J133" s="10">
        <f>IFERROR(MIN(IF(C133:H133&lt;&gt;"",C133:H133)),"")</f>
        <v/>
      </c>
      <c r="K133" s="10">
        <f>IFERROR(MATCH(I133,C133:H133,0),"")</f>
        <v/>
      </c>
      <c r="L133" s="10">
        <f>IF(OR(I133="",J133=""),"",ROUND((I133-J133)/I133*100,1))</f>
        <v/>
      </c>
      <c r="M133" s="10">
        <f>IF(L133="","",IF(L133&gt;=10,"是","否"))</f>
        <v/>
      </c>
      <c r="N133" s="10">
        <f>IF(J133="","",IF(J133&lt;0.15,"是","否"))</f>
        <v/>
      </c>
      <c r="O133" s="10">
        <f>IF(I133="","",IF(J133&lt;0.15,"SAFETY_STOP",IF(L133&gt;=10,"VL_THRESHOLD","PLANNED_END")))</f>
        <v/>
      </c>
      <c r="P133" s="10">
        <f>IF(I133="","",IF(I133&gt;($D$2+0.05),"+5kg",IF(I133&gt;($D$2+0.02),"+2.5kg",IF(I133&gt;=($D$2-0.05),"保持",IF(I133&gt;=($D$2-0.08),"-2.5kg","-5kg")))))</f>
        <v/>
      </c>
      <c r="Q133" s="9" t="n"/>
      <c r="R133" s="12" t="n"/>
      <c r="S133" s="12" t="n"/>
      <c r="T133" s="12" t="n"/>
    </row>
    <row r="134">
      <c r="A134" s="12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10">
        <f>IFERROR(INDEX(C134:H134,MATCH(TRUE,INDEX(C134:H134&lt;&gt;"",0),0)),"")</f>
        <v/>
      </c>
      <c r="J134" s="10">
        <f>IFERROR(MIN(IF(C134:H134&lt;&gt;"",C134:H134)),"")</f>
        <v/>
      </c>
      <c r="K134" s="10">
        <f>IFERROR(MATCH(I134,C134:H134,0),"")</f>
        <v/>
      </c>
      <c r="L134" s="10">
        <f>IF(OR(I134="",J134=""),"",ROUND((I134-J134)/I134*100,1))</f>
        <v/>
      </c>
      <c r="M134" s="10">
        <f>IF(L134="","",IF(L134&gt;=10,"是","否"))</f>
        <v/>
      </c>
      <c r="N134" s="10">
        <f>IF(J134="","",IF(J134&lt;0.15,"是","否"))</f>
        <v/>
      </c>
      <c r="O134" s="10">
        <f>IF(I134="","",IF(J134&lt;0.15,"SAFETY_STOP",IF(L134&gt;=10,"VL_THRESHOLD","PLANNED_END")))</f>
        <v/>
      </c>
      <c r="P134" s="10">
        <f>IF(I134="","",IF(I134&gt;($D$2+0.05),"+5kg",IF(I134&gt;($D$2+0.02),"+2.5kg",IF(I134&gt;=($D$2-0.05),"保持",IF(I134&gt;=($D$2-0.08),"-2.5kg","-5kg")))))</f>
        <v/>
      </c>
      <c r="Q134" s="9" t="n"/>
      <c r="R134" s="12" t="n"/>
      <c r="S134" s="12" t="n"/>
      <c r="T134" s="12" t="n"/>
    </row>
    <row r="135">
      <c r="A135" s="8" t="inlineStr">
        <is>
          <t>辅助动作</t>
        </is>
      </c>
      <c r="B135" s="8" t="inlineStr">
        <is>
          <t>动作名称</t>
        </is>
      </c>
      <c r="C135" s="8" t="inlineStr">
        <is>
          <t>负荷kg</t>
        </is>
      </c>
      <c r="D135" s="8" t="inlineStr">
        <is>
          <t>完成(组×次)</t>
        </is>
      </c>
    </row>
    <row r="136">
      <c r="A136" s="9" t="inlineStr"/>
      <c r="B136" s="9" t="n"/>
      <c r="C136" s="9" t="n"/>
      <c r="D136" s="9" t="n"/>
    </row>
    <row r="137">
      <c r="A137" s="8" t="inlineStr">
        <is>
          <t>训练后</t>
        </is>
      </c>
      <c r="B137" s="8" t="inlineStr">
        <is>
          <t>开始时间</t>
        </is>
      </c>
      <c r="C137" s="8" t="inlineStr">
        <is>
          <t>结束时间</t>
        </is>
      </c>
      <c r="D137" s="8" t="inlineStr">
        <is>
          <t>总时长min</t>
        </is>
      </c>
      <c r="E137" s="8" t="inlineStr">
        <is>
          <t>sRPE</t>
        </is>
      </c>
      <c r="F137" s="8" t="inlineStr">
        <is>
          <t>session_load</t>
        </is>
      </c>
      <c r="G137" s="8" t="inlineStr">
        <is>
          <t>有无不适</t>
        </is>
      </c>
      <c r="H137" s="8" t="inlineStr">
        <is>
          <t>备注</t>
        </is>
      </c>
      <c r="I137" s="8" t="inlineStr">
        <is>
          <t>研究员签名</t>
        </is>
      </c>
    </row>
    <row r="138">
      <c r="A138" s="13" t="inlineStr"/>
      <c r="B138" s="13" t="n"/>
      <c r="C138" s="13" t="n"/>
      <c r="D138" s="10">
        <f>IF(OR(B138="",C138=""),"",(C138-B138)*1440)</f>
        <v/>
      </c>
      <c r="E138" s="13" t="n"/>
      <c r="F138" s="10">
        <f>IF(OR(D138="",E138=""),"",D138*E138)</f>
        <v/>
      </c>
      <c r="G138" s="13" t="n"/>
      <c r="H138" s="13" t="n"/>
      <c r="I138" s="13" t="n"/>
    </row>
    <row r="140">
      <c r="A140" s="5" t="inlineStr">
        <is>
          <t>── P018 孟维宇 ──────────────────────────────────────────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7" t="n"/>
    </row>
    <row r="141">
      <c r="A141" s="8" t="inlineStr">
        <is>
          <t>编号</t>
        </is>
      </c>
      <c r="B141" s="8" t="inlineStr">
        <is>
          <t>姓名</t>
        </is>
      </c>
      <c r="C141" s="8" t="inlineStr">
        <is>
          <t>身高</t>
        </is>
      </c>
      <c r="D141" s="8" t="inlineStr">
        <is>
          <t>1RM</t>
        </is>
      </c>
      <c r="E141" s="8" t="inlineStr">
        <is>
          <t>睡眠</t>
        </is>
      </c>
      <c r="F141" s="8" t="inlineStr">
        <is>
          <t>压力</t>
        </is>
      </c>
      <c r="G141" s="8" t="inlineStr">
        <is>
          <t>疲劳</t>
        </is>
      </c>
      <c r="H141" s="8" t="inlineStr">
        <is>
          <t>酸痛</t>
        </is>
      </c>
      <c r="I141" s="8" t="inlineStr">
        <is>
          <t>Hooper总</t>
        </is>
      </c>
      <c r="J141" s="8" t="inlineStr">
        <is>
          <t>CMJ1</t>
        </is>
      </c>
      <c r="K141" s="8" t="inlineStr">
        <is>
          <t>CMJ2</t>
        </is>
      </c>
      <c r="L141" s="8" t="inlineStr">
        <is>
          <t>CMJ3</t>
        </is>
      </c>
      <c r="M141" s="8" t="inlineStr">
        <is>
          <t>CMJ均值</t>
        </is>
      </c>
      <c r="N141" s="8" t="inlineStr">
        <is>
          <t>&lt;95%?</t>
        </is>
      </c>
      <c r="O141" s="8" t="inlineStr">
        <is>
          <t>减组?</t>
        </is>
      </c>
      <c r="P141" s="8" t="inlineStr">
        <is>
          <t>实做组数</t>
        </is>
      </c>
      <c r="Q141" s="8" t="inlineStr">
        <is>
          <t>LVP_a</t>
        </is>
      </c>
      <c r="R141" s="8" t="inlineStr">
        <is>
          <t>LVP_b</t>
        </is>
      </c>
      <c r="S141" s="8" t="inlineStr">
        <is>
          <t>等级</t>
        </is>
      </c>
      <c r="T141" s="8" t="inlineStr">
        <is>
          <t>预测起始</t>
        </is>
      </c>
    </row>
    <row r="142">
      <c r="A142" s="9" t="inlineStr">
        <is>
          <t>P018</t>
        </is>
      </c>
      <c r="B142" s="9" t="inlineStr">
        <is>
          <t>孟维宇</t>
        </is>
      </c>
      <c r="C142" s="9" t="n">
        <v>173</v>
      </c>
      <c r="D142" s="9" t="n">
        <v>122.5</v>
      </c>
      <c r="E142" s="9" t="n"/>
      <c r="F142" s="9" t="n"/>
      <c r="G142" s="9" t="n"/>
      <c r="H142" s="9" t="n"/>
      <c r="I142" s="10">
        <f>IFERROR(SUM(E142:H142),"")</f>
        <v/>
      </c>
      <c r="J142" s="9" t="n"/>
      <c r="K142" s="9" t="n"/>
      <c r="L142" s="9" t="n"/>
      <c r="M142" s="10">
        <f>IFERROR(AVERAGE(J142:L142),"")</f>
        <v/>
      </c>
      <c r="N142" s="10">
        <f>IF(M142="","",IF(M142&lt;52.6,"是⚠","否"))</f>
        <v/>
      </c>
      <c r="O142" s="10">
        <f>IF(M142="","",IF(M142&lt;52.6,"减1组","正常"))</f>
        <v/>
      </c>
      <c r="P142" s="10">
        <f>IF(M142="","",IF(M142&lt;52.6,4-1,4))</f>
        <v/>
      </c>
      <c r="Q142" s="9" t="n">
        <v>1.71</v>
      </c>
      <c r="R142" s="9" t="n">
        <v>-0.0105</v>
      </c>
      <c r="S142" s="9" t="inlineStr">
        <is>
          <t>B</t>
        </is>
      </c>
      <c r="T142" s="10">
        <f>IFERROR(ROUND((0.8-1.71)/-0.0105,0.5),"")</f>
        <v/>
      </c>
    </row>
    <row r="143">
      <c r="A143" s="8" t="inlineStr">
        <is>
          <t>热身校准</t>
        </is>
      </c>
      <c r="B143" s="8" t="inlineStr">
        <is>
          <t>LVP_a</t>
        </is>
      </c>
      <c r="C143" s="8" t="inlineStr">
        <is>
          <t>LVP_b</t>
        </is>
      </c>
      <c r="D143" s="8" t="inlineStr">
        <is>
          <t>50%热身kg</t>
        </is>
      </c>
      <c r="E143" s="8" t="inlineStr">
        <is>
          <t>70%热身kg</t>
        </is>
      </c>
      <c r="F143" s="8" t="inlineStr">
        <is>
          <t>热身负荷kg</t>
        </is>
      </c>
      <c r="G143" s="8" t="inlineStr">
        <is>
          <t>实测MCV</t>
        </is>
      </c>
      <c r="H143" s="8" t="inlineStr">
        <is>
          <t>预测MCV</t>
        </is>
      </c>
      <c r="I143" s="8" t="inlineStr">
        <is>
          <t>Δv</t>
        </is>
      </c>
      <c r="J143" s="8" t="inlineStr">
        <is>
          <t>调整量kg</t>
        </is>
      </c>
      <c r="K143" s="8" t="inlineStr">
        <is>
          <t>校准后第1组kg</t>
        </is>
      </c>
    </row>
    <row r="144">
      <c r="A144" s="11" t="inlineStr"/>
      <c r="B144" s="11" t="n">
        <v>1.71</v>
      </c>
      <c r="C144" s="11" t="n">
        <v>-0.0105</v>
      </c>
      <c r="D144" s="10">
        <f>IFERROR(ROUND(T142*0.5,2.5),"")</f>
        <v/>
      </c>
      <c r="E144" s="10">
        <f>IFERROR(ROUND(T142*0.7,2.5),"")</f>
        <v/>
      </c>
      <c r="F144" s="10">
        <f>D144</f>
        <v/>
      </c>
      <c r="G144" s="9" t="n"/>
      <c r="H144" s="10">
        <f>IF(F144="","",B144+C144*F144)</f>
        <v/>
      </c>
      <c r="I144" s="10">
        <f>IF(OR(G144="",H144=""),"",G144-H144)</f>
        <v/>
      </c>
      <c r="J144" s="10">
        <f>IF(I144="","",IF(I144&gt;0.08,5,IF(I144&gt;0.04,2.5,IF(I144&gt;=-0.04,0,IF(I144&gt;=-0.08,-2.5,-5)))))</f>
        <v/>
      </c>
      <c r="K144" s="10">
        <f>IFERROR(ROUND(T142+J144,2.5),"")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8" t="inlineStr">
        <is>
          <t>组次</t>
        </is>
      </c>
      <c r="B145" s="8" t="inlineStr">
        <is>
          <t>负荷kg</t>
        </is>
      </c>
      <c r="C145" s="8" t="inlineStr">
        <is>
          <t>rep1</t>
        </is>
      </c>
      <c r="D145" s="8" t="inlineStr">
        <is>
          <t>rep2</t>
        </is>
      </c>
      <c r="E145" s="8" t="inlineStr">
        <is>
          <t>rep3</t>
        </is>
      </c>
      <c r="F145" s="8" t="inlineStr">
        <is>
          <t>rep4</t>
        </is>
      </c>
      <c r="G145" s="8" t="inlineStr">
        <is>
          <t>rep5</t>
        </is>
      </c>
      <c r="H145" s="8" t="inlineStr">
        <is>
          <t>rep6</t>
        </is>
      </c>
      <c r="I145" s="8" t="inlineStr">
        <is>
          <t>首rep</t>
        </is>
      </c>
      <c r="J145" s="8" t="inlineStr">
        <is>
          <t>最低速</t>
        </is>
      </c>
      <c r="K145" s="8" t="inlineStr">
        <is>
          <t>最低rep#</t>
        </is>
      </c>
      <c r="L145" s="8" t="inlineStr">
        <is>
          <t>VL%</t>
        </is>
      </c>
      <c r="M145" s="8" t="inlineStr">
        <is>
          <t>VL达标?</t>
        </is>
      </c>
      <c r="N145" s="8" t="inlineStr">
        <is>
          <t>安全停止?</t>
        </is>
      </c>
      <c r="O145" s="8" t="inlineStr">
        <is>
          <t>停组原因</t>
        </is>
      </c>
      <c r="P145" s="8" t="inlineStr">
        <is>
          <t>下组建议</t>
        </is>
      </c>
      <c r="Q145" s="8" t="inlineStr">
        <is>
          <t>实做次数</t>
        </is>
      </c>
    </row>
    <row r="146">
      <c r="A146" s="12" t="n">
        <v>1</v>
      </c>
      <c r="B146" s="10">
        <f>IF(K144="","",K144)</f>
        <v/>
      </c>
      <c r="C146" s="9" t="n"/>
      <c r="D146" s="9" t="n"/>
      <c r="E146" s="9" t="n"/>
      <c r="F146" s="9" t="n"/>
      <c r="G146" s="9" t="n"/>
      <c r="H146" s="9" t="n"/>
      <c r="I146" s="10">
        <f>IFERROR(INDEX(C146:H146,MATCH(TRUE,INDEX(C146:H146&lt;&gt;"",0),0)),"")</f>
        <v/>
      </c>
      <c r="J146" s="10">
        <f>IFERROR(MIN(IF(C146:H146&lt;&gt;"",C146:H146)),"")</f>
        <v/>
      </c>
      <c r="K146" s="10">
        <f>IFERROR(MATCH(I146,C146:H146,0),"")</f>
        <v/>
      </c>
      <c r="L146" s="10">
        <f>IF(OR(I146="",J146=""),"",ROUND((I146-J146)/I146*100,1))</f>
        <v/>
      </c>
      <c r="M146" s="10">
        <f>IF(L146="","",IF(L146&gt;=10,"是","否"))</f>
        <v/>
      </c>
      <c r="N146" s="10">
        <f>IF(J146="","",IF(J146&lt;0.15,"是","否"))</f>
        <v/>
      </c>
      <c r="O146" s="10">
        <f>IF(I146="","",IF(J146&lt;0.15,"SAFETY_STOP",IF(L146&gt;=10,"VL_THRESHOLD","PLANNED_END")))</f>
        <v/>
      </c>
      <c r="P146" s="10">
        <f>IF(I146="","",IF(I146&gt;($D$2+0.05),"+5kg",IF(I146&gt;($D$2+0.02),"+2.5kg",IF(I146&gt;=($D$2-0.05),"保持",IF(I146&gt;=($D$2-0.08),"-2.5kg","-5kg")))))</f>
        <v/>
      </c>
      <c r="Q146" s="9" t="n"/>
      <c r="R146" s="12" t="n"/>
      <c r="S146" s="12" t="n"/>
      <c r="T146" s="12" t="n"/>
    </row>
    <row r="147">
      <c r="A147" s="12" t="n">
        <v>2</v>
      </c>
      <c r="B147" s="9" t="n"/>
      <c r="C147" s="9" t="n"/>
      <c r="D147" s="9" t="n"/>
      <c r="E147" s="9" t="n"/>
      <c r="F147" s="9" t="n"/>
      <c r="G147" s="9" t="n"/>
      <c r="H147" s="9" t="n"/>
      <c r="I147" s="10">
        <f>IFERROR(INDEX(C147:H147,MATCH(TRUE,INDEX(C147:H147&lt;&gt;"",0),0)),"")</f>
        <v/>
      </c>
      <c r="J147" s="10">
        <f>IFERROR(MIN(IF(C147:H147&lt;&gt;"",C147:H147)),"")</f>
        <v/>
      </c>
      <c r="K147" s="10">
        <f>IFERROR(MATCH(I147,C147:H147,0),"")</f>
        <v/>
      </c>
      <c r="L147" s="10">
        <f>IF(OR(I147="",J147=""),"",ROUND((I147-J147)/I147*100,1))</f>
        <v/>
      </c>
      <c r="M147" s="10">
        <f>IF(L147="","",IF(L147&gt;=10,"是","否"))</f>
        <v/>
      </c>
      <c r="N147" s="10">
        <f>IF(J147="","",IF(J147&lt;0.15,"是","否"))</f>
        <v/>
      </c>
      <c r="O147" s="10">
        <f>IF(I147="","",IF(J147&lt;0.15,"SAFETY_STOP",IF(L147&gt;=10,"VL_THRESHOLD","PLANNED_END")))</f>
        <v/>
      </c>
      <c r="P147" s="10">
        <f>IF(I147="","",IF(I147&gt;($D$2+0.05),"+5kg",IF(I147&gt;($D$2+0.02),"+2.5kg",IF(I147&gt;=($D$2-0.05),"保持",IF(I147&gt;=($D$2-0.08),"-2.5kg","-5kg")))))</f>
        <v/>
      </c>
      <c r="Q147" s="9" t="n"/>
      <c r="R147" s="12" t="n"/>
      <c r="S147" s="12" t="n"/>
      <c r="T147" s="12" t="n"/>
    </row>
    <row r="148">
      <c r="A148" s="12" t="n">
        <v>3</v>
      </c>
      <c r="B148" s="9" t="n"/>
      <c r="C148" s="9" t="n"/>
      <c r="D148" s="9" t="n"/>
      <c r="E148" s="9" t="n"/>
      <c r="F148" s="9" t="n"/>
      <c r="G148" s="9" t="n"/>
      <c r="H148" s="9" t="n"/>
      <c r="I148" s="10">
        <f>IFERROR(INDEX(C148:H148,MATCH(TRUE,INDEX(C148:H148&lt;&gt;"",0),0)),"")</f>
        <v/>
      </c>
      <c r="J148" s="10">
        <f>IFERROR(MIN(IF(C148:H148&lt;&gt;"",C148:H148)),"")</f>
        <v/>
      </c>
      <c r="K148" s="10">
        <f>IFERROR(MATCH(I148,C148:H148,0),"")</f>
        <v/>
      </c>
      <c r="L148" s="10">
        <f>IF(OR(I148="",J148=""),"",ROUND((I148-J148)/I148*100,1))</f>
        <v/>
      </c>
      <c r="M148" s="10">
        <f>IF(L148="","",IF(L148&gt;=10,"是","否"))</f>
        <v/>
      </c>
      <c r="N148" s="10">
        <f>IF(J148="","",IF(J148&lt;0.15,"是","否"))</f>
        <v/>
      </c>
      <c r="O148" s="10">
        <f>IF(I148="","",IF(J148&lt;0.15,"SAFETY_STOP",IF(L148&gt;=10,"VL_THRESHOLD","PLANNED_END")))</f>
        <v/>
      </c>
      <c r="P148" s="10">
        <f>IF(I148="","",IF(I148&gt;($D$2+0.05),"+5kg",IF(I148&gt;($D$2+0.02),"+2.5kg",IF(I148&gt;=($D$2-0.05),"保持",IF(I148&gt;=($D$2-0.08),"-2.5kg","-5kg")))))</f>
        <v/>
      </c>
      <c r="Q148" s="9" t="n"/>
      <c r="R148" s="12" t="n"/>
      <c r="S148" s="12" t="n"/>
      <c r="T148" s="12" t="n"/>
    </row>
    <row r="149">
      <c r="A149" s="12" t="n">
        <v>4</v>
      </c>
      <c r="B149" s="9" t="n"/>
      <c r="C149" s="9" t="n"/>
      <c r="D149" s="9" t="n"/>
      <c r="E149" s="9" t="n"/>
      <c r="F149" s="9" t="n"/>
      <c r="G149" s="9" t="n"/>
      <c r="H149" s="9" t="n"/>
      <c r="I149" s="10">
        <f>IFERROR(INDEX(C149:H149,MATCH(TRUE,INDEX(C149:H149&lt;&gt;"",0),0)),"")</f>
        <v/>
      </c>
      <c r="J149" s="10">
        <f>IFERROR(MIN(IF(C149:H149&lt;&gt;"",C149:H149)),"")</f>
        <v/>
      </c>
      <c r="K149" s="10">
        <f>IFERROR(MATCH(I149,C149:H149,0),"")</f>
        <v/>
      </c>
      <c r="L149" s="10">
        <f>IF(OR(I149="",J149=""),"",ROUND((I149-J149)/I149*100,1))</f>
        <v/>
      </c>
      <c r="M149" s="10">
        <f>IF(L149="","",IF(L149&gt;=10,"是","否"))</f>
        <v/>
      </c>
      <c r="N149" s="10">
        <f>IF(J149="","",IF(J149&lt;0.15,"是","否"))</f>
        <v/>
      </c>
      <c r="O149" s="10">
        <f>IF(I149="","",IF(J149&lt;0.15,"SAFETY_STOP",IF(L149&gt;=10,"VL_THRESHOLD","PLANNED_END")))</f>
        <v/>
      </c>
      <c r="P149" s="10">
        <f>IF(I149="","",IF(I149&gt;($D$2+0.05),"+5kg",IF(I149&gt;($D$2+0.02),"+2.5kg",IF(I149&gt;=($D$2-0.05),"保持",IF(I149&gt;=($D$2-0.08),"-2.5kg","-5kg")))))</f>
        <v/>
      </c>
      <c r="Q149" s="9" t="n"/>
      <c r="R149" s="12" t="n"/>
      <c r="S149" s="12" t="n"/>
      <c r="T149" s="12" t="n"/>
    </row>
    <row r="150">
      <c r="A150" s="12" t="n">
        <v>5</v>
      </c>
      <c r="B150" s="9" t="n"/>
      <c r="C150" s="9" t="n"/>
      <c r="D150" s="9" t="n"/>
      <c r="E150" s="9" t="n"/>
      <c r="F150" s="9" t="n"/>
      <c r="G150" s="9" t="n"/>
      <c r="H150" s="9" t="n"/>
      <c r="I150" s="10">
        <f>IFERROR(INDEX(C150:H150,MATCH(TRUE,INDEX(C150:H150&lt;&gt;"",0),0)),"")</f>
        <v/>
      </c>
      <c r="J150" s="10">
        <f>IFERROR(MIN(IF(C150:H150&lt;&gt;"",C150:H150)),"")</f>
        <v/>
      </c>
      <c r="K150" s="10">
        <f>IFERROR(MATCH(I150,C150:H150,0),"")</f>
        <v/>
      </c>
      <c r="L150" s="10">
        <f>IF(OR(I150="",J150=""),"",ROUND((I150-J150)/I150*100,1))</f>
        <v/>
      </c>
      <c r="M150" s="10">
        <f>IF(L150="","",IF(L150&gt;=10,"是","否"))</f>
        <v/>
      </c>
      <c r="N150" s="10">
        <f>IF(J150="","",IF(J150&lt;0.15,"是","否"))</f>
        <v/>
      </c>
      <c r="O150" s="10">
        <f>IF(I150="","",IF(J150&lt;0.15,"SAFETY_STOP",IF(L150&gt;=10,"VL_THRESHOLD","PLANNED_END")))</f>
        <v/>
      </c>
      <c r="P150" s="10">
        <f>IF(I150="","",IF(I150&gt;($D$2+0.05),"+5kg",IF(I150&gt;($D$2+0.02),"+2.5kg",IF(I150&gt;=($D$2-0.05),"保持",IF(I150&gt;=($D$2-0.08),"-2.5kg","-5kg")))))</f>
        <v/>
      </c>
      <c r="Q150" s="9" t="n"/>
      <c r="R150" s="12" t="n"/>
      <c r="S150" s="12" t="n"/>
      <c r="T150" s="12" t="n"/>
    </row>
    <row r="151">
      <c r="A151" s="12" t="n">
        <v>6</v>
      </c>
      <c r="B151" s="9" t="n"/>
      <c r="C151" s="9" t="n"/>
      <c r="D151" s="9" t="n"/>
      <c r="E151" s="9" t="n"/>
      <c r="F151" s="9" t="n"/>
      <c r="G151" s="9" t="n"/>
      <c r="H151" s="9" t="n"/>
      <c r="I151" s="10">
        <f>IFERROR(INDEX(C151:H151,MATCH(TRUE,INDEX(C151:H151&lt;&gt;"",0),0)),"")</f>
        <v/>
      </c>
      <c r="J151" s="10">
        <f>IFERROR(MIN(IF(C151:H151&lt;&gt;"",C151:H151)),"")</f>
        <v/>
      </c>
      <c r="K151" s="10">
        <f>IFERROR(MATCH(I151,C151:H151,0),"")</f>
        <v/>
      </c>
      <c r="L151" s="10">
        <f>IF(OR(I151="",J151=""),"",ROUND((I151-J151)/I151*100,1))</f>
        <v/>
      </c>
      <c r="M151" s="10">
        <f>IF(L151="","",IF(L151&gt;=10,"是","否"))</f>
        <v/>
      </c>
      <c r="N151" s="10">
        <f>IF(J151="","",IF(J151&lt;0.15,"是","否"))</f>
        <v/>
      </c>
      <c r="O151" s="10">
        <f>IF(I151="","",IF(J151&lt;0.15,"SAFETY_STOP",IF(L151&gt;=10,"VL_THRESHOLD","PLANNED_END")))</f>
        <v/>
      </c>
      <c r="P151" s="10">
        <f>IF(I151="","",IF(I151&gt;($D$2+0.05),"+5kg",IF(I151&gt;($D$2+0.02),"+2.5kg",IF(I151&gt;=($D$2-0.05),"保持",IF(I151&gt;=($D$2-0.08),"-2.5kg","-5kg")))))</f>
        <v/>
      </c>
      <c r="Q151" s="9" t="n"/>
      <c r="R151" s="12" t="n"/>
      <c r="S151" s="12" t="n"/>
      <c r="T151" s="12" t="n"/>
    </row>
    <row r="152">
      <c r="A152" s="8" t="inlineStr">
        <is>
          <t>辅助动作</t>
        </is>
      </c>
      <c r="B152" s="8" t="inlineStr">
        <is>
          <t>动作名称</t>
        </is>
      </c>
      <c r="C152" s="8" t="inlineStr">
        <is>
          <t>负荷kg</t>
        </is>
      </c>
      <c r="D152" s="8" t="inlineStr">
        <is>
          <t>完成(组×次)</t>
        </is>
      </c>
    </row>
    <row r="153">
      <c r="A153" s="9" t="inlineStr"/>
      <c r="B153" s="9" t="n"/>
      <c r="C153" s="9" t="n"/>
      <c r="D153" s="9" t="n"/>
    </row>
    <row r="154">
      <c r="A154" s="8" t="inlineStr">
        <is>
          <t>训练后</t>
        </is>
      </c>
      <c r="B154" s="8" t="inlineStr">
        <is>
          <t>开始时间</t>
        </is>
      </c>
      <c r="C154" s="8" t="inlineStr">
        <is>
          <t>结束时间</t>
        </is>
      </c>
      <c r="D154" s="8" t="inlineStr">
        <is>
          <t>总时长min</t>
        </is>
      </c>
      <c r="E154" s="8" t="inlineStr">
        <is>
          <t>sRPE</t>
        </is>
      </c>
      <c r="F154" s="8" t="inlineStr">
        <is>
          <t>session_load</t>
        </is>
      </c>
      <c r="G154" s="8" t="inlineStr">
        <is>
          <t>有无不适</t>
        </is>
      </c>
      <c r="H154" s="8" t="inlineStr">
        <is>
          <t>备注</t>
        </is>
      </c>
      <c r="I154" s="8" t="inlineStr">
        <is>
          <t>研究员签名</t>
        </is>
      </c>
    </row>
    <row r="155">
      <c r="A155" s="13" t="inlineStr"/>
      <c r="B155" s="13" t="n"/>
      <c r="C155" s="13" t="n"/>
      <c r="D155" s="10">
        <f>IF(OR(B155="",C155=""),"",(C155-B155)*1440)</f>
        <v/>
      </c>
      <c r="E155" s="13" t="n"/>
      <c r="F155" s="10">
        <f>IF(OR(D155="",E155=""),"",D155*E155)</f>
        <v/>
      </c>
      <c r="G155" s="13" t="n"/>
      <c r="H155" s="13" t="n"/>
      <c r="I155" s="13" t="n"/>
    </row>
    <row r="157">
      <c r="A157" s="5" t="inlineStr">
        <is>
          <t>── P026 古翔宇 ──────────────────────────────────────────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7" t="n"/>
    </row>
    <row r="158">
      <c r="A158" s="8" t="inlineStr">
        <is>
          <t>编号</t>
        </is>
      </c>
      <c r="B158" s="8" t="inlineStr">
        <is>
          <t>姓名</t>
        </is>
      </c>
      <c r="C158" s="8" t="inlineStr">
        <is>
          <t>身高</t>
        </is>
      </c>
      <c r="D158" s="8" t="inlineStr">
        <is>
          <t>1RM</t>
        </is>
      </c>
      <c r="E158" s="8" t="inlineStr">
        <is>
          <t>睡眠</t>
        </is>
      </c>
      <c r="F158" s="8" t="inlineStr">
        <is>
          <t>压力</t>
        </is>
      </c>
      <c r="G158" s="8" t="inlineStr">
        <is>
          <t>疲劳</t>
        </is>
      </c>
      <c r="H158" s="8" t="inlineStr">
        <is>
          <t>酸痛</t>
        </is>
      </c>
      <c r="I158" s="8" t="inlineStr">
        <is>
          <t>Hooper总</t>
        </is>
      </c>
      <c r="J158" s="8" t="inlineStr">
        <is>
          <t>CMJ1</t>
        </is>
      </c>
      <c r="K158" s="8" t="inlineStr">
        <is>
          <t>CMJ2</t>
        </is>
      </c>
      <c r="L158" s="8" t="inlineStr">
        <is>
          <t>CMJ3</t>
        </is>
      </c>
      <c r="M158" s="8" t="inlineStr">
        <is>
          <t>CMJ均值</t>
        </is>
      </c>
      <c r="N158" s="8" t="inlineStr">
        <is>
          <t>&lt;95%?</t>
        </is>
      </c>
      <c r="O158" s="8" t="inlineStr">
        <is>
          <t>减组?</t>
        </is>
      </c>
      <c r="P158" s="8" t="inlineStr">
        <is>
          <t>实做组数</t>
        </is>
      </c>
      <c r="Q158" s="8" t="inlineStr">
        <is>
          <t>LVP_a</t>
        </is>
      </c>
      <c r="R158" s="8" t="inlineStr">
        <is>
          <t>LVP_b</t>
        </is>
      </c>
      <c r="S158" s="8" t="inlineStr">
        <is>
          <t>等级</t>
        </is>
      </c>
      <c r="T158" s="8" t="inlineStr">
        <is>
          <t>预测起始</t>
        </is>
      </c>
    </row>
    <row r="159">
      <c r="A159" s="9" t="inlineStr">
        <is>
          <t>P026</t>
        </is>
      </c>
      <c r="B159" s="9" t="inlineStr">
        <is>
          <t>古翔宇</t>
        </is>
      </c>
      <c r="C159" s="9" t="n">
        <v>180</v>
      </c>
      <c r="D159" s="9" t="n">
        <v>135</v>
      </c>
      <c r="E159" s="9" t="n"/>
      <c r="F159" s="9" t="n"/>
      <c r="G159" s="9" t="n"/>
      <c r="H159" s="9" t="n"/>
      <c r="I159" s="10">
        <f>IFERROR(SUM(E159:H159),"")</f>
        <v/>
      </c>
      <c r="J159" s="9" t="n"/>
      <c r="K159" s="9" t="n"/>
      <c r="L159" s="9" t="n"/>
      <c r="M159" s="10">
        <f>IFERROR(AVERAGE(J159:L159),"")</f>
        <v/>
      </c>
      <c r="N159" s="10">
        <f>IF(M159="","",IF(M159&lt;45.51,"是⚠","否"))</f>
        <v/>
      </c>
      <c r="O159" s="10">
        <f>IF(M159="","",IF(M159&lt;45.51,"减1组","正常"))</f>
        <v/>
      </c>
      <c r="P159" s="10">
        <f>IF(M159="","",IF(M159&lt;45.51,4-1,4))</f>
        <v/>
      </c>
      <c r="Q159" s="9" t="n">
        <v>1.64</v>
      </c>
      <c r="R159" s="9" t="n">
        <v>-0.00975</v>
      </c>
      <c r="S159" s="9" t="inlineStr">
        <is>
          <t>A</t>
        </is>
      </c>
      <c r="T159" s="10">
        <f>IFERROR(ROUND((0.8-1.64)/-0.00975,0.5),"")</f>
        <v/>
      </c>
    </row>
    <row r="160">
      <c r="A160" s="8" t="inlineStr">
        <is>
          <t>热身校准</t>
        </is>
      </c>
      <c r="B160" s="8" t="inlineStr">
        <is>
          <t>LVP_a</t>
        </is>
      </c>
      <c r="C160" s="8" t="inlineStr">
        <is>
          <t>LVP_b</t>
        </is>
      </c>
      <c r="D160" s="8" t="inlineStr">
        <is>
          <t>50%热身kg</t>
        </is>
      </c>
      <c r="E160" s="8" t="inlineStr">
        <is>
          <t>70%热身kg</t>
        </is>
      </c>
      <c r="F160" s="8" t="inlineStr">
        <is>
          <t>热身负荷kg</t>
        </is>
      </c>
      <c r="G160" s="8" t="inlineStr">
        <is>
          <t>实测MCV</t>
        </is>
      </c>
      <c r="H160" s="8" t="inlineStr">
        <is>
          <t>预测MCV</t>
        </is>
      </c>
      <c r="I160" s="8" t="inlineStr">
        <is>
          <t>Δv</t>
        </is>
      </c>
      <c r="J160" s="8" t="inlineStr">
        <is>
          <t>调整量kg</t>
        </is>
      </c>
      <c r="K160" s="8" t="inlineStr">
        <is>
          <t>校准后第1组kg</t>
        </is>
      </c>
    </row>
    <row r="161">
      <c r="A161" s="11" t="inlineStr"/>
      <c r="B161" s="11" t="n">
        <v>1.64</v>
      </c>
      <c r="C161" s="11" t="n">
        <v>-0.00975</v>
      </c>
      <c r="D161" s="10">
        <f>IFERROR(ROUND(T159*0.5,2.5),"")</f>
        <v/>
      </c>
      <c r="E161" s="10">
        <f>IFERROR(ROUND(T159*0.7,2.5),"")</f>
        <v/>
      </c>
      <c r="F161" s="10">
        <f>D161</f>
        <v/>
      </c>
      <c r="G161" s="9" t="n"/>
      <c r="H161" s="10">
        <f>IF(F161="","",B161+C161*F161)</f>
        <v/>
      </c>
      <c r="I161" s="10">
        <f>IF(OR(G161="",H161=""),"",G161-H161)</f>
        <v/>
      </c>
      <c r="J161" s="10">
        <f>IF(I161="","",IF(I161&gt;0.08,5,IF(I161&gt;0.04,2.5,IF(I161&gt;=-0.04,0,IF(I161&gt;=-0.08,-2.5,-5)))))</f>
        <v/>
      </c>
      <c r="K161" s="10">
        <f>IFERROR(ROUND(T159+J161,2.5),"")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8" t="inlineStr">
        <is>
          <t>组次</t>
        </is>
      </c>
      <c r="B162" s="8" t="inlineStr">
        <is>
          <t>负荷kg</t>
        </is>
      </c>
      <c r="C162" s="8" t="inlineStr">
        <is>
          <t>rep1</t>
        </is>
      </c>
      <c r="D162" s="8" t="inlineStr">
        <is>
          <t>rep2</t>
        </is>
      </c>
      <c r="E162" s="8" t="inlineStr">
        <is>
          <t>rep3</t>
        </is>
      </c>
      <c r="F162" s="8" t="inlineStr">
        <is>
          <t>rep4</t>
        </is>
      </c>
      <c r="G162" s="8" t="inlineStr">
        <is>
          <t>rep5</t>
        </is>
      </c>
      <c r="H162" s="8" t="inlineStr">
        <is>
          <t>rep6</t>
        </is>
      </c>
      <c r="I162" s="8" t="inlineStr">
        <is>
          <t>首rep</t>
        </is>
      </c>
      <c r="J162" s="8" t="inlineStr">
        <is>
          <t>最低速</t>
        </is>
      </c>
      <c r="K162" s="8" t="inlineStr">
        <is>
          <t>最低rep#</t>
        </is>
      </c>
      <c r="L162" s="8" t="inlineStr">
        <is>
          <t>VL%</t>
        </is>
      </c>
      <c r="M162" s="8" t="inlineStr">
        <is>
          <t>VL达标?</t>
        </is>
      </c>
      <c r="N162" s="8" t="inlineStr">
        <is>
          <t>安全停止?</t>
        </is>
      </c>
      <c r="O162" s="8" t="inlineStr">
        <is>
          <t>停组原因</t>
        </is>
      </c>
      <c r="P162" s="8" t="inlineStr">
        <is>
          <t>下组建议</t>
        </is>
      </c>
      <c r="Q162" s="8" t="inlineStr">
        <is>
          <t>实做次数</t>
        </is>
      </c>
    </row>
    <row r="163">
      <c r="A163" s="12" t="n">
        <v>1</v>
      </c>
      <c r="B163" s="10">
        <f>IF(K161="","",K161)</f>
        <v/>
      </c>
      <c r="C163" s="9" t="n"/>
      <c r="D163" s="9" t="n"/>
      <c r="E163" s="9" t="n"/>
      <c r="F163" s="9" t="n"/>
      <c r="G163" s="9" t="n"/>
      <c r="H163" s="9" t="n"/>
      <c r="I163" s="10">
        <f>IFERROR(INDEX(C163:H163,MATCH(TRUE,INDEX(C163:H163&lt;&gt;"",0),0)),"")</f>
        <v/>
      </c>
      <c r="J163" s="10">
        <f>IFERROR(MIN(IF(C163:H163&lt;&gt;"",C163:H163)),"")</f>
        <v/>
      </c>
      <c r="K163" s="10">
        <f>IFERROR(MATCH(I163,C163:H163,0),"")</f>
        <v/>
      </c>
      <c r="L163" s="10">
        <f>IF(OR(I163="",J163=""),"",ROUND((I163-J163)/I163*100,1))</f>
        <v/>
      </c>
      <c r="M163" s="10">
        <f>IF(L163="","",IF(L163&gt;=10,"是","否"))</f>
        <v/>
      </c>
      <c r="N163" s="10">
        <f>IF(J163="","",IF(J163&lt;0.15,"是","否"))</f>
        <v/>
      </c>
      <c r="O163" s="10">
        <f>IF(I163="","",IF(J163&lt;0.15,"SAFETY_STOP",IF(L163&gt;=10,"VL_THRESHOLD","PLANNED_END")))</f>
        <v/>
      </c>
      <c r="P163" s="10">
        <f>IF(I163="","",IF(I163&gt;($D$2+0.05),"+5kg",IF(I163&gt;($D$2+0.02),"+2.5kg",IF(I163&gt;=($D$2-0.05),"保持",IF(I163&gt;=($D$2-0.08),"-2.5kg","-5kg")))))</f>
        <v/>
      </c>
      <c r="Q163" s="9" t="n"/>
      <c r="R163" s="12" t="n"/>
      <c r="S163" s="12" t="n"/>
      <c r="T163" s="12" t="n"/>
    </row>
    <row r="164">
      <c r="A164" s="12" t="n">
        <v>2</v>
      </c>
      <c r="B164" s="9" t="n"/>
      <c r="C164" s="9" t="n"/>
      <c r="D164" s="9" t="n"/>
      <c r="E164" s="9" t="n"/>
      <c r="F164" s="9" t="n"/>
      <c r="G164" s="9" t="n"/>
      <c r="H164" s="9" t="n"/>
      <c r="I164" s="10">
        <f>IFERROR(INDEX(C164:H164,MATCH(TRUE,INDEX(C164:H164&lt;&gt;"",0),0)),"")</f>
        <v/>
      </c>
      <c r="J164" s="10">
        <f>IFERROR(MIN(IF(C164:H164&lt;&gt;"",C164:H164)),"")</f>
        <v/>
      </c>
      <c r="K164" s="10">
        <f>IFERROR(MATCH(I164,C164:H164,0),"")</f>
        <v/>
      </c>
      <c r="L164" s="10">
        <f>IF(OR(I164="",J164=""),"",ROUND((I164-J164)/I164*100,1))</f>
        <v/>
      </c>
      <c r="M164" s="10">
        <f>IF(L164="","",IF(L164&gt;=10,"是","否"))</f>
        <v/>
      </c>
      <c r="N164" s="10">
        <f>IF(J164="","",IF(J164&lt;0.15,"是","否"))</f>
        <v/>
      </c>
      <c r="O164" s="10">
        <f>IF(I164="","",IF(J164&lt;0.15,"SAFETY_STOP",IF(L164&gt;=10,"VL_THRESHOLD","PLANNED_END")))</f>
        <v/>
      </c>
      <c r="P164" s="10">
        <f>IF(I164="","",IF(I164&gt;($D$2+0.05),"+5kg",IF(I164&gt;($D$2+0.02),"+2.5kg",IF(I164&gt;=($D$2-0.05),"保持",IF(I164&gt;=($D$2-0.08),"-2.5kg","-5kg")))))</f>
        <v/>
      </c>
      <c r="Q164" s="9" t="n"/>
      <c r="R164" s="12" t="n"/>
      <c r="S164" s="12" t="n"/>
      <c r="T164" s="12" t="n"/>
    </row>
    <row r="165">
      <c r="A165" s="12" t="n">
        <v>3</v>
      </c>
      <c r="B165" s="9" t="n"/>
      <c r="C165" s="9" t="n"/>
      <c r="D165" s="9" t="n"/>
      <c r="E165" s="9" t="n"/>
      <c r="F165" s="9" t="n"/>
      <c r="G165" s="9" t="n"/>
      <c r="H165" s="9" t="n"/>
      <c r="I165" s="10">
        <f>IFERROR(INDEX(C165:H165,MATCH(TRUE,INDEX(C165:H165&lt;&gt;"",0),0)),"")</f>
        <v/>
      </c>
      <c r="J165" s="10">
        <f>IFERROR(MIN(IF(C165:H165&lt;&gt;"",C165:H165)),"")</f>
        <v/>
      </c>
      <c r="K165" s="10">
        <f>IFERROR(MATCH(I165,C165:H165,0),"")</f>
        <v/>
      </c>
      <c r="L165" s="10">
        <f>IF(OR(I165="",J165=""),"",ROUND((I165-J165)/I165*100,1))</f>
        <v/>
      </c>
      <c r="M165" s="10">
        <f>IF(L165="","",IF(L165&gt;=10,"是","否"))</f>
        <v/>
      </c>
      <c r="N165" s="10">
        <f>IF(J165="","",IF(J165&lt;0.15,"是","否"))</f>
        <v/>
      </c>
      <c r="O165" s="10">
        <f>IF(I165="","",IF(J165&lt;0.15,"SAFETY_STOP",IF(L165&gt;=10,"VL_THRESHOLD","PLANNED_END")))</f>
        <v/>
      </c>
      <c r="P165" s="10">
        <f>IF(I165="","",IF(I165&gt;($D$2+0.05),"+5kg",IF(I165&gt;($D$2+0.02),"+2.5kg",IF(I165&gt;=($D$2-0.05),"保持",IF(I165&gt;=($D$2-0.08),"-2.5kg","-5kg")))))</f>
        <v/>
      </c>
      <c r="Q165" s="9" t="n"/>
      <c r="R165" s="12" t="n"/>
      <c r="S165" s="12" t="n"/>
      <c r="T165" s="12" t="n"/>
    </row>
    <row r="166">
      <c r="A166" s="12" t="n">
        <v>4</v>
      </c>
      <c r="B166" s="9" t="n"/>
      <c r="C166" s="9" t="n"/>
      <c r="D166" s="9" t="n"/>
      <c r="E166" s="9" t="n"/>
      <c r="F166" s="9" t="n"/>
      <c r="G166" s="9" t="n"/>
      <c r="H166" s="9" t="n"/>
      <c r="I166" s="10">
        <f>IFERROR(INDEX(C166:H166,MATCH(TRUE,INDEX(C166:H166&lt;&gt;"",0),0)),"")</f>
        <v/>
      </c>
      <c r="J166" s="10">
        <f>IFERROR(MIN(IF(C166:H166&lt;&gt;"",C166:H166)),"")</f>
        <v/>
      </c>
      <c r="K166" s="10">
        <f>IFERROR(MATCH(I166,C166:H166,0),"")</f>
        <v/>
      </c>
      <c r="L166" s="10">
        <f>IF(OR(I166="",J166=""),"",ROUND((I166-J166)/I166*100,1))</f>
        <v/>
      </c>
      <c r="M166" s="10">
        <f>IF(L166="","",IF(L166&gt;=10,"是","否"))</f>
        <v/>
      </c>
      <c r="N166" s="10">
        <f>IF(J166="","",IF(J166&lt;0.15,"是","否"))</f>
        <v/>
      </c>
      <c r="O166" s="10">
        <f>IF(I166="","",IF(J166&lt;0.15,"SAFETY_STOP",IF(L166&gt;=10,"VL_THRESHOLD","PLANNED_END")))</f>
        <v/>
      </c>
      <c r="P166" s="10">
        <f>IF(I166="","",IF(I166&gt;($D$2+0.05),"+5kg",IF(I166&gt;($D$2+0.02),"+2.5kg",IF(I166&gt;=($D$2-0.05),"保持",IF(I166&gt;=($D$2-0.08),"-2.5kg","-5kg")))))</f>
        <v/>
      </c>
      <c r="Q166" s="9" t="n"/>
      <c r="R166" s="12" t="n"/>
      <c r="S166" s="12" t="n"/>
      <c r="T166" s="12" t="n"/>
    </row>
    <row r="167">
      <c r="A167" s="12" t="n">
        <v>5</v>
      </c>
      <c r="B167" s="9" t="n"/>
      <c r="C167" s="9" t="n"/>
      <c r="D167" s="9" t="n"/>
      <c r="E167" s="9" t="n"/>
      <c r="F167" s="9" t="n"/>
      <c r="G167" s="9" t="n"/>
      <c r="H167" s="9" t="n"/>
      <c r="I167" s="10">
        <f>IFERROR(INDEX(C167:H167,MATCH(TRUE,INDEX(C167:H167&lt;&gt;"",0),0)),"")</f>
        <v/>
      </c>
      <c r="J167" s="10">
        <f>IFERROR(MIN(IF(C167:H167&lt;&gt;"",C167:H167)),"")</f>
        <v/>
      </c>
      <c r="K167" s="10">
        <f>IFERROR(MATCH(I167,C167:H167,0),"")</f>
        <v/>
      </c>
      <c r="L167" s="10">
        <f>IF(OR(I167="",J167=""),"",ROUND((I167-J167)/I167*100,1))</f>
        <v/>
      </c>
      <c r="M167" s="10">
        <f>IF(L167="","",IF(L167&gt;=10,"是","否"))</f>
        <v/>
      </c>
      <c r="N167" s="10">
        <f>IF(J167="","",IF(J167&lt;0.15,"是","否"))</f>
        <v/>
      </c>
      <c r="O167" s="10">
        <f>IF(I167="","",IF(J167&lt;0.15,"SAFETY_STOP",IF(L167&gt;=10,"VL_THRESHOLD","PLANNED_END")))</f>
        <v/>
      </c>
      <c r="P167" s="10">
        <f>IF(I167="","",IF(I167&gt;($D$2+0.05),"+5kg",IF(I167&gt;($D$2+0.02),"+2.5kg",IF(I167&gt;=($D$2-0.05),"保持",IF(I167&gt;=($D$2-0.08),"-2.5kg","-5kg")))))</f>
        <v/>
      </c>
      <c r="Q167" s="9" t="n"/>
      <c r="R167" s="12" t="n"/>
      <c r="S167" s="12" t="n"/>
      <c r="T167" s="12" t="n"/>
    </row>
    <row r="168">
      <c r="A168" s="12" t="n">
        <v>6</v>
      </c>
      <c r="B168" s="9" t="n"/>
      <c r="C168" s="9" t="n"/>
      <c r="D168" s="9" t="n"/>
      <c r="E168" s="9" t="n"/>
      <c r="F168" s="9" t="n"/>
      <c r="G168" s="9" t="n"/>
      <c r="H168" s="9" t="n"/>
      <c r="I168" s="10">
        <f>IFERROR(INDEX(C168:H168,MATCH(TRUE,INDEX(C168:H168&lt;&gt;"",0),0)),"")</f>
        <v/>
      </c>
      <c r="J168" s="10">
        <f>IFERROR(MIN(IF(C168:H168&lt;&gt;"",C168:H168)),"")</f>
        <v/>
      </c>
      <c r="K168" s="10">
        <f>IFERROR(MATCH(I168,C168:H168,0),"")</f>
        <v/>
      </c>
      <c r="L168" s="10">
        <f>IF(OR(I168="",J168=""),"",ROUND((I168-J168)/I168*100,1))</f>
        <v/>
      </c>
      <c r="M168" s="10">
        <f>IF(L168="","",IF(L168&gt;=10,"是","否"))</f>
        <v/>
      </c>
      <c r="N168" s="10">
        <f>IF(J168="","",IF(J168&lt;0.15,"是","否"))</f>
        <v/>
      </c>
      <c r="O168" s="10">
        <f>IF(I168="","",IF(J168&lt;0.15,"SAFETY_STOP",IF(L168&gt;=10,"VL_THRESHOLD","PLANNED_END")))</f>
        <v/>
      </c>
      <c r="P168" s="10">
        <f>IF(I168="","",IF(I168&gt;($D$2+0.05),"+5kg",IF(I168&gt;($D$2+0.02),"+2.5kg",IF(I168&gt;=($D$2-0.05),"保持",IF(I168&gt;=($D$2-0.08),"-2.5kg","-5kg")))))</f>
        <v/>
      </c>
      <c r="Q168" s="9" t="n"/>
      <c r="R168" s="12" t="n"/>
      <c r="S168" s="12" t="n"/>
      <c r="T168" s="12" t="n"/>
    </row>
    <row r="169">
      <c r="A169" s="8" t="inlineStr">
        <is>
          <t>辅助动作</t>
        </is>
      </c>
      <c r="B169" s="8" t="inlineStr">
        <is>
          <t>动作名称</t>
        </is>
      </c>
      <c r="C169" s="8" t="inlineStr">
        <is>
          <t>负荷kg</t>
        </is>
      </c>
      <c r="D169" s="8" t="inlineStr">
        <is>
          <t>完成(组×次)</t>
        </is>
      </c>
    </row>
    <row r="170">
      <c r="A170" s="9" t="inlineStr"/>
      <c r="B170" s="9" t="n"/>
      <c r="C170" s="9" t="n"/>
      <c r="D170" s="9" t="n"/>
    </row>
    <row r="171">
      <c r="A171" s="8" t="inlineStr">
        <is>
          <t>训练后</t>
        </is>
      </c>
      <c r="B171" s="8" t="inlineStr">
        <is>
          <t>开始时间</t>
        </is>
      </c>
      <c r="C171" s="8" t="inlineStr">
        <is>
          <t>结束时间</t>
        </is>
      </c>
      <c r="D171" s="8" t="inlineStr">
        <is>
          <t>总时长min</t>
        </is>
      </c>
      <c r="E171" s="8" t="inlineStr">
        <is>
          <t>sRPE</t>
        </is>
      </c>
      <c r="F171" s="8" t="inlineStr">
        <is>
          <t>session_load</t>
        </is>
      </c>
      <c r="G171" s="8" t="inlineStr">
        <is>
          <t>有无不适</t>
        </is>
      </c>
      <c r="H171" s="8" t="inlineStr">
        <is>
          <t>备注</t>
        </is>
      </c>
      <c r="I171" s="8" t="inlineStr">
        <is>
          <t>研究员签名</t>
        </is>
      </c>
    </row>
    <row r="172">
      <c r="A172" s="13" t="inlineStr"/>
      <c r="B172" s="13" t="n"/>
      <c r="C172" s="13" t="n"/>
      <c r="D172" s="10">
        <f>IF(OR(B172="",C172=""),"",(C172-B172)*1440)</f>
        <v/>
      </c>
      <c r="E172" s="13" t="n"/>
      <c r="F172" s="10">
        <f>IF(OR(D172="",E172=""),"",D172*E172)</f>
        <v/>
      </c>
      <c r="G172" s="13" t="n"/>
      <c r="H172" s="13" t="n"/>
      <c r="I172" s="13" t="n"/>
    </row>
    <row r="174">
      <c r="A174" s="5" t="inlineStr">
        <is>
          <t>── P010 张锦荣 ──────────────────────────────────────────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" t="n"/>
    </row>
    <row r="175">
      <c r="A175" s="8" t="inlineStr">
        <is>
          <t>编号</t>
        </is>
      </c>
      <c r="B175" s="8" t="inlineStr">
        <is>
          <t>姓名</t>
        </is>
      </c>
      <c r="C175" s="8" t="inlineStr">
        <is>
          <t>身高</t>
        </is>
      </c>
      <c r="D175" s="8" t="inlineStr">
        <is>
          <t>1RM</t>
        </is>
      </c>
      <c r="E175" s="8" t="inlineStr">
        <is>
          <t>睡眠</t>
        </is>
      </c>
      <c r="F175" s="8" t="inlineStr">
        <is>
          <t>压力</t>
        </is>
      </c>
      <c r="G175" s="8" t="inlineStr">
        <is>
          <t>疲劳</t>
        </is>
      </c>
      <c r="H175" s="8" t="inlineStr">
        <is>
          <t>酸痛</t>
        </is>
      </c>
      <c r="I175" s="8" t="inlineStr">
        <is>
          <t>Hooper总</t>
        </is>
      </c>
      <c r="J175" s="8" t="inlineStr">
        <is>
          <t>CMJ1</t>
        </is>
      </c>
      <c r="K175" s="8" t="inlineStr">
        <is>
          <t>CMJ2</t>
        </is>
      </c>
      <c r="L175" s="8" t="inlineStr">
        <is>
          <t>CMJ3</t>
        </is>
      </c>
      <c r="M175" s="8" t="inlineStr">
        <is>
          <t>CMJ均值</t>
        </is>
      </c>
      <c r="N175" s="8" t="inlineStr">
        <is>
          <t>&lt;95%?</t>
        </is>
      </c>
      <c r="O175" s="8" t="inlineStr">
        <is>
          <t>减组?</t>
        </is>
      </c>
      <c r="P175" s="8" t="inlineStr">
        <is>
          <t>实做组数</t>
        </is>
      </c>
      <c r="Q175" s="8" t="inlineStr">
        <is>
          <t>LVP_a</t>
        </is>
      </c>
      <c r="R175" s="8" t="inlineStr">
        <is>
          <t>LVP_b</t>
        </is>
      </c>
      <c r="S175" s="8" t="inlineStr">
        <is>
          <t>等级</t>
        </is>
      </c>
      <c r="T175" s="8" t="inlineStr">
        <is>
          <t>预测起始</t>
        </is>
      </c>
    </row>
    <row r="176">
      <c r="A176" s="9" t="inlineStr">
        <is>
          <t>P010</t>
        </is>
      </c>
      <c r="B176" s="9" t="inlineStr">
        <is>
          <t>张锦荣</t>
        </is>
      </c>
      <c r="C176" s="9" t="n">
        <v>174</v>
      </c>
      <c r="D176" s="9" t="n">
        <v>120</v>
      </c>
      <c r="E176" s="9" t="n"/>
      <c r="F176" s="9" t="n"/>
      <c r="G176" s="9" t="n"/>
      <c r="H176" s="9" t="n"/>
      <c r="I176" s="10">
        <f>IFERROR(SUM(E176:H176),"")</f>
        <v/>
      </c>
      <c r="J176" s="9" t="n"/>
      <c r="K176" s="9" t="n"/>
      <c r="L176" s="9" t="n"/>
      <c r="M176" s="10">
        <f>IFERROR(AVERAGE(J176:L176),"")</f>
        <v/>
      </c>
      <c r="N176" s="10">
        <f>IF(M176="","",IF(M176&lt;50.42,"是⚠","否"))</f>
        <v/>
      </c>
      <c r="O176" s="10">
        <f>IF(M176="","",IF(M176&lt;50.42,"减1组","正常"))</f>
        <v/>
      </c>
      <c r="P176" s="10">
        <f>IF(M176="","",IF(M176&lt;50.42,4-1,4))</f>
        <v/>
      </c>
      <c r="Q176" s="9" t="n">
        <v>1.26</v>
      </c>
      <c r="R176" s="9" t="n">
        <v>-0.006</v>
      </c>
      <c r="S176" s="9" t="inlineStr">
        <is>
          <t>B</t>
        </is>
      </c>
      <c r="T176" s="10">
        <f>IFERROR(ROUND((0.8-1.26)/-0.006,0.5),"")</f>
        <v/>
      </c>
    </row>
    <row r="177">
      <c r="A177" s="8" t="inlineStr">
        <is>
          <t>热身校准</t>
        </is>
      </c>
      <c r="B177" s="8" t="inlineStr">
        <is>
          <t>LVP_a</t>
        </is>
      </c>
      <c r="C177" s="8" t="inlineStr">
        <is>
          <t>LVP_b</t>
        </is>
      </c>
      <c r="D177" s="8" t="inlineStr">
        <is>
          <t>50%热身kg</t>
        </is>
      </c>
      <c r="E177" s="8" t="inlineStr">
        <is>
          <t>70%热身kg</t>
        </is>
      </c>
      <c r="F177" s="8" t="inlineStr">
        <is>
          <t>热身负荷kg</t>
        </is>
      </c>
      <c r="G177" s="8" t="inlineStr">
        <is>
          <t>实测MCV</t>
        </is>
      </c>
      <c r="H177" s="8" t="inlineStr">
        <is>
          <t>预测MCV</t>
        </is>
      </c>
      <c r="I177" s="8" t="inlineStr">
        <is>
          <t>Δv</t>
        </is>
      </c>
      <c r="J177" s="8" t="inlineStr">
        <is>
          <t>调整量kg</t>
        </is>
      </c>
      <c r="K177" s="8" t="inlineStr">
        <is>
          <t>校准后第1组kg</t>
        </is>
      </c>
    </row>
    <row r="178">
      <c r="A178" s="11" t="inlineStr"/>
      <c r="B178" s="11" t="n">
        <v>1.26</v>
      </c>
      <c r="C178" s="11" t="n">
        <v>-0.006</v>
      </c>
      <c r="D178" s="10">
        <f>IFERROR(ROUND(T176*0.5,2.5),"")</f>
        <v/>
      </c>
      <c r="E178" s="10">
        <f>IFERROR(ROUND(T176*0.7,2.5),"")</f>
        <v/>
      </c>
      <c r="F178" s="10">
        <f>D178</f>
        <v/>
      </c>
      <c r="G178" s="9" t="n"/>
      <c r="H178" s="10">
        <f>IF(F178="","",B178+C178*F178)</f>
        <v/>
      </c>
      <c r="I178" s="10">
        <f>IF(OR(G178="",H178=""),"",G178-H178)</f>
        <v/>
      </c>
      <c r="J178" s="10">
        <f>IF(I178="","",IF(I178&gt;0.08,5,IF(I178&gt;0.04,2.5,IF(I178&gt;=-0.04,0,IF(I178&gt;=-0.08,-2.5,-5)))))</f>
        <v/>
      </c>
      <c r="K178" s="10">
        <f>IFERROR(ROUND(T176+J178,2.5),"")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8" t="inlineStr">
        <is>
          <t>组次</t>
        </is>
      </c>
      <c r="B179" s="8" t="inlineStr">
        <is>
          <t>负荷kg</t>
        </is>
      </c>
      <c r="C179" s="8" t="inlineStr">
        <is>
          <t>rep1</t>
        </is>
      </c>
      <c r="D179" s="8" t="inlineStr">
        <is>
          <t>rep2</t>
        </is>
      </c>
      <c r="E179" s="8" t="inlineStr">
        <is>
          <t>rep3</t>
        </is>
      </c>
      <c r="F179" s="8" t="inlineStr">
        <is>
          <t>rep4</t>
        </is>
      </c>
      <c r="G179" s="8" t="inlineStr">
        <is>
          <t>rep5</t>
        </is>
      </c>
      <c r="H179" s="8" t="inlineStr">
        <is>
          <t>rep6</t>
        </is>
      </c>
      <c r="I179" s="8" t="inlineStr">
        <is>
          <t>首rep</t>
        </is>
      </c>
      <c r="J179" s="8" t="inlineStr">
        <is>
          <t>最低速</t>
        </is>
      </c>
      <c r="K179" s="8" t="inlineStr">
        <is>
          <t>最低rep#</t>
        </is>
      </c>
      <c r="L179" s="8" t="inlineStr">
        <is>
          <t>VL%</t>
        </is>
      </c>
      <c r="M179" s="8" t="inlineStr">
        <is>
          <t>VL达标?</t>
        </is>
      </c>
      <c r="N179" s="8" t="inlineStr">
        <is>
          <t>安全停止?</t>
        </is>
      </c>
      <c r="O179" s="8" t="inlineStr">
        <is>
          <t>停组原因</t>
        </is>
      </c>
      <c r="P179" s="8" t="inlineStr">
        <is>
          <t>下组建议</t>
        </is>
      </c>
      <c r="Q179" s="8" t="inlineStr">
        <is>
          <t>实做次数</t>
        </is>
      </c>
    </row>
    <row r="180">
      <c r="A180" s="12" t="n">
        <v>1</v>
      </c>
      <c r="B180" s="10">
        <f>IF(K178="","",K178)</f>
        <v/>
      </c>
      <c r="C180" s="9" t="n"/>
      <c r="D180" s="9" t="n"/>
      <c r="E180" s="9" t="n"/>
      <c r="F180" s="9" t="n"/>
      <c r="G180" s="9" t="n"/>
      <c r="H180" s="9" t="n"/>
      <c r="I180" s="10">
        <f>IFERROR(INDEX(C180:H180,MATCH(TRUE,INDEX(C180:H180&lt;&gt;"",0),0)),"")</f>
        <v/>
      </c>
      <c r="J180" s="10">
        <f>IFERROR(MIN(IF(C180:H180&lt;&gt;"",C180:H180)),"")</f>
        <v/>
      </c>
      <c r="K180" s="10">
        <f>IFERROR(MATCH(I180,C180:H180,0),"")</f>
        <v/>
      </c>
      <c r="L180" s="10">
        <f>IF(OR(I180="",J180=""),"",ROUND((I180-J180)/I180*100,1))</f>
        <v/>
      </c>
      <c r="M180" s="10">
        <f>IF(L180="","",IF(L180&gt;=10,"是","否"))</f>
        <v/>
      </c>
      <c r="N180" s="10">
        <f>IF(J180="","",IF(J180&lt;0.15,"是","否"))</f>
        <v/>
      </c>
      <c r="O180" s="10">
        <f>IF(I180="","",IF(J180&lt;0.15,"SAFETY_STOP",IF(L180&gt;=10,"VL_THRESHOLD","PLANNED_END")))</f>
        <v/>
      </c>
      <c r="P180" s="10">
        <f>IF(I180="","",IF(I180&gt;($D$2+0.05),"+5kg",IF(I180&gt;($D$2+0.02),"+2.5kg",IF(I180&gt;=($D$2-0.05),"保持",IF(I180&gt;=($D$2-0.08),"-2.5kg","-5kg")))))</f>
        <v/>
      </c>
      <c r="Q180" s="9" t="n"/>
      <c r="R180" s="12" t="n"/>
      <c r="S180" s="12" t="n"/>
      <c r="T180" s="12" t="n"/>
    </row>
    <row r="181">
      <c r="A181" s="12" t="n">
        <v>2</v>
      </c>
      <c r="B181" s="9" t="n"/>
      <c r="C181" s="9" t="n"/>
      <c r="D181" s="9" t="n"/>
      <c r="E181" s="9" t="n"/>
      <c r="F181" s="9" t="n"/>
      <c r="G181" s="9" t="n"/>
      <c r="H181" s="9" t="n"/>
      <c r="I181" s="10">
        <f>IFERROR(INDEX(C181:H181,MATCH(TRUE,INDEX(C181:H181&lt;&gt;"",0),0)),"")</f>
        <v/>
      </c>
      <c r="J181" s="10">
        <f>IFERROR(MIN(IF(C181:H181&lt;&gt;"",C181:H181)),"")</f>
        <v/>
      </c>
      <c r="K181" s="10">
        <f>IFERROR(MATCH(I181,C181:H181,0),"")</f>
        <v/>
      </c>
      <c r="L181" s="10">
        <f>IF(OR(I181="",J181=""),"",ROUND((I181-J181)/I181*100,1))</f>
        <v/>
      </c>
      <c r="M181" s="10">
        <f>IF(L181="","",IF(L181&gt;=10,"是","否"))</f>
        <v/>
      </c>
      <c r="N181" s="10">
        <f>IF(J181="","",IF(J181&lt;0.15,"是","否"))</f>
        <v/>
      </c>
      <c r="O181" s="10">
        <f>IF(I181="","",IF(J181&lt;0.15,"SAFETY_STOP",IF(L181&gt;=10,"VL_THRESHOLD","PLANNED_END")))</f>
        <v/>
      </c>
      <c r="P181" s="10">
        <f>IF(I181="","",IF(I181&gt;($D$2+0.05),"+5kg",IF(I181&gt;($D$2+0.02),"+2.5kg",IF(I181&gt;=($D$2-0.05),"保持",IF(I181&gt;=($D$2-0.08),"-2.5kg","-5kg")))))</f>
        <v/>
      </c>
      <c r="Q181" s="9" t="n"/>
      <c r="R181" s="12" t="n"/>
      <c r="S181" s="12" t="n"/>
      <c r="T181" s="12" t="n"/>
    </row>
    <row r="182">
      <c r="A182" s="12" t="n">
        <v>3</v>
      </c>
      <c r="B182" s="9" t="n"/>
      <c r="C182" s="9" t="n"/>
      <c r="D182" s="9" t="n"/>
      <c r="E182" s="9" t="n"/>
      <c r="F182" s="9" t="n"/>
      <c r="G182" s="9" t="n"/>
      <c r="H182" s="9" t="n"/>
      <c r="I182" s="10">
        <f>IFERROR(INDEX(C182:H182,MATCH(TRUE,INDEX(C182:H182&lt;&gt;"",0),0)),"")</f>
        <v/>
      </c>
      <c r="J182" s="10">
        <f>IFERROR(MIN(IF(C182:H182&lt;&gt;"",C182:H182)),"")</f>
        <v/>
      </c>
      <c r="K182" s="10">
        <f>IFERROR(MATCH(I182,C182:H182,0),"")</f>
        <v/>
      </c>
      <c r="L182" s="10">
        <f>IF(OR(I182="",J182=""),"",ROUND((I182-J182)/I182*100,1))</f>
        <v/>
      </c>
      <c r="M182" s="10">
        <f>IF(L182="","",IF(L182&gt;=10,"是","否"))</f>
        <v/>
      </c>
      <c r="N182" s="10">
        <f>IF(J182="","",IF(J182&lt;0.15,"是","否"))</f>
        <v/>
      </c>
      <c r="O182" s="10">
        <f>IF(I182="","",IF(J182&lt;0.15,"SAFETY_STOP",IF(L182&gt;=10,"VL_THRESHOLD","PLANNED_END")))</f>
        <v/>
      </c>
      <c r="P182" s="10">
        <f>IF(I182="","",IF(I182&gt;($D$2+0.05),"+5kg",IF(I182&gt;($D$2+0.02),"+2.5kg",IF(I182&gt;=($D$2-0.05),"保持",IF(I182&gt;=($D$2-0.08),"-2.5kg","-5kg")))))</f>
        <v/>
      </c>
      <c r="Q182" s="9" t="n"/>
      <c r="R182" s="12" t="n"/>
      <c r="S182" s="12" t="n"/>
      <c r="T182" s="12" t="n"/>
    </row>
    <row r="183">
      <c r="A183" s="12" t="n">
        <v>4</v>
      </c>
      <c r="B183" s="9" t="n"/>
      <c r="C183" s="9" t="n"/>
      <c r="D183" s="9" t="n"/>
      <c r="E183" s="9" t="n"/>
      <c r="F183" s="9" t="n"/>
      <c r="G183" s="9" t="n"/>
      <c r="H183" s="9" t="n"/>
      <c r="I183" s="10">
        <f>IFERROR(INDEX(C183:H183,MATCH(TRUE,INDEX(C183:H183&lt;&gt;"",0),0)),"")</f>
        <v/>
      </c>
      <c r="J183" s="10">
        <f>IFERROR(MIN(IF(C183:H183&lt;&gt;"",C183:H183)),"")</f>
        <v/>
      </c>
      <c r="K183" s="10">
        <f>IFERROR(MATCH(I183,C183:H183,0),"")</f>
        <v/>
      </c>
      <c r="L183" s="10">
        <f>IF(OR(I183="",J183=""),"",ROUND((I183-J183)/I183*100,1))</f>
        <v/>
      </c>
      <c r="M183" s="10">
        <f>IF(L183="","",IF(L183&gt;=10,"是","否"))</f>
        <v/>
      </c>
      <c r="N183" s="10">
        <f>IF(J183="","",IF(J183&lt;0.15,"是","否"))</f>
        <v/>
      </c>
      <c r="O183" s="10">
        <f>IF(I183="","",IF(J183&lt;0.15,"SAFETY_STOP",IF(L183&gt;=10,"VL_THRESHOLD","PLANNED_END")))</f>
        <v/>
      </c>
      <c r="P183" s="10">
        <f>IF(I183="","",IF(I183&gt;($D$2+0.05),"+5kg",IF(I183&gt;($D$2+0.02),"+2.5kg",IF(I183&gt;=($D$2-0.05),"保持",IF(I183&gt;=($D$2-0.08),"-2.5kg","-5kg")))))</f>
        <v/>
      </c>
      <c r="Q183" s="9" t="n"/>
      <c r="R183" s="12" t="n"/>
      <c r="S183" s="12" t="n"/>
      <c r="T183" s="12" t="n"/>
    </row>
    <row r="184">
      <c r="A184" s="12" t="n">
        <v>5</v>
      </c>
      <c r="B184" s="9" t="n"/>
      <c r="C184" s="9" t="n"/>
      <c r="D184" s="9" t="n"/>
      <c r="E184" s="9" t="n"/>
      <c r="F184" s="9" t="n"/>
      <c r="G184" s="9" t="n"/>
      <c r="H184" s="9" t="n"/>
      <c r="I184" s="10">
        <f>IFERROR(INDEX(C184:H184,MATCH(TRUE,INDEX(C184:H184&lt;&gt;"",0),0)),"")</f>
        <v/>
      </c>
      <c r="J184" s="10">
        <f>IFERROR(MIN(IF(C184:H184&lt;&gt;"",C184:H184)),"")</f>
        <v/>
      </c>
      <c r="K184" s="10">
        <f>IFERROR(MATCH(I184,C184:H184,0),"")</f>
        <v/>
      </c>
      <c r="L184" s="10">
        <f>IF(OR(I184="",J184=""),"",ROUND((I184-J184)/I184*100,1))</f>
        <v/>
      </c>
      <c r="M184" s="10">
        <f>IF(L184="","",IF(L184&gt;=10,"是","否"))</f>
        <v/>
      </c>
      <c r="N184" s="10">
        <f>IF(J184="","",IF(J184&lt;0.15,"是","否"))</f>
        <v/>
      </c>
      <c r="O184" s="10">
        <f>IF(I184="","",IF(J184&lt;0.15,"SAFETY_STOP",IF(L184&gt;=10,"VL_THRESHOLD","PLANNED_END")))</f>
        <v/>
      </c>
      <c r="P184" s="10">
        <f>IF(I184="","",IF(I184&gt;($D$2+0.05),"+5kg",IF(I184&gt;($D$2+0.02),"+2.5kg",IF(I184&gt;=($D$2-0.05),"保持",IF(I184&gt;=($D$2-0.08),"-2.5kg","-5kg")))))</f>
        <v/>
      </c>
      <c r="Q184" s="9" t="n"/>
      <c r="R184" s="12" t="n"/>
      <c r="S184" s="12" t="n"/>
      <c r="T184" s="12" t="n"/>
    </row>
    <row r="185">
      <c r="A185" s="12" t="n">
        <v>6</v>
      </c>
      <c r="B185" s="9" t="n"/>
      <c r="C185" s="9" t="n"/>
      <c r="D185" s="9" t="n"/>
      <c r="E185" s="9" t="n"/>
      <c r="F185" s="9" t="n"/>
      <c r="G185" s="9" t="n"/>
      <c r="H185" s="9" t="n"/>
      <c r="I185" s="10">
        <f>IFERROR(INDEX(C185:H185,MATCH(TRUE,INDEX(C185:H185&lt;&gt;"",0),0)),"")</f>
        <v/>
      </c>
      <c r="J185" s="10">
        <f>IFERROR(MIN(IF(C185:H185&lt;&gt;"",C185:H185)),"")</f>
        <v/>
      </c>
      <c r="K185" s="10">
        <f>IFERROR(MATCH(I185,C185:H185,0),"")</f>
        <v/>
      </c>
      <c r="L185" s="10">
        <f>IF(OR(I185="",J185=""),"",ROUND((I185-J185)/I185*100,1))</f>
        <v/>
      </c>
      <c r="M185" s="10">
        <f>IF(L185="","",IF(L185&gt;=10,"是","否"))</f>
        <v/>
      </c>
      <c r="N185" s="10">
        <f>IF(J185="","",IF(J185&lt;0.15,"是","否"))</f>
        <v/>
      </c>
      <c r="O185" s="10">
        <f>IF(I185="","",IF(J185&lt;0.15,"SAFETY_STOP",IF(L185&gt;=10,"VL_THRESHOLD","PLANNED_END")))</f>
        <v/>
      </c>
      <c r="P185" s="10">
        <f>IF(I185="","",IF(I185&gt;($D$2+0.05),"+5kg",IF(I185&gt;($D$2+0.02),"+2.5kg",IF(I185&gt;=($D$2-0.05),"保持",IF(I185&gt;=($D$2-0.08),"-2.5kg","-5kg")))))</f>
        <v/>
      </c>
      <c r="Q185" s="9" t="n"/>
      <c r="R185" s="12" t="n"/>
      <c r="S185" s="12" t="n"/>
      <c r="T185" s="12" t="n"/>
    </row>
    <row r="186">
      <c r="A186" s="8" t="inlineStr">
        <is>
          <t>辅助动作</t>
        </is>
      </c>
      <c r="B186" s="8" t="inlineStr">
        <is>
          <t>动作名称</t>
        </is>
      </c>
      <c r="C186" s="8" t="inlineStr">
        <is>
          <t>负荷kg</t>
        </is>
      </c>
      <c r="D186" s="8" t="inlineStr">
        <is>
          <t>完成(组×次)</t>
        </is>
      </c>
    </row>
    <row r="187">
      <c r="A187" s="9" t="inlineStr"/>
      <c r="B187" s="9" t="n"/>
      <c r="C187" s="9" t="n"/>
      <c r="D187" s="9" t="n"/>
    </row>
    <row r="188">
      <c r="A188" s="8" t="inlineStr">
        <is>
          <t>训练后</t>
        </is>
      </c>
      <c r="B188" s="8" t="inlineStr">
        <is>
          <t>开始时间</t>
        </is>
      </c>
      <c r="C188" s="8" t="inlineStr">
        <is>
          <t>结束时间</t>
        </is>
      </c>
      <c r="D188" s="8" t="inlineStr">
        <is>
          <t>总时长min</t>
        </is>
      </c>
      <c r="E188" s="8" t="inlineStr">
        <is>
          <t>sRPE</t>
        </is>
      </c>
      <c r="F188" s="8" t="inlineStr">
        <is>
          <t>session_load</t>
        </is>
      </c>
      <c r="G188" s="8" t="inlineStr">
        <is>
          <t>有无不适</t>
        </is>
      </c>
      <c r="H188" s="8" t="inlineStr">
        <is>
          <t>备注</t>
        </is>
      </c>
      <c r="I188" s="8" t="inlineStr">
        <is>
          <t>研究员签名</t>
        </is>
      </c>
    </row>
    <row r="189">
      <c r="A189" s="13" t="inlineStr"/>
      <c r="B189" s="13" t="n"/>
      <c r="C189" s="13" t="n"/>
      <c r="D189" s="10">
        <f>IF(OR(B189="",C189=""),"",(C189-B189)*1440)</f>
        <v/>
      </c>
      <c r="E189" s="13" t="n"/>
      <c r="F189" s="10">
        <f>IF(OR(D189="",E189=""),"",D189*E189)</f>
        <v/>
      </c>
      <c r="G189" s="13" t="n"/>
      <c r="H189" s="13" t="n"/>
      <c r="I189" s="13" t="n"/>
    </row>
    <row r="191">
      <c r="A191" s="5" t="inlineStr">
        <is>
          <t>── P009 王宏池 ──────────────────────────────────────────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7" t="n"/>
    </row>
    <row r="192">
      <c r="A192" s="8" t="inlineStr">
        <is>
          <t>编号</t>
        </is>
      </c>
      <c r="B192" s="8" t="inlineStr">
        <is>
          <t>姓名</t>
        </is>
      </c>
      <c r="C192" s="8" t="inlineStr">
        <is>
          <t>身高</t>
        </is>
      </c>
      <c r="D192" s="8" t="inlineStr">
        <is>
          <t>1RM</t>
        </is>
      </c>
      <c r="E192" s="8" t="inlineStr">
        <is>
          <t>睡眠</t>
        </is>
      </c>
      <c r="F192" s="8" t="inlineStr">
        <is>
          <t>压力</t>
        </is>
      </c>
      <c r="G192" s="8" t="inlineStr">
        <is>
          <t>疲劳</t>
        </is>
      </c>
      <c r="H192" s="8" t="inlineStr">
        <is>
          <t>酸痛</t>
        </is>
      </c>
      <c r="I192" s="8" t="inlineStr">
        <is>
          <t>Hooper总</t>
        </is>
      </c>
      <c r="J192" s="8" t="inlineStr">
        <is>
          <t>CMJ1</t>
        </is>
      </c>
      <c r="K192" s="8" t="inlineStr">
        <is>
          <t>CMJ2</t>
        </is>
      </c>
      <c r="L192" s="8" t="inlineStr">
        <is>
          <t>CMJ3</t>
        </is>
      </c>
      <c r="M192" s="8" t="inlineStr">
        <is>
          <t>CMJ均值</t>
        </is>
      </c>
      <c r="N192" s="8" t="inlineStr">
        <is>
          <t>&lt;95%?</t>
        </is>
      </c>
      <c r="O192" s="8" t="inlineStr">
        <is>
          <t>减组?</t>
        </is>
      </c>
      <c r="P192" s="8" t="inlineStr">
        <is>
          <t>实做组数</t>
        </is>
      </c>
      <c r="Q192" s="8" t="inlineStr">
        <is>
          <t>LVP_a</t>
        </is>
      </c>
      <c r="R192" s="8" t="inlineStr">
        <is>
          <t>LVP_b</t>
        </is>
      </c>
      <c r="S192" s="8" t="inlineStr">
        <is>
          <t>等级</t>
        </is>
      </c>
      <c r="T192" s="8" t="inlineStr">
        <is>
          <t>预测起始</t>
        </is>
      </c>
    </row>
    <row r="193">
      <c r="A193" s="9" t="inlineStr">
        <is>
          <t>P009</t>
        </is>
      </c>
      <c r="B193" s="9" t="inlineStr">
        <is>
          <t>王宏池</t>
        </is>
      </c>
      <c r="C193" s="9" t="n">
        <v>185</v>
      </c>
      <c r="D193" s="9" t="n">
        <v>135</v>
      </c>
      <c r="E193" s="9" t="n"/>
      <c r="F193" s="9" t="n"/>
      <c r="G193" s="9" t="n"/>
      <c r="H193" s="9" t="n"/>
      <c r="I193" s="10">
        <f>IFERROR(SUM(E193:H193),"")</f>
        <v/>
      </c>
      <c r="J193" s="9" t="n"/>
      <c r="K193" s="9" t="n"/>
      <c r="L193" s="9" t="n"/>
      <c r="M193" s="10">
        <f>IFERROR(AVERAGE(J193:L193),"")</f>
        <v/>
      </c>
      <c r="N193" s="10">
        <f>IF(M193="","",IF(M193&lt;54.27,"是⚠","否"))</f>
        <v/>
      </c>
      <c r="O193" s="10">
        <f>IF(M193="","",IF(M193&lt;54.27,"减1组","正常"))</f>
        <v/>
      </c>
      <c r="P193" s="10">
        <f>IF(M193="","",IF(M193&lt;54.27,4-1,4))</f>
        <v/>
      </c>
      <c r="Q193" s="9" t="n">
        <v>1.5667</v>
      </c>
      <c r="R193" s="9" t="n">
        <v>-0.008500000000000001</v>
      </c>
      <c r="S193" s="9" t="inlineStr">
        <is>
          <t>B</t>
        </is>
      </c>
      <c r="T193" s="10">
        <f>IFERROR(ROUND((0.8-1.5667)/-0.0085,0.5),"")</f>
        <v/>
      </c>
    </row>
    <row r="194">
      <c r="A194" s="8" t="inlineStr">
        <is>
          <t>热身校准</t>
        </is>
      </c>
      <c r="B194" s="8" t="inlineStr">
        <is>
          <t>LVP_a</t>
        </is>
      </c>
      <c r="C194" s="8" t="inlineStr">
        <is>
          <t>LVP_b</t>
        </is>
      </c>
      <c r="D194" s="8" t="inlineStr">
        <is>
          <t>50%热身kg</t>
        </is>
      </c>
      <c r="E194" s="8" t="inlineStr">
        <is>
          <t>70%热身kg</t>
        </is>
      </c>
      <c r="F194" s="8" t="inlineStr">
        <is>
          <t>热身负荷kg</t>
        </is>
      </c>
      <c r="G194" s="8" t="inlineStr">
        <is>
          <t>实测MCV</t>
        </is>
      </c>
      <c r="H194" s="8" t="inlineStr">
        <is>
          <t>预测MCV</t>
        </is>
      </c>
      <c r="I194" s="8" t="inlineStr">
        <is>
          <t>Δv</t>
        </is>
      </c>
      <c r="J194" s="8" t="inlineStr">
        <is>
          <t>调整量kg</t>
        </is>
      </c>
      <c r="K194" s="8" t="inlineStr">
        <is>
          <t>校准后第1组kg</t>
        </is>
      </c>
    </row>
    <row r="195">
      <c r="A195" s="11" t="inlineStr"/>
      <c r="B195" s="11" t="n">
        <v>1.5667</v>
      </c>
      <c r="C195" s="11" t="n">
        <v>-0.008500000000000001</v>
      </c>
      <c r="D195" s="10">
        <f>IFERROR(ROUND(T193*0.5,2.5),"")</f>
        <v/>
      </c>
      <c r="E195" s="10">
        <f>IFERROR(ROUND(T193*0.7,2.5),"")</f>
        <v/>
      </c>
      <c r="F195" s="10">
        <f>D195</f>
        <v/>
      </c>
      <c r="G195" s="9" t="n"/>
      <c r="H195" s="10">
        <f>IF(F195="","",B195+C195*F195)</f>
        <v/>
      </c>
      <c r="I195" s="10">
        <f>IF(OR(G195="",H195=""),"",G195-H195)</f>
        <v/>
      </c>
      <c r="J195" s="10">
        <f>IF(I195="","",IF(I195&gt;0.08,5,IF(I195&gt;0.04,2.5,IF(I195&gt;=-0.04,0,IF(I195&gt;=-0.08,-2.5,-5)))))</f>
        <v/>
      </c>
      <c r="K195" s="10">
        <f>IFERROR(ROUND(T193+J195,2.5),"")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8" t="inlineStr">
        <is>
          <t>组次</t>
        </is>
      </c>
      <c r="B196" s="8" t="inlineStr">
        <is>
          <t>负荷kg</t>
        </is>
      </c>
      <c r="C196" s="8" t="inlineStr">
        <is>
          <t>rep1</t>
        </is>
      </c>
      <c r="D196" s="8" t="inlineStr">
        <is>
          <t>rep2</t>
        </is>
      </c>
      <c r="E196" s="8" t="inlineStr">
        <is>
          <t>rep3</t>
        </is>
      </c>
      <c r="F196" s="8" t="inlineStr">
        <is>
          <t>rep4</t>
        </is>
      </c>
      <c r="G196" s="8" t="inlineStr">
        <is>
          <t>rep5</t>
        </is>
      </c>
      <c r="H196" s="8" t="inlineStr">
        <is>
          <t>rep6</t>
        </is>
      </c>
      <c r="I196" s="8" t="inlineStr">
        <is>
          <t>首rep</t>
        </is>
      </c>
      <c r="J196" s="8" t="inlineStr">
        <is>
          <t>最低速</t>
        </is>
      </c>
      <c r="K196" s="8" t="inlineStr">
        <is>
          <t>最低rep#</t>
        </is>
      </c>
      <c r="L196" s="8" t="inlineStr">
        <is>
          <t>VL%</t>
        </is>
      </c>
      <c r="M196" s="8" t="inlineStr">
        <is>
          <t>VL达标?</t>
        </is>
      </c>
      <c r="N196" s="8" t="inlineStr">
        <is>
          <t>安全停止?</t>
        </is>
      </c>
      <c r="O196" s="8" t="inlineStr">
        <is>
          <t>停组原因</t>
        </is>
      </c>
      <c r="P196" s="8" t="inlineStr">
        <is>
          <t>下组建议</t>
        </is>
      </c>
      <c r="Q196" s="8" t="inlineStr">
        <is>
          <t>实做次数</t>
        </is>
      </c>
    </row>
    <row r="197">
      <c r="A197" s="12" t="n">
        <v>1</v>
      </c>
      <c r="B197" s="10">
        <f>IF(K195="","",K195)</f>
        <v/>
      </c>
      <c r="C197" s="9" t="n"/>
      <c r="D197" s="9" t="n"/>
      <c r="E197" s="9" t="n"/>
      <c r="F197" s="9" t="n"/>
      <c r="G197" s="9" t="n"/>
      <c r="H197" s="9" t="n"/>
      <c r="I197" s="10">
        <f>IFERROR(INDEX(C197:H197,MATCH(TRUE,INDEX(C197:H197&lt;&gt;"",0),0)),"")</f>
        <v/>
      </c>
      <c r="J197" s="10">
        <f>IFERROR(MIN(IF(C197:H197&lt;&gt;"",C197:H197)),"")</f>
        <v/>
      </c>
      <c r="K197" s="10">
        <f>IFERROR(MATCH(I197,C197:H197,0),"")</f>
        <v/>
      </c>
      <c r="L197" s="10">
        <f>IF(OR(I197="",J197=""),"",ROUND((I197-J197)/I197*100,1))</f>
        <v/>
      </c>
      <c r="M197" s="10">
        <f>IF(L197="","",IF(L197&gt;=10,"是","否"))</f>
        <v/>
      </c>
      <c r="N197" s="10">
        <f>IF(J197="","",IF(J197&lt;0.15,"是","否"))</f>
        <v/>
      </c>
      <c r="O197" s="10">
        <f>IF(I197="","",IF(J197&lt;0.15,"SAFETY_STOP",IF(L197&gt;=10,"VL_THRESHOLD","PLANNED_END")))</f>
        <v/>
      </c>
      <c r="P197" s="10">
        <f>IF(I197="","",IF(I197&gt;($D$2+0.05),"+5kg",IF(I197&gt;($D$2+0.02),"+2.5kg",IF(I197&gt;=($D$2-0.05),"保持",IF(I197&gt;=($D$2-0.08),"-2.5kg","-5kg")))))</f>
        <v/>
      </c>
      <c r="Q197" s="9" t="n"/>
      <c r="R197" s="12" t="n"/>
      <c r="S197" s="12" t="n"/>
      <c r="T197" s="12" t="n"/>
    </row>
    <row r="198">
      <c r="A198" s="12" t="n">
        <v>2</v>
      </c>
      <c r="B198" s="9" t="n"/>
      <c r="C198" s="9" t="n"/>
      <c r="D198" s="9" t="n"/>
      <c r="E198" s="9" t="n"/>
      <c r="F198" s="9" t="n"/>
      <c r="G198" s="9" t="n"/>
      <c r="H198" s="9" t="n"/>
      <c r="I198" s="10">
        <f>IFERROR(INDEX(C198:H198,MATCH(TRUE,INDEX(C198:H198&lt;&gt;"",0),0)),"")</f>
        <v/>
      </c>
      <c r="J198" s="10">
        <f>IFERROR(MIN(IF(C198:H198&lt;&gt;"",C198:H198)),"")</f>
        <v/>
      </c>
      <c r="K198" s="10">
        <f>IFERROR(MATCH(I198,C198:H198,0),"")</f>
        <v/>
      </c>
      <c r="L198" s="10">
        <f>IF(OR(I198="",J198=""),"",ROUND((I198-J198)/I198*100,1))</f>
        <v/>
      </c>
      <c r="M198" s="10">
        <f>IF(L198="","",IF(L198&gt;=10,"是","否"))</f>
        <v/>
      </c>
      <c r="N198" s="10">
        <f>IF(J198="","",IF(J198&lt;0.15,"是","否"))</f>
        <v/>
      </c>
      <c r="O198" s="10">
        <f>IF(I198="","",IF(J198&lt;0.15,"SAFETY_STOP",IF(L198&gt;=10,"VL_THRESHOLD","PLANNED_END")))</f>
        <v/>
      </c>
      <c r="P198" s="10">
        <f>IF(I198="","",IF(I198&gt;($D$2+0.05),"+5kg",IF(I198&gt;($D$2+0.02),"+2.5kg",IF(I198&gt;=($D$2-0.05),"保持",IF(I198&gt;=($D$2-0.08),"-2.5kg","-5kg")))))</f>
        <v/>
      </c>
      <c r="Q198" s="9" t="n"/>
      <c r="R198" s="12" t="n"/>
      <c r="S198" s="12" t="n"/>
      <c r="T198" s="12" t="n"/>
    </row>
    <row r="199">
      <c r="A199" s="12" t="n">
        <v>3</v>
      </c>
      <c r="B199" s="9" t="n"/>
      <c r="C199" s="9" t="n"/>
      <c r="D199" s="9" t="n"/>
      <c r="E199" s="9" t="n"/>
      <c r="F199" s="9" t="n"/>
      <c r="G199" s="9" t="n"/>
      <c r="H199" s="9" t="n"/>
      <c r="I199" s="10">
        <f>IFERROR(INDEX(C199:H199,MATCH(TRUE,INDEX(C199:H199&lt;&gt;"",0),0)),"")</f>
        <v/>
      </c>
      <c r="J199" s="10">
        <f>IFERROR(MIN(IF(C199:H199&lt;&gt;"",C199:H199)),"")</f>
        <v/>
      </c>
      <c r="K199" s="10">
        <f>IFERROR(MATCH(I199,C199:H199,0),"")</f>
        <v/>
      </c>
      <c r="L199" s="10">
        <f>IF(OR(I199="",J199=""),"",ROUND((I199-J199)/I199*100,1))</f>
        <v/>
      </c>
      <c r="M199" s="10">
        <f>IF(L199="","",IF(L199&gt;=10,"是","否"))</f>
        <v/>
      </c>
      <c r="N199" s="10">
        <f>IF(J199="","",IF(J199&lt;0.15,"是","否"))</f>
        <v/>
      </c>
      <c r="O199" s="10">
        <f>IF(I199="","",IF(J199&lt;0.15,"SAFETY_STOP",IF(L199&gt;=10,"VL_THRESHOLD","PLANNED_END")))</f>
        <v/>
      </c>
      <c r="P199" s="10">
        <f>IF(I199="","",IF(I199&gt;($D$2+0.05),"+5kg",IF(I199&gt;($D$2+0.02),"+2.5kg",IF(I199&gt;=($D$2-0.05),"保持",IF(I199&gt;=($D$2-0.08),"-2.5kg","-5kg")))))</f>
        <v/>
      </c>
      <c r="Q199" s="9" t="n"/>
      <c r="R199" s="12" t="n"/>
      <c r="S199" s="12" t="n"/>
      <c r="T199" s="12" t="n"/>
    </row>
    <row r="200">
      <c r="A200" s="12" t="n">
        <v>4</v>
      </c>
      <c r="B200" s="9" t="n"/>
      <c r="C200" s="9" t="n"/>
      <c r="D200" s="9" t="n"/>
      <c r="E200" s="9" t="n"/>
      <c r="F200" s="9" t="n"/>
      <c r="G200" s="9" t="n"/>
      <c r="H200" s="9" t="n"/>
      <c r="I200" s="10">
        <f>IFERROR(INDEX(C200:H200,MATCH(TRUE,INDEX(C200:H200&lt;&gt;"",0),0)),"")</f>
        <v/>
      </c>
      <c r="J200" s="10">
        <f>IFERROR(MIN(IF(C200:H200&lt;&gt;"",C200:H200)),"")</f>
        <v/>
      </c>
      <c r="K200" s="10">
        <f>IFERROR(MATCH(I200,C200:H200,0),"")</f>
        <v/>
      </c>
      <c r="L200" s="10">
        <f>IF(OR(I200="",J200=""),"",ROUND((I200-J200)/I200*100,1))</f>
        <v/>
      </c>
      <c r="M200" s="10">
        <f>IF(L200="","",IF(L200&gt;=10,"是","否"))</f>
        <v/>
      </c>
      <c r="N200" s="10">
        <f>IF(J200="","",IF(J200&lt;0.15,"是","否"))</f>
        <v/>
      </c>
      <c r="O200" s="10">
        <f>IF(I200="","",IF(J200&lt;0.15,"SAFETY_STOP",IF(L200&gt;=10,"VL_THRESHOLD","PLANNED_END")))</f>
        <v/>
      </c>
      <c r="P200" s="10">
        <f>IF(I200="","",IF(I200&gt;($D$2+0.05),"+5kg",IF(I200&gt;($D$2+0.02),"+2.5kg",IF(I200&gt;=($D$2-0.05),"保持",IF(I200&gt;=($D$2-0.08),"-2.5kg","-5kg")))))</f>
        <v/>
      </c>
      <c r="Q200" s="9" t="n"/>
      <c r="R200" s="12" t="n"/>
      <c r="S200" s="12" t="n"/>
      <c r="T200" s="12" t="n"/>
    </row>
    <row r="201">
      <c r="A201" s="12" t="n">
        <v>5</v>
      </c>
      <c r="B201" s="9" t="n"/>
      <c r="C201" s="9" t="n"/>
      <c r="D201" s="9" t="n"/>
      <c r="E201" s="9" t="n"/>
      <c r="F201" s="9" t="n"/>
      <c r="G201" s="9" t="n"/>
      <c r="H201" s="9" t="n"/>
      <c r="I201" s="10">
        <f>IFERROR(INDEX(C201:H201,MATCH(TRUE,INDEX(C201:H201&lt;&gt;"",0),0)),"")</f>
        <v/>
      </c>
      <c r="J201" s="10">
        <f>IFERROR(MIN(IF(C201:H201&lt;&gt;"",C201:H201)),"")</f>
        <v/>
      </c>
      <c r="K201" s="10">
        <f>IFERROR(MATCH(I201,C201:H201,0),"")</f>
        <v/>
      </c>
      <c r="L201" s="10">
        <f>IF(OR(I201="",J201=""),"",ROUND((I201-J201)/I201*100,1))</f>
        <v/>
      </c>
      <c r="M201" s="10">
        <f>IF(L201="","",IF(L201&gt;=10,"是","否"))</f>
        <v/>
      </c>
      <c r="N201" s="10">
        <f>IF(J201="","",IF(J201&lt;0.15,"是","否"))</f>
        <v/>
      </c>
      <c r="O201" s="10">
        <f>IF(I201="","",IF(J201&lt;0.15,"SAFETY_STOP",IF(L201&gt;=10,"VL_THRESHOLD","PLANNED_END")))</f>
        <v/>
      </c>
      <c r="P201" s="10">
        <f>IF(I201="","",IF(I201&gt;($D$2+0.05),"+5kg",IF(I201&gt;($D$2+0.02),"+2.5kg",IF(I201&gt;=($D$2-0.05),"保持",IF(I201&gt;=($D$2-0.08),"-2.5kg","-5kg")))))</f>
        <v/>
      </c>
      <c r="Q201" s="9" t="n"/>
      <c r="R201" s="12" t="n"/>
      <c r="S201" s="12" t="n"/>
      <c r="T201" s="12" t="n"/>
    </row>
    <row r="202">
      <c r="A202" s="12" t="n">
        <v>6</v>
      </c>
      <c r="B202" s="9" t="n"/>
      <c r="C202" s="9" t="n"/>
      <c r="D202" s="9" t="n"/>
      <c r="E202" s="9" t="n"/>
      <c r="F202" s="9" t="n"/>
      <c r="G202" s="9" t="n"/>
      <c r="H202" s="9" t="n"/>
      <c r="I202" s="10">
        <f>IFERROR(INDEX(C202:H202,MATCH(TRUE,INDEX(C202:H202&lt;&gt;"",0),0)),"")</f>
        <v/>
      </c>
      <c r="J202" s="10">
        <f>IFERROR(MIN(IF(C202:H202&lt;&gt;"",C202:H202)),"")</f>
        <v/>
      </c>
      <c r="K202" s="10">
        <f>IFERROR(MATCH(I202,C202:H202,0),"")</f>
        <v/>
      </c>
      <c r="L202" s="10">
        <f>IF(OR(I202="",J202=""),"",ROUND((I202-J202)/I202*100,1))</f>
        <v/>
      </c>
      <c r="M202" s="10">
        <f>IF(L202="","",IF(L202&gt;=10,"是","否"))</f>
        <v/>
      </c>
      <c r="N202" s="10">
        <f>IF(J202="","",IF(J202&lt;0.15,"是","否"))</f>
        <v/>
      </c>
      <c r="O202" s="10">
        <f>IF(I202="","",IF(J202&lt;0.15,"SAFETY_STOP",IF(L202&gt;=10,"VL_THRESHOLD","PLANNED_END")))</f>
        <v/>
      </c>
      <c r="P202" s="10">
        <f>IF(I202="","",IF(I202&gt;($D$2+0.05),"+5kg",IF(I202&gt;($D$2+0.02),"+2.5kg",IF(I202&gt;=($D$2-0.05),"保持",IF(I202&gt;=($D$2-0.08),"-2.5kg","-5kg")))))</f>
        <v/>
      </c>
      <c r="Q202" s="9" t="n"/>
      <c r="R202" s="12" t="n"/>
      <c r="S202" s="12" t="n"/>
      <c r="T202" s="12" t="n"/>
    </row>
    <row r="203">
      <c r="A203" s="8" t="inlineStr">
        <is>
          <t>辅助动作</t>
        </is>
      </c>
      <c r="B203" s="8" t="inlineStr">
        <is>
          <t>动作名称</t>
        </is>
      </c>
      <c r="C203" s="8" t="inlineStr">
        <is>
          <t>负荷kg</t>
        </is>
      </c>
      <c r="D203" s="8" t="inlineStr">
        <is>
          <t>完成(组×次)</t>
        </is>
      </c>
    </row>
    <row r="204">
      <c r="A204" s="9" t="inlineStr"/>
      <c r="B204" s="9" t="n"/>
      <c r="C204" s="9" t="n"/>
      <c r="D204" s="9" t="n"/>
    </row>
    <row r="205">
      <c r="A205" s="8" t="inlineStr">
        <is>
          <t>训练后</t>
        </is>
      </c>
      <c r="B205" s="8" t="inlineStr">
        <is>
          <t>开始时间</t>
        </is>
      </c>
      <c r="C205" s="8" t="inlineStr">
        <is>
          <t>结束时间</t>
        </is>
      </c>
      <c r="D205" s="8" t="inlineStr">
        <is>
          <t>总时长min</t>
        </is>
      </c>
      <c r="E205" s="8" t="inlineStr">
        <is>
          <t>sRPE</t>
        </is>
      </c>
      <c r="F205" s="8" t="inlineStr">
        <is>
          <t>session_load</t>
        </is>
      </c>
      <c r="G205" s="8" t="inlineStr">
        <is>
          <t>有无不适</t>
        </is>
      </c>
      <c r="H205" s="8" t="inlineStr">
        <is>
          <t>备注</t>
        </is>
      </c>
      <c r="I205" s="8" t="inlineStr">
        <is>
          <t>研究员签名</t>
        </is>
      </c>
    </row>
    <row r="206">
      <c r="A206" s="13" t="inlineStr"/>
      <c r="B206" s="13" t="n"/>
      <c r="C206" s="13" t="n"/>
      <c r="D206" s="10">
        <f>IF(OR(B206="",C206=""),"",(C206-B206)*1440)</f>
        <v/>
      </c>
      <c r="E206" s="13" t="n"/>
      <c r="F206" s="10">
        <f>IF(OR(D206="",E206=""),"",D206*E206)</f>
        <v/>
      </c>
      <c r="G206" s="13" t="n"/>
      <c r="H206" s="13" t="n"/>
      <c r="I206" s="13" t="n"/>
    </row>
  </sheetData>
  <mergeCells count="13">
    <mergeCell ref="A1:T1"/>
    <mergeCell ref="A89:T89"/>
    <mergeCell ref="A4:T4"/>
    <mergeCell ref="A106:T106"/>
    <mergeCell ref="A21:T21"/>
    <mergeCell ref="A140:T140"/>
    <mergeCell ref="A55:T55"/>
    <mergeCell ref="A38:T38"/>
    <mergeCell ref="A157:T157"/>
    <mergeCell ref="A72:T72"/>
    <mergeCell ref="A174:T174"/>
    <mergeCell ref="A191:T191"/>
    <mergeCell ref="A123:T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6" customWidth="1" min="15" max="15"/>
    <col width="12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>
      <c r="A1" s="1" t="inlineStr">
        <is>
          <t>研究二 AI组训练执行计算表 — W2_A（Day A）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目标MCV区间</t>
        </is>
      </c>
      <c r="B2" s="4" t="inlineStr">
        <is>
          <t>0.50-0.60</t>
        </is>
      </c>
      <c r="C2" s="3" t="inlineStr">
        <is>
          <t>目标MCV中点</t>
        </is>
      </c>
      <c r="D2" s="4" t="n">
        <v>0.55</v>
      </c>
      <c r="E2" s="3" t="inlineStr">
        <is>
          <t>VL阈值%</t>
        </is>
      </c>
      <c r="F2" s="4" t="n">
        <v>22</v>
      </c>
      <c r="G2" s="3" t="inlineStr">
        <is>
          <t>安全停止(m/s)</t>
        </is>
      </c>
      <c r="H2" s="4" t="n">
        <v>0.15</v>
      </c>
      <c r="I2" s="3" t="inlineStr">
        <is>
          <t>计划组数</t>
        </is>
      </c>
      <c r="J2" s="4" t="n">
        <v>5</v>
      </c>
      <c r="K2" s="3" t="inlineStr">
        <is>
          <t>每组次数</t>
        </is>
      </c>
      <c r="L2" s="4" t="inlineStr">
        <is>
          <t>4-5</t>
        </is>
      </c>
    </row>
    <row r="4">
      <c r="A4" s="5" t="inlineStr">
        <is>
          <t>── P007 陈鑫 ──────────────────────────────────────────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7" t="n"/>
    </row>
    <row r="5">
      <c r="A5" s="8" t="inlineStr">
        <is>
          <t>编号</t>
        </is>
      </c>
      <c r="B5" s="8" t="inlineStr">
        <is>
          <t>姓名</t>
        </is>
      </c>
      <c r="C5" s="8" t="inlineStr">
        <is>
          <t>身高</t>
        </is>
      </c>
      <c r="D5" s="8" t="inlineStr">
        <is>
          <t>1RM</t>
        </is>
      </c>
      <c r="E5" s="8" t="inlineStr">
        <is>
          <t>睡眠</t>
        </is>
      </c>
      <c r="F5" s="8" t="inlineStr">
        <is>
          <t>压力</t>
        </is>
      </c>
      <c r="G5" s="8" t="inlineStr">
        <is>
          <t>疲劳</t>
        </is>
      </c>
      <c r="H5" s="8" t="inlineStr">
        <is>
          <t>酸痛</t>
        </is>
      </c>
      <c r="I5" s="8" t="inlineStr">
        <is>
          <t>Hooper总</t>
        </is>
      </c>
      <c r="J5" s="8" t="inlineStr">
        <is>
          <t>CMJ1</t>
        </is>
      </c>
      <c r="K5" s="8" t="inlineStr">
        <is>
          <t>CMJ2</t>
        </is>
      </c>
      <c r="L5" s="8" t="inlineStr">
        <is>
          <t>CMJ3</t>
        </is>
      </c>
      <c r="M5" s="8" t="inlineStr">
        <is>
          <t>CMJ均值</t>
        </is>
      </c>
      <c r="N5" s="8" t="inlineStr">
        <is>
          <t>&lt;95%?</t>
        </is>
      </c>
      <c r="O5" s="8" t="inlineStr">
        <is>
          <t>减组?</t>
        </is>
      </c>
      <c r="P5" s="8" t="inlineStr">
        <is>
          <t>实做组数</t>
        </is>
      </c>
      <c r="Q5" s="8" t="inlineStr">
        <is>
          <t>LVP_a</t>
        </is>
      </c>
      <c r="R5" s="8" t="inlineStr">
        <is>
          <t>LVP_b</t>
        </is>
      </c>
      <c r="S5" s="8" t="inlineStr">
        <is>
          <t>等级</t>
        </is>
      </c>
      <c r="T5" s="8" t="inlineStr">
        <is>
          <t>预测起始</t>
        </is>
      </c>
    </row>
    <row r="6">
      <c r="A6" s="9" t="inlineStr">
        <is>
          <t>P007</t>
        </is>
      </c>
      <c r="B6" s="9" t="inlineStr">
        <is>
          <t>陈鑫</t>
        </is>
      </c>
      <c r="C6" s="9" t="n">
        <v>173</v>
      </c>
      <c r="D6" s="9" t="n">
        <v>110</v>
      </c>
      <c r="E6" s="9" t="n"/>
      <c r="F6" s="9" t="n"/>
      <c r="G6" s="9" t="n"/>
      <c r="H6" s="9" t="n"/>
      <c r="I6" s="10">
        <f>IFERROR(SUM(E6:H6),"")</f>
        <v/>
      </c>
      <c r="J6" s="9" t="n"/>
      <c r="K6" s="9" t="n"/>
      <c r="L6" s="9" t="n"/>
      <c r="M6" s="10">
        <f>IFERROR(AVERAGE(J6:L6),"")</f>
        <v/>
      </c>
      <c r="N6" s="10">
        <f>IF(M6="","",IF(M6&lt;63.01,"是⚠","否"))</f>
        <v/>
      </c>
      <c r="O6" s="10">
        <f>IF(M6="","",IF(M6&lt;63.01,"减1组","正常"))</f>
        <v/>
      </c>
      <c r="P6" s="10">
        <f>IF(M6="","",IF(M6&lt;63.01,5-1,5))</f>
        <v/>
      </c>
      <c r="Q6" s="9" t="n">
        <v>1.65</v>
      </c>
      <c r="R6" s="9" t="n">
        <v>-0.0125</v>
      </c>
      <c r="S6" s="9" t="inlineStr">
        <is>
          <t>A</t>
        </is>
      </c>
      <c r="T6" s="10">
        <f>IFERROR(ROUND((0.55-1.65)/-0.0125,0.5),"")</f>
        <v/>
      </c>
    </row>
    <row r="7">
      <c r="A7" s="8" t="inlineStr">
        <is>
          <t>热身校准</t>
        </is>
      </c>
      <c r="B7" s="8" t="inlineStr">
        <is>
          <t>LVP_a</t>
        </is>
      </c>
      <c r="C7" s="8" t="inlineStr">
        <is>
          <t>LVP_b</t>
        </is>
      </c>
      <c r="D7" s="8" t="inlineStr">
        <is>
          <t>50%热身kg</t>
        </is>
      </c>
      <c r="E7" s="8" t="inlineStr">
        <is>
          <t>70%热身kg</t>
        </is>
      </c>
      <c r="F7" s="8" t="inlineStr">
        <is>
          <t>热身负荷kg</t>
        </is>
      </c>
      <c r="G7" s="8" t="inlineStr">
        <is>
          <t>实测MCV</t>
        </is>
      </c>
      <c r="H7" s="8" t="inlineStr">
        <is>
          <t>预测MCV</t>
        </is>
      </c>
      <c r="I7" s="8" t="inlineStr">
        <is>
          <t>Δv</t>
        </is>
      </c>
      <c r="J7" s="8" t="inlineStr">
        <is>
          <t>调整量kg</t>
        </is>
      </c>
      <c r="K7" s="8" t="inlineStr">
        <is>
          <t>校准后第1组kg</t>
        </is>
      </c>
    </row>
    <row r="8">
      <c r="A8" s="11" t="inlineStr"/>
      <c r="B8" s="11" t="n">
        <v>1.65</v>
      </c>
      <c r="C8" s="11" t="n">
        <v>-0.0125</v>
      </c>
      <c r="D8" s="10">
        <f>IFERROR(ROUND(T6*0.5,2.5),"")</f>
        <v/>
      </c>
      <c r="E8" s="10">
        <f>IFERROR(ROUND(T6*0.7,2.5),"")</f>
        <v/>
      </c>
      <c r="F8" s="10">
        <f>E8</f>
        <v/>
      </c>
      <c r="G8" s="9" t="n"/>
      <c r="H8" s="10">
        <f>IF(F8="","",B8+C8*F8)</f>
        <v/>
      </c>
      <c r="I8" s="10">
        <f>IF(OR(G8="",H8=""),"",G8-H8)</f>
        <v/>
      </c>
      <c r="J8" s="10">
        <f>IF(I8="","",IF(I8&gt;0.08,5,IF(I8&gt;0.04,2.5,IF(I8&gt;=-0.04,0,IF(I8&gt;=-0.08,-2.5,-5)))))</f>
        <v/>
      </c>
      <c r="K8" s="10">
        <f>IFERROR(ROUND(T6+J8,2.5),"")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8" t="inlineStr">
        <is>
          <t>组次</t>
        </is>
      </c>
      <c r="B9" s="8" t="inlineStr">
        <is>
          <t>负荷kg</t>
        </is>
      </c>
      <c r="C9" s="8" t="inlineStr">
        <is>
          <t>rep1</t>
        </is>
      </c>
      <c r="D9" s="8" t="inlineStr">
        <is>
          <t>rep2</t>
        </is>
      </c>
      <c r="E9" s="8" t="inlineStr">
        <is>
          <t>rep3</t>
        </is>
      </c>
      <c r="F9" s="8" t="inlineStr">
        <is>
          <t>rep4</t>
        </is>
      </c>
      <c r="G9" s="8" t="inlineStr">
        <is>
          <t>rep5</t>
        </is>
      </c>
      <c r="H9" s="8" t="inlineStr">
        <is>
          <t>rep6</t>
        </is>
      </c>
      <c r="I9" s="8" t="inlineStr">
        <is>
          <t>首rep</t>
        </is>
      </c>
      <c r="J9" s="8" t="inlineStr">
        <is>
          <t>最低速</t>
        </is>
      </c>
      <c r="K9" s="8" t="inlineStr">
        <is>
          <t>最低rep#</t>
        </is>
      </c>
      <c r="L9" s="8" t="inlineStr">
        <is>
          <t>VL%</t>
        </is>
      </c>
      <c r="M9" s="8" t="inlineStr">
        <is>
          <t>VL达标?</t>
        </is>
      </c>
      <c r="N9" s="8" t="inlineStr">
        <is>
          <t>安全停止?</t>
        </is>
      </c>
      <c r="O9" s="8" t="inlineStr">
        <is>
          <t>停组原因</t>
        </is>
      </c>
      <c r="P9" s="8" t="inlineStr">
        <is>
          <t>下组建议</t>
        </is>
      </c>
      <c r="Q9" s="8" t="inlineStr">
        <is>
          <t>实做次数</t>
        </is>
      </c>
    </row>
    <row r="10">
      <c r="A10" s="12" t="n">
        <v>1</v>
      </c>
      <c r="B10" s="10">
        <f>IF(K8="","",K8)</f>
        <v/>
      </c>
      <c r="C10" s="9" t="n"/>
      <c r="D10" s="9" t="n"/>
      <c r="E10" s="9" t="n"/>
      <c r="F10" s="9" t="n"/>
      <c r="G10" s="9" t="n"/>
      <c r="H10" s="9" t="n"/>
      <c r="I10" s="10">
        <f>IFERROR(INDEX(C10:H10,MATCH(TRUE,INDEX(C10:H10&lt;&gt;"",0),0)),"")</f>
        <v/>
      </c>
      <c r="J10" s="10">
        <f>IFERROR(MIN(IF(C10:H10&lt;&gt;"",C10:H10)),"")</f>
        <v/>
      </c>
      <c r="K10" s="10">
        <f>IFERROR(MATCH(I10,C10:H10,0),"")</f>
        <v/>
      </c>
      <c r="L10" s="10">
        <f>IF(OR(I10="",J10=""),"",ROUND((I10-J10)/I10*100,1))</f>
        <v/>
      </c>
      <c r="M10" s="10">
        <f>IF(L10="","",IF(L10&gt;=22,"是","否"))</f>
        <v/>
      </c>
      <c r="N10" s="10">
        <f>IF(J10="","",IF(J10&lt;0.15,"是","否"))</f>
        <v/>
      </c>
      <c r="O10" s="10">
        <f>IF(I10="","",IF(J10&lt;0.15,"SAFETY_STOP",IF(L10&gt;=22,"VL_THRESHOLD","PLANNED_END")))</f>
        <v/>
      </c>
      <c r="P10" s="10">
        <f>IF(I10="","",IF(I10&gt;($D$2+0.05),"+5kg",IF(I10&gt;($D$2+0.02),"+2.5kg",IF(I10&gt;=($D$2-0.05),"保持",IF(I10&gt;=($D$2-0.08),"-2.5kg","-5kg")))))</f>
        <v/>
      </c>
      <c r="Q10" s="9" t="n"/>
      <c r="R10" s="12" t="n"/>
      <c r="S10" s="12" t="n"/>
      <c r="T10" s="12" t="n"/>
    </row>
    <row r="11">
      <c r="A11" s="12" t="n">
        <v>2</v>
      </c>
      <c r="B11" s="9" t="n"/>
      <c r="C11" s="9" t="n"/>
      <c r="D11" s="9" t="n"/>
      <c r="E11" s="9" t="n"/>
      <c r="F11" s="9" t="n"/>
      <c r="G11" s="9" t="n"/>
      <c r="H11" s="9" t="n"/>
      <c r="I11" s="10">
        <f>IFERROR(INDEX(C11:H11,MATCH(TRUE,INDEX(C11:H11&lt;&gt;"",0),0)),"")</f>
        <v/>
      </c>
      <c r="J11" s="10">
        <f>IFERROR(MIN(IF(C11:H11&lt;&gt;"",C11:H11)),"")</f>
        <v/>
      </c>
      <c r="K11" s="10">
        <f>IFERROR(MATCH(I11,C11:H11,0),"")</f>
        <v/>
      </c>
      <c r="L11" s="10">
        <f>IF(OR(I11="",J11=""),"",ROUND((I11-J11)/I11*100,1))</f>
        <v/>
      </c>
      <c r="M11" s="10">
        <f>IF(L11="","",IF(L11&gt;=22,"是","否"))</f>
        <v/>
      </c>
      <c r="N11" s="10">
        <f>IF(J11="","",IF(J11&lt;0.15,"是","否"))</f>
        <v/>
      </c>
      <c r="O11" s="10">
        <f>IF(I11="","",IF(J11&lt;0.15,"SAFETY_STOP",IF(L11&gt;=22,"VL_THRESHOLD","PLANNED_END")))</f>
        <v/>
      </c>
      <c r="P11" s="10">
        <f>IF(I11="","",IF(I11&gt;($D$2+0.05),"+5kg",IF(I11&gt;($D$2+0.02),"+2.5kg",IF(I11&gt;=($D$2-0.05),"保持",IF(I11&gt;=($D$2-0.08),"-2.5kg","-5kg")))))</f>
        <v/>
      </c>
      <c r="Q11" s="9" t="n"/>
      <c r="R11" s="12" t="n"/>
      <c r="S11" s="12" t="n"/>
      <c r="T11" s="12" t="n"/>
    </row>
    <row r="12">
      <c r="A12" s="12" t="n">
        <v>3</v>
      </c>
      <c r="B12" s="9" t="n"/>
      <c r="C12" s="9" t="n"/>
      <c r="D12" s="9" t="n"/>
      <c r="E12" s="9" t="n"/>
      <c r="F12" s="9" t="n"/>
      <c r="G12" s="9" t="n"/>
      <c r="H12" s="9" t="n"/>
      <c r="I12" s="10">
        <f>IFERROR(INDEX(C12:H12,MATCH(TRUE,INDEX(C12:H12&lt;&gt;"",0),0)),"")</f>
        <v/>
      </c>
      <c r="J12" s="10">
        <f>IFERROR(MIN(IF(C12:H12&lt;&gt;"",C12:H12)),"")</f>
        <v/>
      </c>
      <c r="K12" s="10">
        <f>IFERROR(MATCH(I12,C12:H12,0),"")</f>
        <v/>
      </c>
      <c r="L12" s="10">
        <f>IF(OR(I12="",J12=""),"",ROUND((I12-J12)/I12*100,1))</f>
        <v/>
      </c>
      <c r="M12" s="10">
        <f>IF(L12="","",IF(L12&gt;=22,"是","否"))</f>
        <v/>
      </c>
      <c r="N12" s="10">
        <f>IF(J12="","",IF(J12&lt;0.15,"是","否"))</f>
        <v/>
      </c>
      <c r="O12" s="10">
        <f>IF(I12="","",IF(J12&lt;0.15,"SAFETY_STOP",IF(L12&gt;=22,"VL_THRESHOLD","PLANNED_END")))</f>
        <v/>
      </c>
      <c r="P12" s="10">
        <f>IF(I12="","",IF(I12&gt;($D$2+0.05),"+5kg",IF(I12&gt;($D$2+0.02),"+2.5kg",IF(I12&gt;=($D$2-0.05),"保持",IF(I12&gt;=($D$2-0.08),"-2.5kg","-5kg")))))</f>
        <v/>
      </c>
      <c r="Q12" s="9" t="n"/>
      <c r="R12" s="12" t="n"/>
      <c r="S12" s="12" t="n"/>
      <c r="T12" s="12" t="n"/>
    </row>
    <row r="13">
      <c r="A13" s="12" t="n">
        <v>4</v>
      </c>
      <c r="B13" s="9" t="n"/>
      <c r="C13" s="9" t="n"/>
      <c r="D13" s="9" t="n"/>
      <c r="E13" s="9" t="n"/>
      <c r="F13" s="9" t="n"/>
      <c r="G13" s="9" t="n"/>
      <c r="H13" s="9" t="n"/>
      <c r="I13" s="10">
        <f>IFERROR(INDEX(C13:H13,MATCH(TRUE,INDEX(C13:H13&lt;&gt;"",0),0)),"")</f>
        <v/>
      </c>
      <c r="J13" s="10">
        <f>IFERROR(MIN(IF(C13:H13&lt;&gt;"",C13:H13)),"")</f>
        <v/>
      </c>
      <c r="K13" s="10">
        <f>IFERROR(MATCH(I13,C13:H13,0),"")</f>
        <v/>
      </c>
      <c r="L13" s="10">
        <f>IF(OR(I13="",J13=""),"",ROUND((I13-J13)/I13*100,1))</f>
        <v/>
      </c>
      <c r="M13" s="10">
        <f>IF(L13="","",IF(L13&gt;=22,"是","否"))</f>
        <v/>
      </c>
      <c r="N13" s="10">
        <f>IF(J13="","",IF(J13&lt;0.15,"是","否"))</f>
        <v/>
      </c>
      <c r="O13" s="10">
        <f>IF(I13="","",IF(J13&lt;0.15,"SAFETY_STOP",IF(L13&gt;=22,"VL_THRESHOLD","PLANNED_END")))</f>
        <v/>
      </c>
      <c r="P13" s="10">
        <f>IF(I13="","",IF(I13&gt;($D$2+0.05),"+5kg",IF(I13&gt;($D$2+0.02),"+2.5kg",IF(I13&gt;=($D$2-0.05),"保持",IF(I13&gt;=($D$2-0.08),"-2.5kg","-5kg")))))</f>
        <v/>
      </c>
      <c r="Q13" s="9" t="n"/>
      <c r="R13" s="12" t="n"/>
      <c r="S13" s="12" t="n"/>
      <c r="T13" s="12" t="n"/>
    </row>
    <row r="14">
      <c r="A14" s="12" t="n">
        <v>5</v>
      </c>
      <c r="B14" s="9" t="n"/>
      <c r="C14" s="9" t="n"/>
      <c r="D14" s="9" t="n"/>
      <c r="E14" s="9" t="n"/>
      <c r="F14" s="9" t="n"/>
      <c r="G14" s="9" t="n"/>
      <c r="H14" s="9" t="n"/>
      <c r="I14" s="10">
        <f>IFERROR(INDEX(C14:H14,MATCH(TRUE,INDEX(C14:H14&lt;&gt;"",0),0)),"")</f>
        <v/>
      </c>
      <c r="J14" s="10">
        <f>IFERROR(MIN(IF(C14:H14&lt;&gt;"",C14:H14)),"")</f>
        <v/>
      </c>
      <c r="K14" s="10">
        <f>IFERROR(MATCH(I14,C14:H14,0),"")</f>
        <v/>
      </c>
      <c r="L14" s="10">
        <f>IF(OR(I14="",J14=""),"",ROUND((I14-J14)/I14*100,1))</f>
        <v/>
      </c>
      <c r="M14" s="10">
        <f>IF(L14="","",IF(L14&gt;=22,"是","否"))</f>
        <v/>
      </c>
      <c r="N14" s="10">
        <f>IF(J14="","",IF(J14&lt;0.15,"是","否"))</f>
        <v/>
      </c>
      <c r="O14" s="10">
        <f>IF(I14="","",IF(J14&lt;0.15,"SAFETY_STOP",IF(L14&gt;=22,"VL_THRESHOLD","PLANNED_END")))</f>
        <v/>
      </c>
      <c r="P14" s="10">
        <f>IF(I14="","",IF(I14&gt;($D$2+0.05),"+5kg",IF(I14&gt;($D$2+0.02),"+2.5kg",IF(I14&gt;=($D$2-0.05),"保持",IF(I14&gt;=($D$2-0.08),"-2.5kg","-5kg")))))</f>
        <v/>
      </c>
      <c r="Q14" s="9" t="n"/>
      <c r="R14" s="12" t="n"/>
      <c r="S14" s="12" t="n"/>
      <c r="T14" s="12" t="n"/>
    </row>
    <row r="15">
      <c r="A15" s="12" t="n">
        <v>6</v>
      </c>
      <c r="B15" s="9" t="n"/>
      <c r="C15" s="9" t="n"/>
      <c r="D15" s="9" t="n"/>
      <c r="E15" s="9" t="n"/>
      <c r="F15" s="9" t="n"/>
      <c r="G15" s="9" t="n"/>
      <c r="H15" s="9" t="n"/>
      <c r="I15" s="10">
        <f>IFERROR(INDEX(C15:H15,MATCH(TRUE,INDEX(C15:H15&lt;&gt;"",0),0)),"")</f>
        <v/>
      </c>
      <c r="J15" s="10">
        <f>IFERROR(MIN(IF(C15:H15&lt;&gt;"",C15:H15)),"")</f>
        <v/>
      </c>
      <c r="K15" s="10">
        <f>IFERROR(MATCH(I15,C15:H15,0),"")</f>
        <v/>
      </c>
      <c r="L15" s="10">
        <f>IF(OR(I15="",J15=""),"",ROUND((I15-J15)/I15*100,1))</f>
        <v/>
      </c>
      <c r="M15" s="10">
        <f>IF(L15="","",IF(L15&gt;=22,"是","否"))</f>
        <v/>
      </c>
      <c r="N15" s="10">
        <f>IF(J15="","",IF(J15&lt;0.15,"是","否"))</f>
        <v/>
      </c>
      <c r="O15" s="10">
        <f>IF(I15="","",IF(J15&lt;0.15,"SAFETY_STOP",IF(L15&gt;=22,"VL_THRESHOLD","PLANNED_END")))</f>
        <v/>
      </c>
      <c r="P15" s="10">
        <f>IF(I15="","",IF(I15&gt;($D$2+0.05),"+5kg",IF(I15&gt;($D$2+0.02),"+2.5kg",IF(I15&gt;=($D$2-0.05),"保持",IF(I15&gt;=($D$2-0.08),"-2.5kg","-5kg")))))</f>
        <v/>
      </c>
      <c r="Q15" s="9" t="n"/>
      <c r="R15" s="12" t="n"/>
      <c r="S15" s="12" t="n"/>
      <c r="T15" s="12" t="n"/>
    </row>
    <row r="16">
      <c r="A16" s="8" t="inlineStr">
        <is>
          <t>辅助动作</t>
        </is>
      </c>
      <c r="B16" s="8" t="inlineStr">
        <is>
          <t>动作名称</t>
        </is>
      </c>
      <c r="C16" s="8" t="inlineStr">
        <is>
          <t>负荷kg</t>
        </is>
      </c>
      <c r="D16" s="8" t="inlineStr">
        <is>
          <t>完成(组×次)</t>
        </is>
      </c>
    </row>
    <row r="17">
      <c r="A17" s="9" t="inlineStr"/>
      <c r="B17" s="9" t="n"/>
      <c r="C17" s="9" t="n"/>
      <c r="D17" s="9" t="n"/>
    </row>
    <row r="18">
      <c r="A18" s="8" t="inlineStr">
        <is>
          <t>训练后</t>
        </is>
      </c>
      <c r="B18" s="8" t="inlineStr">
        <is>
          <t>开始时间</t>
        </is>
      </c>
      <c r="C18" s="8" t="inlineStr">
        <is>
          <t>结束时间</t>
        </is>
      </c>
      <c r="D18" s="8" t="inlineStr">
        <is>
          <t>总时长min</t>
        </is>
      </c>
      <c r="E18" s="8" t="inlineStr">
        <is>
          <t>sRPE</t>
        </is>
      </c>
      <c r="F18" s="8" t="inlineStr">
        <is>
          <t>session_load</t>
        </is>
      </c>
      <c r="G18" s="8" t="inlineStr">
        <is>
          <t>有无不适</t>
        </is>
      </c>
      <c r="H18" s="8" t="inlineStr">
        <is>
          <t>备注</t>
        </is>
      </c>
      <c r="I18" s="8" t="inlineStr">
        <is>
          <t>研究员签名</t>
        </is>
      </c>
    </row>
    <row r="19">
      <c r="A19" s="13" t="inlineStr"/>
      <c r="B19" s="13" t="n"/>
      <c r="C19" s="13" t="n"/>
      <c r="D19" s="10">
        <f>IF(OR(B19="",C19=""),"",(C19-B19)*1440)</f>
        <v/>
      </c>
      <c r="E19" s="13" t="n"/>
      <c r="F19" s="10">
        <f>IF(OR(D19="",E19=""),"",D19*E19)</f>
        <v/>
      </c>
      <c r="G19" s="13" t="n"/>
      <c r="H19" s="13" t="n"/>
      <c r="I19" s="13" t="n"/>
    </row>
    <row r="21">
      <c r="A21" s="5" t="inlineStr">
        <is>
          <t>── P005 曾庆华 ──────────────────────────────────────────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inlineStr">
        <is>
          <t>编号</t>
        </is>
      </c>
      <c r="B22" s="8" t="inlineStr">
        <is>
          <t>姓名</t>
        </is>
      </c>
      <c r="C22" s="8" t="inlineStr">
        <is>
          <t>身高</t>
        </is>
      </c>
      <c r="D22" s="8" t="inlineStr">
        <is>
          <t>1RM</t>
        </is>
      </c>
      <c r="E22" s="8" t="inlineStr">
        <is>
          <t>睡眠</t>
        </is>
      </c>
      <c r="F22" s="8" t="inlineStr">
        <is>
          <t>压力</t>
        </is>
      </c>
      <c r="G22" s="8" t="inlineStr">
        <is>
          <t>疲劳</t>
        </is>
      </c>
      <c r="H22" s="8" t="inlineStr">
        <is>
          <t>酸痛</t>
        </is>
      </c>
      <c r="I22" s="8" t="inlineStr">
        <is>
          <t>Hooper总</t>
        </is>
      </c>
      <c r="J22" s="8" t="inlineStr">
        <is>
          <t>CMJ1</t>
        </is>
      </c>
      <c r="K22" s="8" t="inlineStr">
        <is>
          <t>CMJ2</t>
        </is>
      </c>
      <c r="L22" s="8" t="inlineStr">
        <is>
          <t>CMJ3</t>
        </is>
      </c>
      <c r="M22" s="8" t="inlineStr">
        <is>
          <t>CMJ均值</t>
        </is>
      </c>
      <c r="N22" s="8" t="inlineStr">
        <is>
          <t>&lt;95%?</t>
        </is>
      </c>
      <c r="O22" s="8" t="inlineStr">
        <is>
          <t>减组?</t>
        </is>
      </c>
      <c r="P22" s="8" t="inlineStr">
        <is>
          <t>实做组数</t>
        </is>
      </c>
      <c r="Q22" s="8" t="inlineStr">
        <is>
          <t>LVP_a</t>
        </is>
      </c>
      <c r="R22" s="8" t="inlineStr">
        <is>
          <t>LVP_b</t>
        </is>
      </c>
      <c r="S22" s="8" t="inlineStr">
        <is>
          <t>等级</t>
        </is>
      </c>
      <c r="T22" s="8" t="inlineStr">
        <is>
          <t>预测起始</t>
        </is>
      </c>
    </row>
    <row r="23">
      <c r="A23" s="9" t="inlineStr">
        <is>
          <t>P005</t>
        </is>
      </c>
      <c r="B23" s="9" t="inlineStr">
        <is>
          <t>曾庆华</t>
        </is>
      </c>
      <c r="C23" s="9" t="n">
        <v>177</v>
      </c>
      <c r="D23" s="9" t="n">
        <v>155</v>
      </c>
      <c r="E23" s="9" t="n"/>
      <c r="F23" s="9" t="n"/>
      <c r="G23" s="9" t="n"/>
      <c r="H23" s="9" t="n"/>
      <c r="I23" s="10">
        <f>IFERROR(SUM(E23:H23),"")</f>
        <v/>
      </c>
      <c r="J23" s="9" t="n"/>
      <c r="K23" s="9" t="n"/>
      <c r="L23" s="9" t="n"/>
      <c r="M23" s="10">
        <f>IFERROR(AVERAGE(J23:L23),"")</f>
        <v/>
      </c>
      <c r="N23" s="10">
        <f>IF(M23="","",IF(M23&lt;57.57,"是⚠","否"))</f>
        <v/>
      </c>
      <c r="O23" s="10">
        <f>IF(M23="","",IF(M23&lt;57.57,"减1组","正常"))</f>
        <v/>
      </c>
      <c r="P23" s="10">
        <f>IF(M23="","",IF(M23&lt;57.57,5-1,5))</f>
        <v/>
      </c>
      <c r="Q23" s="9" t="n">
        <v>1.775</v>
      </c>
      <c r="R23" s="9" t="n">
        <v>-0.008750000000000001</v>
      </c>
      <c r="S23" s="9" t="inlineStr">
        <is>
          <t>B</t>
        </is>
      </c>
      <c r="T23" s="10">
        <f>IFERROR(ROUND((0.55-1.775)/-0.00875,0.5),"")</f>
        <v/>
      </c>
    </row>
    <row r="24">
      <c r="A24" s="8" t="inlineStr">
        <is>
          <t>热身校准</t>
        </is>
      </c>
      <c r="B24" s="8" t="inlineStr">
        <is>
          <t>LVP_a</t>
        </is>
      </c>
      <c r="C24" s="8" t="inlineStr">
        <is>
          <t>LVP_b</t>
        </is>
      </c>
      <c r="D24" s="8" t="inlineStr">
        <is>
          <t>50%热身kg</t>
        </is>
      </c>
      <c r="E24" s="8" t="inlineStr">
        <is>
          <t>70%热身kg</t>
        </is>
      </c>
      <c r="F24" s="8" t="inlineStr">
        <is>
          <t>热身负荷kg</t>
        </is>
      </c>
      <c r="G24" s="8" t="inlineStr">
        <is>
          <t>实测MCV</t>
        </is>
      </c>
      <c r="H24" s="8" t="inlineStr">
        <is>
          <t>预测MCV</t>
        </is>
      </c>
      <c r="I24" s="8" t="inlineStr">
        <is>
          <t>Δv</t>
        </is>
      </c>
      <c r="J24" s="8" t="inlineStr">
        <is>
          <t>调整量kg</t>
        </is>
      </c>
      <c r="K24" s="8" t="inlineStr">
        <is>
          <t>校准后第1组kg</t>
        </is>
      </c>
    </row>
    <row r="25">
      <c r="A25" s="11" t="inlineStr"/>
      <c r="B25" s="11" t="n">
        <v>1.775</v>
      </c>
      <c r="C25" s="11" t="n">
        <v>-0.008750000000000001</v>
      </c>
      <c r="D25" s="10">
        <f>IFERROR(ROUND(T23*0.5,2.5),"")</f>
        <v/>
      </c>
      <c r="E25" s="10">
        <f>IFERROR(ROUND(T23*0.7,2.5),"")</f>
        <v/>
      </c>
      <c r="F25" s="10">
        <f>E25</f>
        <v/>
      </c>
      <c r="G25" s="9" t="n"/>
      <c r="H25" s="10">
        <f>IF(F25="","",B25+C25*F25)</f>
        <v/>
      </c>
      <c r="I25" s="10">
        <f>IF(OR(G25="",H25=""),"",G25-H25)</f>
        <v/>
      </c>
      <c r="J25" s="10">
        <f>IF(I25="","",IF(I25&gt;0.08,5,IF(I25&gt;0.04,2.5,IF(I25&gt;=-0.04,0,IF(I25&gt;=-0.08,-2.5,-5)))))</f>
        <v/>
      </c>
      <c r="K25" s="10">
        <f>IFERROR(ROUND(T23+J25,2.5),"")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8" t="inlineStr">
        <is>
          <t>组次</t>
        </is>
      </c>
      <c r="B26" s="8" t="inlineStr">
        <is>
          <t>负荷kg</t>
        </is>
      </c>
      <c r="C26" s="8" t="inlineStr">
        <is>
          <t>rep1</t>
        </is>
      </c>
      <c r="D26" s="8" t="inlineStr">
        <is>
          <t>rep2</t>
        </is>
      </c>
      <c r="E26" s="8" t="inlineStr">
        <is>
          <t>rep3</t>
        </is>
      </c>
      <c r="F26" s="8" t="inlineStr">
        <is>
          <t>rep4</t>
        </is>
      </c>
      <c r="G26" s="8" t="inlineStr">
        <is>
          <t>rep5</t>
        </is>
      </c>
      <c r="H26" s="8" t="inlineStr">
        <is>
          <t>rep6</t>
        </is>
      </c>
      <c r="I26" s="8" t="inlineStr">
        <is>
          <t>首rep</t>
        </is>
      </c>
      <c r="J26" s="8" t="inlineStr">
        <is>
          <t>最低速</t>
        </is>
      </c>
      <c r="K26" s="8" t="inlineStr">
        <is>
          <t>最低rep#</t>
        </is>
      </c>
      <c r="L26" s="8" t="inlineStr">
        <is>
          <t>VL%</t>
        </is>
      </c>
      <c r="M26" s="8" t="inlineStr">
        <is>
          <t>VL达标?</t>
        </is>
      </c>
      <c r="N26" s="8" t="inlineStr">
        <is>
          <t>安全停止?</t>
        </is>
      </c>
      <c r="O26" s="8" t="inlineStr">
        <is>
          <t>停组原因</t>
        </is>
      </c>
      <c r="P26" s="8" t="inlineStr">
        <is>
          <t>下组建议</t>
        </is>
      </c>
      <c r="Q26" s="8" t="inlineStr">
        <is>
          <t>实做次数</t>
        </is>
      </c>
    </row>
    <row r="27">
      <c r="A27" s="12" t="n">
        <v>1</v>
      </c>
      <c r="B27" s="10">
        <f>IF(K25="","",K25)</f>
        <v/>
      </c>
      <c r="C27" s="9" t="n"/>
      <c r="D27" s="9" t="n"/>
      <c r="E27" s="9" t="n"/>
      <c r="F27" s="9" t="n"/>
      <c r="G27" s="9" t="n"/>
      <c r="H27" s="9" t="n"/>
      <c r="I27" s="10">
        <f>IFERROR(INDEX(C27:H27,MATCH(TRUE,INDEX(C27:H27&lt;&gt;"",0),0)),"")</f>
        <v/>
      </c>
      <c r="J27" s="10">
        <f>IFERROR(MIN(IF(C27:H27&lt;&gt;"",C27:H27)),"")</f>
        <v/>
      </c>
      <c r="K27" s="10">
        <f>IFERROR(MATCH(I27,C27:H27,0),"")</f>
        <v/>
      </c>
      <c r="L27" s="10">
        <f>IF(OR(I27="",J27=""),"",ROUND((I27-J27)/I27*100,1))</f>
        <v/>
      </c>
      <c r="M27" s="10">
        <f>IF(L27="","",IF(L27&gt;=22,"是","否"))</f>
        <v/>
      </c>
      <c r="N27" s="10">
        <f>IF(J27="","",IF(J27&lt;0.15,"是","否"))</f>
        <v/>
      </c>
      <c r="O27" s="10">
        <f>IF(I27="","",IF(J27&lt;0.15,"SAFETY_STOP",IF(L27&gt;=22,"VL_THRESHOLD","PLANNED_END")))</f>
        <v/>
      </c>
      <c r="P27" s="10">
        <f>IF(I27="","",IF(I27&gt;($D$2+0.05),"+5kg",IF(I27&gt;($D$2+0.02),"+2.5kg",IF(I27&gt;=($D$2-0.05),"保持",IF(I27&gt;=($D$2-0.08),"-2.5kg","-5kg")))))</f>
        <v/>
      </c>
      <c r="Q27" s="9" t="n"/>
      <c r="R27" s="12" t="n"/>
      <c r="S27" s="12" t="n"/>
      <c r="T27" s="12" t="n"/>
    </row>
    <row r="28">
      <c r="A28" s="12" t="n">
        <v>2</v>
      </c>
      <c r="B28" s="9" t="n"/>
      <c r="C28" s="9" t="n"/>
      <c r="D28" s="9" t="n"/>
      <c r="E28" s="9" t="n"/>
      <c r="F28" s="9" t="n"/>
      <c r="G28" s="9" t="n"/>
      <c r="H28" s="9" t="n"/>
      <c r="I28" s="10">
        <f>IFERROR(INDEX(C28:H28,MATCH(TRUE,INDEX(C28:H28&lt;&gt;"",0),0)),"")</f>
        <v/>
      </c>
      <c r="J28" s="10">
        <f>IFERROR(MIN(IF(C28:H28&lt;&gt;"",C28:H28)),"")</f>
        <v/>
      </c>
      <c r="K28" s="10">
        <f>IFERROR(MATCH(I28,C28:H28,0),"")</f>
        <v/>
      </c>
      <c r="L28" s="10">
        <f>IF(OR(I28="",J28=""),"",ROUND((I28-J28)/I28*100,1))</f>
        <v/>
      </c>
      <c r="M28" s="10">
        <f>IF(L28="","",IF(L28&gt;=22,"是","否"))</f>
        <v/>
      </c>
      <c r="N28" s="10">
        <f>IF(J28="","",IF(J28&lt;0.15,"是","否"))</f>
        <v/>
      </c>
      <c r="O28" s="10">
        <f>IF(I28="","",IF(J28&lt;0.15,"SAFETY_STOP",IF(L28&gt;=22,"VL_THRESHOLD","PLANNED_END")))</f>
        <v/>
      </c>
      <c r="P28" s="10">
        <f>IF(I28="","",IF(I28&gt;($D$2+0.05),"+5kg",IF(I28&gt;($D$2+0.02),"+2.5kg",IF(I28&gt;=($D$2-0.05),"保持",IF(I28&gt;=($D$2-0.08),"-2.5kg","-5kg")))))</f>
        <v/>
      </c>
      <c r="Q28" s="9" t="n"/>
      <c r="R28" s="12" t="n"/>
      <c r="S28" s="12" t="n"/>
      <c r="T28" s="12" t="n"/>
    </row>
    <row r="29">
      <c r="A29" s="12" t="n">
        <v>3</v>
      </c>
      <c r="B29" s="9" t="n"/>
      <c r="C29" s="9" t="n"/>
      <c r="D29" s="9" t="n"/>
      <c r="E29" s="9" t="n"/>
      <c r="F29" s="9" t="n"/>
      <c r="G29" s="9" t="n"/>
      <c r="H29" s="9" t="n"/>
      <c r="I29" s="10">
        <f>IFERROR(INDEX(C29:H29,MATCH(TRUE,INDEX(C29:H29&lt;&gt;"",0),0)),"")</f>
        <v/>
      </c>
      <c r="J29" s="10">
        <f>IFERROR(MIN(IF(C29:H29&lt;&gt;"",C29:H29)),"")</f>
        <v/>
      </c>
      <c r="K29" s="10">
        <f>IFERROR(MATCH(I29,C29:H29,0),"")</f>
        <v/>
      </c>
      <c r="L29" s="10">
        <f>IF(OR(I29="",J29=""),"",ROUND((I29-J29)/I29*100,1))</f>
        <v/>
      </c>
      <c r="M29" s="10">
        <f>IF(L29="","",IF(L29&gt;=22,"是","否"))</f>
        <v/>
      </c>
      <c r="N29" s="10">
        <f>IF(J29="","",IF(J29&lt;0.15,"是","否"))</f>
        <v/>
      </c>
      <c r="O29" s="10">
        <f>IF(I29="","",IF(J29&lt;0.15,"SAFETY_STOP",IF(L29&gt;=22,"VL_THRESHOLD","PLANNED_END")))</f>
        <v/>
      </c>
      <c r="P29" s="10">
        <f>IF(I29="","",IF(I29&gt;($D$2+0.05),"+5kg",IF(I29&gt;($D$2+0.02),"+2.5kg",IF(I29&gt;=($D$2-0.05),"保持",IF(I29&gt;=($D$2-0.08),"-2.5kg","-5kg")))))</f>
        <v/>
      </c>
      <c r="Q29" s="9" t="n"/>
      <c r="R29" s="12" t="n"/>
      <c r="S29" s="12" t="n"/>
      <c r="T29" s="12" t="n"/>
    </row>
    <row r="30">
      <c r="A30" s="12" t="n">
        <v>4</v>
      </c>
      <c r="B30" s="9" t="n"/>
      <c r="C30" s="9" t="n"/>
      <c r="D30" s="9" t="n"/>
      <c r="E30" s="9" t="n"/>
      <c r="F30" s="9" t="n"/>
      <c r="G30" s="9" t="n"/>
      <c r="H30" s="9" t="n"/>
      <c r="I30" s="10">
        <f>IFERROR(INDEX(C30:H30,MATCH(TRUE,INDEX(C30:H30&lt;&gt;"",0),0)),"")</f>
        <v/>
      </c>
      <c r="J30" s="10">
        <f>IFERROR(MIN(IF(C30:H30&lt;&gt;"",C30:H30)),"")</f>
        <v/>
      </c>
      <c r="K30" s="10">
        <f>IFERROR(MATCH(I30,C30:H30,0),"")</f>
        <v/>
      </c>
      <c r="L30" s="10">
        <f>IF(OR(I30="",J30=""),"",ROUND((I30-J30)/I30*100,1))</f>
        <v/>
      </c>
      <c r="M30" s="10">
        <f>IF(L30="","",IF(L30&gt;=22,"是","否"))</f>
        <v/>
      </c>
      <c r="N30" s="10">
        <f>IF(J30="","",IF(J30&lt;0.15,"是","否"))</f>
        <v/>
      </c>
      <c r="O30" s="10">
        <f>IF(I30="","",IF(J30&lt;0.15,"SAFETY_STOP",IF(L30&gt;=22,"VL_THRESHOLD","PLANNED_END")))</f>
        <v/>
      </c>
      <c r="P30" s="10">
        <f>IF(I30="","",IF(I30&gt;($D$2+0.05),"+5kg",IF(I30&gt;($D$2+0.02),"+2.5kg",IF(I30&gt;=($D$2-0.05),"保持",IF(I30&gt;=($D$2-0.08),"-2.5kg","-5kg")))))</f>
        <v/>
      </c>
      <c r="Q30" s="9" t="n"/>
      <c r="R30" s="12" t="n"/>
      <c r="S30" s="12" t="n"/>
      <c r="T30" s="12" t="n"/>
    </row>
    <row r="31">
      <c r="A31" s="12" t="n">
        <v>5</v>
      </c>
      <c r="B31" s="9" t="n"/>
      <c r="C31" s="9" t="n"/>
      <c r="D31" s="9" t="n"/>
      <c r="E31" s="9" t="n"/>
      <c r="F31" s="9" t="n"/>
      <c r="G31" s="9" t="n"/>
      <c r="H31" s="9" t="n"/>
      <c r="I31" s="10">
        <f>IFERROR(INDEX(C31:H31,MATCH(TRUE,INDEX(C31:H31&lt;&gt;"",0),0)),"")</f>
        <v/>
      </c>
      <c r="J31" s="10">
        <f>IFERROR(MIN(IF(C31:H31&lt;&gt;"",C31:H31)),"")</f>
        <v/>
      </c>
      <c r="K31" s="10">
        <f>IFERROR(MATCH(I31,C31:H31,0),"")</f>
        <v/>
      </c>
      <c r="L31" s="10">
        <f>IF(OR(I31="",J31=""),"",ROUND((I31-J31)/I31*100,1))</f>
        <v/>
      </c>
      <c r="M31" s="10">
        <f>IF(L31="","",IF(L31&gt;=22,"是","否"))</f>
        <v/>
      </c>
      <c r="N31" s="10">
        <f>IF(J31="","",IF(J31&lt;0.15,"是","否"))</f>
        <v/>
      </c>
      <c r="O31" s="10">
        <f>IF(I31="","",IF(J31&lt;0.15,"SAFETY_STOP",IF(L31&gt;=22,"VL_THRESHOLD","PLANNED_END")))</f>
        <v/>
      </c>
      <c r="P31" s="10">
        <f>IF(I31="","",IF(I31&gt;($D$2+0.05),"+5kg",IF(I31&gt;($D$2+0.02),"+2.5kg",IF(I31&gt;=($D$2-0.05),"保持",IF(I31&gt;=($D$2-0.08),"-2.5kg","-5kg")))))</f>
        <v/>
      </c>
      <c r="Q31" s="9" t="n"/>
      <c r="R31" s="12" t="n"/>
      <c r="S31" s="12" t="n"/>
      <c r="T31" s="12" t="n"/>
    </row>
    <row r="32">
      <c r="A32" s="12" t="n">
        <v>6</v>
      </c>
      <c r="B32" s="9" t="n"/>
      <c r="C32" s="9" t="n"/>
      <c r="D32" s="9" t="n"/>
      <c r="E32" s="9" t="n"/>
      <c r="F32" s="9" t="n"/>
      <c r="G32" s="9" t="n"/>
      <c r="H32" s="9" t="n"/>
      <c r="I32" s="10">
        <f>IFERROR(INDEX(C32:H32,MATCH(TRUE,INDEX(C32:H32&lt;&gt;"",0),0)),"")</f>
        <v/>
      </c>
      <c r="J32" s="10">
        <f>IFERROR(MIN(IF(C32:H32&lt;&gt;"",C32:H32)),"")</f>
        <v/>
      </c>
      <c r="K32" s="10">
        <f>IFERROR(MATCH(I32,C32:H32,0),"")</f>
        <v/>
      </c>
      <c r="L32" s="10">
        <f>IF(OR(I32="",J32=""),"",ROUND((I32-J32)/I32*100,1))</f>
        <v/>
      </c>
      <c r="M32" s="10">
        <f>IF(L32="","",IF(L32&gt;=22,"是","否"))</f>
        <v/>
      </c>
      <c r="N32" s="10">
        <f>IF(J32="","",IF(J32&lt;0.15,"是","否"))</f>
        <v/>
      </c>
      <c r="O32" s="10">
        <f>IF(I32="","",IF(J32&lt;0.15,"SAFETY_STOP",IF(L32&gt;=22,"VL_THRESHOLD","PLANNED_END")))</f>
        <v/>
      </c>
      <c r="P32" s="10">
        <f>IF(I32="","",IF(I32&gt;($D$2+0.05),"+5kg",IF(I32&gt;($D$2+0.02),"+2.5kg",IF(I32&gt;=($D$2-0.05),"保持",IF(I32&gt;=($D$2-0.08),"-2.5kg","-5kg")))))</f>
        <v/>
      </c>
      <c r="Q32" s="9" t="n"/>
      <c r="R32" s="12" t="n"/>
      <c r="S32" s="12" t="n"/>
      <c r="T32" s="12" t="n"/>
    </row>
    <row r="33">
      <c r="A33" s="8" t="inlineStr">
        <is>
          <t>辅助动作</t>
        </is>
      </c>
      <c r="B33" s="8" t="inlineStr">
        <is>
          <t>动作名称</t>
        </is>
      </c>
      <c r="C33" s="8" t="inlineStr">
        <is>
          <t>负荷kg</t>
        </is>
      </c>
      <c r="D33" s="8" t="inlineStr">
        <is>
          <t>完成(组×次)</t>
        </is>
      </c>
    </row>
    <row r="34">
      <c r="A34" s="9" t="inlineStr"/>
      <c r="B34" s="9" t="n"/>
      <c r="C34" s="9" t="n"/>
      <c r="D34" s="9" t="n"/>
    </row>
    <row r="35">
      <c r="A35" s="8" t="inlineStr">
        <is>
          <t>训练后</t>
        </is>
      </c>
      <c r="B35" s="8" t="inlineStr">
        <is>
          <t>开始时间</t>
        </is>
      </c>
      <c r="C35" s="8" t="inlineStr">
        <is>
          <t>结束时间</t>
        </is>
      </c>
      <c r="D35" s="8" t="inlineStr">
        <is>
          <t>总时长min</t>
        </is>
      </c>
      <c r="E35" s="8" t="inlineStr">
        <is>
          <t>sRPE</t>
        </is>
      </c>
      <c r="F35" s="8" t="inlineStr">
        <is>
          <t>session_load</t>
        </is>
      </c>
      <c r="G35" s="8" t="inlineStr">
        <is>
          <t>有无不适</t>
        </is>
      </c>
      <c r="H35" s="8" t="inlineStr">
        <is>
          <t>备注</t>
        </is>
      </c>
      <c r="I35" s="8" t="inlineStr">
        <is>
          <t>研究员签名</t>
        </is>
      </c>
    </row>
    <row r="36">
      <c r="A36" s="13" t="inlineStr"/>
      <c r="B36" s="13" t="n"/>
      <c r="C36" s="13" t="n"/>
      <c r="D36" s="10">
        <f>IF(OR(B36="",C36=""),"",(C36-B36)*1440)</f>
        <v/>
      </c>
      <c r="E36" s="13" t="n"/>
      <c r="F36" s="10">
        <f>IF(OR(D36="",E36=""),"",D36*E36)</f>
        <v/>
      </c>
      <c r="G36" s="13" t="n"/>
      <c r="H36" s="13" t="n"/>
      <c r="I36" s="13" t="n"/>
    </row>
    <row r="38">
      <c r="A38" s="5" t="inlineStr">
        <is>
          <t>── P002 何天元 ──────────────────────────────────────────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</row>
    <row r="39">
      <c r="A39" s="8" t="inlineStr">
        <is>
          <t>编号</t>
        </is>
      </c>
      <c r="B39" s="8" t="inlineStr">
        <is>
          <t>姓名</t>
        </is>
      </c>
      <c r="C39" s="8" t="inlineStr">
        <is>
          <t>身高</t>
        </is>
      </c>
      <c r="D39" s="8" t="inlineStr">
        <is>
          <t>1RM</t>
        </is>
      </c>
      <c r="E39" s="8" t="inlineStr">
        <is>
          <t>睡眠</t>
        </is>
      </c>
      <c r="F39" s="8" t="inlineStr">
        <is>
          <t>压力</t>
        </is>
      </c>
      <c r="G39" s="8" t="inlineStr">
        <is>
          <t>疲劳</t>
        </is>
      </c>
      <c r="H39" s="8" t="inlineStr">
        <is>
          <t>酸痛</t>
        </is>
      </c>
      <c r="I39" s="8" t="inlineStr">
        <is>
          <t>Hooper总</t>
        </is>
      </c>
      <c r="J39" s="8" t="inlineStr">
        <is>
          <t>CMJ1</t>
        </is>
      </c>
      <c r="K39" s="8" t="inlineStr">
        <is>
          <t>CMJ2</t>
        </is>
      </c>
      <c r="L39" s="8" t="inlineStr">
        <is>
          <t>CMJ3</t>
        </is>
      </c>
      <c r="M39" s="8" t="inlineStr">
        <is>
          <t>CMJ均值</t>
        </is>
      </c>
      <c r="N39" s="8" t="inlineStr">
        <is>
          <t>&lt;95%?</t>
        </is>
      </c>
      <c r="O39" s="8" t="inlineStr">
        <is>
          <t>减组?</t>
        </is>
      </c>
      <c r="P39" s="8" t="inlineStr">
        <is>
          <t>实做组数</t>
        </is>
      </c>
      <c r="Q39" s="8" t="inlineStr">
        <is>
          <t>LVP_a</t>
        </is>
      </c>
      <c r="R39" s="8" t="inlineStr">
        <is>
          <t>LVP_b</t>
        </is>
      </c>
      <c r="S39" s="8" t="inlineStr">
        <is>
          <t>等级</t>
        </is>
      </c>
      <c r="T39" s="8" t="inlineStr">
        <is>
          <t>预测起始</t>
        </is>
      </c>
    </row>
    <row r="40">
      <c r="A40" s="9" t="inlineStr">
        <is>
          <t>P002</t>
        </is>
      </c>
      <c r="B40" s="9" t="inlineStr">
        <is>
          <t>何天元</t>
        </is>
      </c>
      <c r="C40" s="9" t="n">
        <v>178</v>
      </c>
      <c r="D40" s="9" t="n">
        <v>150</v>
      </c>
      <c r="E40" s="9" t="n"/>
      <c r="F40" s="9" t="n"/>
      <c r="G40" s="9" t="n"/>
      <c r="H40" s="9" t="n"/>
      <c r="I40" s="10">
        <f>IFERROR(SUM(E40:H40),"")</f>
        <v/>
      </c>
      <c r="J40" s="9" t="n"/>
      <c r="K40" s="9" t="n"/>
      <c r="L40" s="9" t="n"/>
      <c r="M40" s="10">
        <f>IFERROR(AVERAGE(J40:L40),"")</f>
        <v/>
      </c>
      <c r="N40" s="10">
        <f>IF(M40="","",IF(M40&lt;60.54,"是⚠","否"))</f>
        <v/>
      </c>
      <c r="O40" s="10">
        <f>IF(M40="","",IF(M40&lt;60.54,"减1组","正常"))</f>
        <v/>
      </c>
      <c r="P40" s="10">
        <f>IF(M40="","",IF(M40&lt;60.54,5-1,5))</f>
        <v/>
      </c>
      <c r="Q40" s="9" t="n">
        <v>1.291</v>
      </c>
      <c r="R40" s="9" t="n">
        <v>-0.0054</v>
      </c>
      <c r="S40" s="9" t="inlineStr">
        <is>
          <t>B</t>
        </is>
      </c>
      <c r="T40" s="10">
        <f>IFERROR(ROUND((0.55-1.291)/-0.0054,0.5),"")</f>
        <v/>
      </c>
    </row>
    <row r="41">
      <c r="A41" s="8" t="inlineStr">
        <is>
          <t>热身校准</t>
        </is>
      </c>
      <c r="B41" s="8" t="inlineStr">
        <is>
          <t>LVP_a</t>
        </is>
      </c>
      <c r="C41" s="8" t="inlineStr">
        <is>
          <t>LVP_b</t>
        </is>
      </c>
      <c r="D41" s="8" t="inlineStr">
        <is>
          <t>50%热身kg</t>
        </is>
      </c>
      <c r="E41" s="8" t="inlineStr">
        <is>
          <t>70%热身kg</t>
        </is>
      </c>
      <c r="F41" s="8" t="inlineStr">
        <is>
          <t>热身负荷kg</t>
        </is>
      </c>
      <c r="G41" s="8" t="inlineStr">
        <is>
          <t>实测MCV</t>
        </is>
      </c>
      <c r="H41" s="8" t="inlineStr">
        <is>
          <t>预测MCV</t>
        </is>
      </c>
      <c r="I41" s="8" t="inlineStr">
        <is>
          <t>Δv</t>
        </is>
      </c>
      <c r="J41" s="8" t="inlineStr">
        <is>
          <t>调整量kg</t>
        </is>
      </c>
      <c r="K41" s="8" t="inlineStr">
        <is>
          <t>校准后第1组kg</t>
        </is>
      </c>
    </row>
    <row r="42">
      <c r="A42" s="11" t="inlineStr"/>
      <c r="B42" s="11" t="n">
        <v>1.291</v>
      </c>
      <c r="C42" s="11" t="n">
        <v>-0.0054</v>
      </c>
      <c r="D42" s="10">
        <f>IFERROR(ROUND(T40*0.5,2.5),"")</f>
        <v/>
      </c>
      <c r="E42" s="10">
        <f>IFERROR(ROUND(T40*0.7,2.5),"")</f>
        <v/>
      </c>
      <c r="F42" s="10">
        <f>E42</f>
        <v/>
      </c>
      <c r="G42" s="9" t="n"/>
      <c r="H42" s="10">
        <f>IF(F42="","",B42+C42*F42)</f>
        <v/>
      </c>
      <c r="I42" s="10">
        <f>IF(OR(G42="",H42=""),"",G42-H42)</f>
        <v/>
      </c>
      <c r="J42" s="10">
        <f>IF(I42="","",IF(I42&gt;0.08,5,IF(I42&gt;0.04,2.5,IF(I42&gt;=-0.04,0,IF(I42&gt;=-0.08,-2.5,-5)))))</f>
        <v/>
      </c>
      <c r="K42" s="10">
        <f>IFERROR(ROUND(T40+J42,2.5),"")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8" t="inlineStr">
        <is>
          <t>组次</t>
        </is>
      </c>
      <c r="B43" s="8" t="inlineStr">
        <is>
          <t>负荷kg</t>
        </is>
      </c>
      <c r="C43" s="8" t="inlineStr">
        <is>
          <t>rep1</t>
        </is>
      </c>
      <c r="D43" s="8" t="inlineStr">
        <is>
          <t>rep2</t>
        </is>
      </c>
      <c r="E43" s="8" t="inlineStr">
        <is>
          <t>rep3</t>
        </is>
      </c>
      <c r="F43" s="8" t="inlineStr">
        <is>
          <t>rep4</t>
        </is>
      </c>
      <c r="G43" s="8" t="inlineStr">
        <is>
          <t>rep5</t>
        </is>
      </c>
      <c r="H43" s="8" t="inlineStr">
        <is>
          <t>rep6</t>
        </is>
      </c>
      <c r="I43" s="8" t="inlineStr">
        <is>
          <t>首rep</t>
        </is>
      </c>
      <c r="J43" s="8" t="inlineStr">
        <is>
          <t>最低速</t>
        </is>
      </c>
      <c r="K43" s="8" t="inlineStr">
        <is>
          <t>最低rep#</t>
        </is>
      </c>
      <c r="L43" s="8" t="inlineStr">
        <is>
          <t>VL%</t>
        </is>
      </c>
      <c r="M43" s="8" t="inlineStr">
        <is>
          <t>VL达标?</t>
        </is>
      </c>
      <c r="N43" s="8" t="inlineStr">
        <is>
          <t>安全停止?</t>
        </is>
      </c>
      <c r="O43" s="8" t="inlineStr">
        <is>
          <t>停组原因</t>
        </is>
      </c>
      <c r="P43" s="8" t="inlineStr">
        <is>
          <t>下组建议</t>
        </is>
      </c>
      <c r="Q43" s="8" t="inlineStr">
        <is>
          <t>实做次数</t>
        </is>
      </c>
    </row>
    <row r="44">
      <c r="A44" s="12" t="n">
        <v>1</v>
      </c>
      <c r="B44" s="10">
        <f>IF(K42="","",K42)</f>
        <v/>
      </c>
      <c r="C44" s="9" t="n"/>
      <c r="D44" s="9" t="n"/>
      <c r="E44" s="9" t="n"/>
      <c r="F44" s="9" t="n"/>
      <c r="G44" s="9" t="n"/>
      <c r="H44" s="9" t="n"/>
      <c r="I44" s="10">
        <f>IFERROR(INDEX(C44:H44,MATCH(TRUE,INDEX(C44:H44&lt;&gt;"",0),0)),"")</f>
        <v/>
      </c>
      <c r="J44" s="10">
        <f>IFERROR(MIN(IF(C44:H44&lt;&gt;"",C44:H44)),"")</f>
        <v/>
      </c>
      <c r="K44" s="10">
        <f>IFERROR(MATCH(I44,C44:H44,0),"")</f>
        <v/>
      </c>
      <c r="L44" s="10">
        <f>IF(OR(I44="",J44=""),"",ROUND((I44-J44)/I44*100,1))</f>
        <v/>
      </c>
      <c r="M44" s="10">
        <f>IF(L44="","",IF(L44&gt;=22,"是","否"))</f>
        <v/>
      </c>
      <c r="N44" s="10">
        <f>IF(J44="","",IF(J44&lt;0.15,"是","否"))</f>
        <v/>
      </c>
      <c r="O44" s="10">
        <f>IF(I44="","",IF(J44&lt;0.15,"SAFETY_STOP",IF(L44&gt;=22,"VL_THRESHOLD","PLANNED_END")))</f>
        <v/>
      </c>
      <c r="P44" s="10">
        <f>IF(I44="","",IF(I44&gt;($D$2+0.05),"+5kg",IF(I44&gt;($D$2+0.02),"+2.5kg",IF(I44&gt;=($D$2-0.05),"保持",IF(I44&gt;=($D$2-0.08),"-2.5kg","-5kg")))))</f>
        <v/>
      </c>
      <c r="Q44" s="9" t="n"/>
      <c r="R44" s="12" t="n"/>
      <c r="S44" s="12" t="n"/>
      <c r="T44" s="12" t="n"/>
    </row>
    <row r="45">
      <c r="A45" s="12" t="n">
        <v>2</v>
      </c>
      <c r="B45" s="9" t="n"/>
      <c r="C45" s="9" t="n"/>
      <c r="D45" s="9" t="n"/>
      <c r="E45" s="9" t="n"/>
      <c r="F45" s="9" t="n"/>
      <c r="G45" s="9" t="n"/>
      <c r="H45" s="9" t="n"/>
      <c r="I45" s="10">
        <f>IFERROR(INDEX(C45:H45,MATCH(TRUE,INDEX(C45:H45&lt;&gt;"",0),0)),"")</f>
        <v/>
      </c>
      <c r="J45" s="10">
        <f>IFERROR(MIN(IF(C45:H45&lt;&gt;"",C45:H45)),"")</f>
        <v/>
      </c>
      <c r="K45" s="10">
        <f>IFERROR(MATCH(I45,C45:H45,0),"")</f>
        <v/>
      </c>
      <c r="L45" s="10">
        <f>IF(OR(I45="",J45=""),"",ROUND((I45-J45)/I45*100,1))</f>
        <v/>
      </c>
      <c r="M45" s="10">
        <f>IF(L45="","",IF(L45&gt;=22,"是","否"))</f>
        <v/>
      </c>
      <c r="N45" s="10">
        <f>IF(J45="","",IF(J45&lt;0.15,"是","否"))</f>
        <v/>
      </c>
      <c r="O45" s="10">
        <f>IF(I45="","",IF(J45&lt;0.15,"SAFETY_STOP",IF(L45&gt;=22,"VL_THRESHOLD","PLANNED_END")))</f>
        <v/>
      </c>
      <c r="P45" s="10">
        <f>IF(I45="","",IF(I45&gt;($D$2+0.05),"+5kg",IF(I45&gt;($D$2+0.02),"+2.5kg",IF(I45&gt;=($D$2-0.05),"保持",IF(I45&gt;=($D$2-0.08),"-2.5kg","-5kg")))))</f>
        <v/>
      </c>
      <c r="Q45" s="9" t="n"/>
      <c r="R45" s="12" t="n"/>
      <c r="S45" s="12" t="n"/>
      <c r="T45" s="12" t="n"/>
    </row>
    <row r="46">
      <c r="A46" s="12" t="n">
        <v>3</v>
      </c>
      <c r="B46" s="9" t="n"/>
      <c r="C46" s="9" t="n"/>
      <c r="D46" s="9" t="n"/>
      <c r="E46" s="9" t="n"/>
      <c r="F46" s="9" t="n"/>
      <c r="G46" s="9" t="n"/>
      <c r="H46" s="9" t="n"/>
      <c r="I46" s="10">
        <f>IFERROR(INDEX(C46:H46,MATCH(TRUE,INDEX(C46:H46&lt;&gt;"",0),0)),"")</f>
        <v/>
      </c>
      <c r="J46" s="10">
        <f>IFERROR(MIN(IF(C46:H46&lt;&gt;"",C46:H46)),"")</f>
        <v/>
      </c>
      <c r="K46" s="10">
        <f>IFERROR(MATCH(I46,C46:H46,0),"")</f>
        <v/>
      </c>
      <c r="L46" s="10">
        <f>IF(OR(I46="",J46=""),"",ROUND((I46-J46)/I46*100,1))</f>
        <v/>
      </c>
      <c r="M46" s="10">
        <f>IF(L46="","",IF(L46&gt;=22,"是","否"))</f>
        <v/>
      </c>
      <c r="N46" s="10">
        <f>IF(J46="","",IF(J46&lt;0.15,"是","否"))</f>
        <v/>
      </c>
      <c r="O46" s="10">
        <f>IF(I46="","",IF(J46&lt;0.15,"SAFETY_STOP",IF(L46&gt;=22,"VL_THRESHOLD","PLANNED_END")))</f>
        <v/>
      </c>
      <c r="P46" s="10">
        <f>IF(I46="","",IF(I46&gt;($D$2+0.05),"+5kg",IF(I46&gt;($D$2+0.02),"+2.5kg",IF(I46&gt;=($D$2-0.05),"保持",IF(I46&gt;=($D$2-0.08),"-2.5kg","-5kg")))))</f>
        <v/>
      </c>
      <c r="Q46" s="9" t="n"/>
      <c r="R46" s="12" t="n"/>
      <c r="S46" s="12" t="n"/>
      <c r="T46" s="12" t="n"/>
    </row>
    <row r="47">
      <c r="A47" s="12" t="n">
        <v>4</v>
      </c>
      <c r="B47" s="9" t="n"/>
      <c r="C47" s="9" t="n"/>
      <c r="D47" s="9" t="n"/>
      <c r="E47" s="9" t="n"/>
      <c r="F47" s="9" t="n"/>
      <c r="G47" s="9" t="n"/>
      <c r="H47" s="9" t="n"/>
      <c r="I47" s="10">
        <f>IFERROR(INDEX(C47:H47,MATCH(TRUE,INDEX(C47:H47&lt;&gt;"",0),0)),"")</f>
        <v/>
      </c>
      <c r="J47" s="10">
        <f>IFERROR(MIN(IF(C47:H47&lt;&gt;"",C47:H47)),"")</f>
        <v/>
      </c>
      <c r="K47" s="10">
        <f>IFERROR(MATCH(I47,C47:H47,0),"")</f>
        <v/>
      </c>
      <c r="L47" s="10">
        <f>IF(OR(I47="",J47=""),"",ROUND((I47-J47)/I47*100,1))</f>
        <v/>
      </c>
      <c r="M47" s="10">
        <f>IF(L47="","",IF(L47&gt;=22,"是","否"))</f>
        <v/>
      </c>
      <c r="N47" s="10">
        <f>IF(J47="","",IF(J47&lt;0.15,"是","否"))</f>
        <v/>
      </c>
      <c r="O47" s="10">
        <f>IF(I47="","",IF(J47&lt;0.15,"SAFETY_STOP",IF(L47&gt;=22,"VL_THRESHOLD","PLANNED_END")))</f>
        <v/>
      </c>
      <c r="P47" s="10">
        <f>IF(I47="","",IF(I47&gt;($D$2+0.05),"+5kg",IF(I47&gt;($D$2+0.02),"+2.5kg",IF(I47&gt;=($D$2-0.05),"保持",IF(I47&gt;=($D$2-0.08),"-2.5kg","-5kg")))))</f>
        <v/>
      </c>
      <c r="Q47" s="9" t="n"/>
      <c r="R47" s="12" t="n"/>
      <c r="S47" s="12" t="n"/>
      <c r="T47" s="12" t="n"/>
    </row>
    <row r="48">
      <c r="A48" s="12" t="n">
        <v>5</v>
      </c>
      <c r="B48" s="9" t="n"/>
      <c r="C48" s="9" t="n"/>
      <c r="D48" s="9" t="n"/>
      <c r="E48" s="9" t="n"/>
      <c r="F48" s="9" t="n"/>
      <c r="G48" s="9" t="n"/>
      <c r="H48" s="9" t="n"/>
      <c r="I48" s="10">
        <f>IFERROR(INDEX(C48:H48,MATCH(TRUE,INDEX(C48:H48&lt;&gt;"",0),0)),"")</f>
        <v/>
      </c>
      <c r="J48" s="10">
        <f>IFERROR(MIN(IF(C48:H48&lt;&gt;"",C48:H48)),"")</f>
        <v/>
      </c>
      <c r="K48" s="10">
        <f>IFERROR(MATCH(I48,C48:H48,0),"")</f>
        <v/>
      </c>
      <c r="L48" s="10">
        <f>IF(OR(I48="",J48=""),"",ROUND((I48-J48)/I48*100,1))</f>
        <v/>
      </c>
      <c r="M48" s="10">
        <f>IF(L48="","",IF(L48&gt;=22,"是","否"))</f>
        <v/>
      </c>
      <c r="N48" s="10">
        <f>IF(J48="","",IF(J48&lt;0.15,"是","否"))</f>
        <v/>
      </c>
      <c r="O48" s="10">
        <f>IF(I48="","",IF(J48&lt;0.15,"SAFETY_STOP",IF(L48&gt;=22,"VL_THRESHOLD","PLANNED_END")))</f>
        <v/>
      </c>
      <c r="P48" s="10">
        <f>IF(I48="","",IF(I48&gt;($D$2+0.05),"+5kg",IF(I48&gt;($D$2+0.02),"+2.5kg",IF(I48&gt;=($D$2-0.05),"保持",IF(I48&gt;=($D$2-0.08),"-2.5kg","-5kg")))))</f>
        <v/>
      </c>
      <c r="Q48" s="9" t="n"/>
      <c r="R48" s="12" t="n"/>
      <c r="S48" s="12" t="n"/>
      <c r="T48" s="12" t="n"/>
    </row>
    <row r="49">
      <c r="A49" s="12" t="n">
        <v>6</v>
      </c>
      <c r="B49" s="9" t="n"/>
      <c r="C49" s="9" t="n"/>
      <c r="D49" s="9" t="n"/>
      <c r="E49" s="9" t="n"/>
      <c r="F49" s="9" t="n"/>
      <c r="G49" s="9" t="n"/>
      <c r="H49" s="9" t="n"/>
      <c r="I49" s="10">
        <f>IFERROR(INDEX(C49:H49,MATCH(TRUE,INDEX(C49:H49&lt;&gt;"",0),0)),"")</f>
        <v/>
      </c>
      <c r="J49" s="10">
        <f>IFERROR(MIN(IF(C49:H49&lt;&gt;"",C49:H49)),"")</f>
        <v/>
      </c>
      <c r="K49" s="10">
        <f>IFERROR(MATCH(I49,C49:H49,0),"")</f>
        <v/>
      </c>
      <c r="L49" s="10">
        <f>IF(OR(I49="",J49=""),"",ROUND((I49-J49)/I49*100,1))</f>
        <v/>
      </c>
      <c r="M49" s="10">
        <f>IF(L49="","",IF(L49&gt;=22,"是","否"))</f>
        <v/>
      </c>
      <c r="N49" s="10">
        <f>IF(J49="","",IF(J49&lt;0.15,"是","否"))</f>
        <v/>
      </c>
      <c r="O49" s="10">
        <f>IF(I49="","",IF(J49&lt;0.15,"SAFETY_STOP",IF(L49&gt;=22,"VL_THRESHOLD","PLANNED_END")))</f>
        <v/>
      </c>
      <c r="P49" s="10">
        <f>IF(I49="","",IF(I49&gt;($D$2+0.05),"+5kg",IF(I49&gt;($D$2+0.02),"+2.5kg",IF(I49&gt;=($D$2-0.05),"保持",IF(I49&gt;=($D$2-0.08),"-2.5kg","-5kg")))))</f>
        <v/>
      </c>
      <c r="Q49" s="9" t="n"/>
      <c r="R49" s="12" t="n"/>
      <c r="S49" s="12" t="n"/>
      <c r="T49" s="12" t="n"/>
    </row>
    <row r="50">
      <c r="A50" s="8" t="inlineStr">
        <is>
          <t>辅助动作</t>
        </is>
      </c>
      <c r="B50" s="8" t="inlineStr">
        <is>
          <t>动作名称</t>
        </is>
      </c>
      <c r="C50" s="8" t="inlineStr">
        <is>
          <t>负荷kg</t>
        </is>
      </c>
      <c r="D50" s="8" t="inlineStr">
        <is>
          <t>完成(组×次)</t>
        </is>
      </c>
    </row>
    <row r="51">
      <c r="A51" s="9" t="inlineStr"/>
      <c r="B51" s="9" t="n"/>
      <c r="C51" s="9" t="n"/>
      <c r="D51" s="9" t="n"/>
    </row>
    <row r="52">
      <c r="A52" s="8" t="inlineStr">
        <is>
          <t>训练后</t>
        </is>
      </c>
      <c r="B52" s="8" t="inlineStr">
        <is>
          <t>开始时间</t>
        </is>
      </c>
      <c r="C52" s="8" t="inlineStr">
        <is>
          <t>结束时间</t>
        </is>
      </c>
      <c r="D52" s="8" t="inlineStr">
        <is>
          <t>总时长min</t>
        </is>
      </c>
      <c r="E52" s="8" t="inlineStr">
        <is>
          <t>sRPE</t>
        </is>
      </c>
      <c r="F52" s="8" t="inlineStr">
        <is>
          <t>session_load</t>
        </is>
      </c>
      <c r="G52" s="8" t="inlineStr">
        <is>
          <t>有无不适</t>
        </is>
      </c>
      <c r="H52" s="8" t="inlineStr">
        <is>
          <t>备注</t>
        </is>
      </c>
      <c r="I52" s="8" t="inlineStr">
        <is>
          <t>研究员签名</t>
        </is>
      </c>
    </row>
    <row r="53">
      <c r="A53" s="13" t="inlineStr"/>
      <c r="B53" s="13" t="n"/>
      <c r="C53" s="13" t="n"/>
      <c r="D53" s="10">
        <f>IF(OR(B53="",C53=""),"",(C53-B53)*1440)</f>
        <v/>
      </c>
      <c r="E53" s="13" t="n"/>
      <c r="F53" s="10">
        <f>IF(OR(D53="",E53=""),"",D53*E53)</f>
        <v/>
      </c>
      <c r="G53" s="13" t="n"/>
      <c r="H53" s="13" t="n"/>
      <c r="I53" s="13" t="n"/>
    </row>
    <row r="55">
      <c r="A55" s="5" t="inlineStr">
        <is>
          <t>── P006 陈镕垚 ──────────────────────────────────────────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</row>
    <row r="56">
      <c r="A56" s="8" t="inlineStr">
        <is>
          <t>编号</t>
        </is>
      </c>
      <c r="B56" s="8" t="inlineStr">
        <is>
          <t>姓名</t>
        </is>
      </c>
      <c r="C56" s="8" t="inlineStr">
        <is>
          <t>身高</t>
        </is>
      </c>
      <c r="D56" s="8" t="inlineStr">
        <is>
          <t>1RM</t>
        </is>
      </c>
      <c r="E56" s="8" t="inlineStr">
        <is>
          <t>睡眠</t>
        </is>
      </c>
      <c r="F56" s="8" t="inlineStr">
        <is>
          <t>压力</t>
        </is>
      </c>
      <c r="G56" s="8" t="inlineStr">
        <is>
          <t>疲劳</t>
        </is>
      </c>
      <c r="H56" s="8" t="inlineStr">
        <is>
          <t>酸痛</t>
        </is>
      </c>
      <c r="I56" s="8" t="inlineStr">
        <is>
          <t>Hooper总</t>
        </is>
      </c>
      <c r="J56" s="8" t="inlineStr">
        <is>
          <t>CMJ1</t>
        </is>
      </c>
      <c r="K56" s="8" t="inlineStr">
        <is>
          <t>CMJ2</t>
        </is>
      </c>
      <c r="L56" s="8" t="inlineStr">
        <is>
          <t>CMJ3</t>
        </is>
      </c>
      <c r="M56" s="8" t="inlineStr">
        <is>
          <t>CMJ均值</t>
        </is>
      </c>
      <c r="N56" s="8" t="inlineStr">
        <is>
          <t>&lt;95%?</t>
        </is>
      </c>
      <c r="O56" s="8" t="inlineStr">
        <is>
          <t>减组?</t>
        </is>
      </c>
      <c r="P56" s="8" t="inlineStr">
        <is>
          <t>实做组数</t>
        </is>
      </c>
      <c r="Q56" s="8" t="inlineStr">
        <is>
          <t>LVP_a</t>
        </is>
      </c>
      <c r="R56" s="8" t="inlineStr">
        <is>
          <t>LVP_b</t>
        </is>
      </c>
      <c r="S56" s="8" t="inlineStr">
        <is>
          <t>等级</t>
        </is>
      </c>
      <c r="T56" s="8" t="inlineStr">
        <is>
          <t>预测起始</t>
        </is>
      </c>
    </row>
    <row r="57">
      <c r="A57" s="9" t="inlineStr">
        <is>
          <t>P006</t>
        </is>
      </c>
      <c r="B57" s="9" t="inlineStr">
        <is>
          <t>陈镕垚</t>
        </is>
      </c>
      <c r="C57" s="9" t="n">
        <v>181</v>
      </c>
      <c r="D57" s="9" t="n">
        <v>145</v>
      </c>
      <c r="E57" s="9" t="n"/>
      <c r="F57" s="9" t="n"/>
      <c r="G57" s="9" t="n"/>
      <c r="H57" s="9" t="n"/>
      <c r="I57" s="10">
        <f>IFERROR(SUM(E57:H57),"")</f>
        <v/>
      </c>
      <c r="J57" s="9" t="n"/>
      <c r="K57" s="9" t="n"/>
      <c r="L57" s="9" t="n"/>
      <c r="M57" s="10">
        <f>IFERROR(AVERAGE(J57:L57),"")</f>
        <v/>
      </c>
      <c r="N57" s="10">
        <f>IF(M57="","",IF(M57&lt;59.06,"是⚠","否"))</f>
        <v/>
      </c>
      <c r="O57" s="10">
        <f>IF(M57="","",IF(M57&lt;59.06,"减1组","正常"))</f>
        <v/>
      </c>
      <c r="P57" s="10">
        <f>IF(M57="","",IF(M57&lt;59.06,5-1,5))</f>
        <v/>
      </c>
      <c r="Q57" s="9" t="n">
        <v>1.45</v>
      </c>
      <c r="R57" s="9" t="n">
        <v>-0.00675</v>
      </c>
      <c r="S57" s="9" t="inlineStr">
        <is>
          <t>B</t>
        </is>
      </c>
      <c r="T57" s="10">
        <f>IFERROR(ROUND((0.55-1.45)/-0.00675,0.5),"")</f>
        <v/>
      </c>
    </row>
    <row r="58">
      <c r="A58" s="8" t="inlineStr">
        <is>
          <t>热身校准</t>
        </is>
      </c>
      <c r="B58" s="8" t="inlineStr">
        <is>
          <t>LVP_a</t>
        </is>
      </c>
      <c r="C58" s="8" t="inlineStr">
        <is>
          <t>LVP_b</t>
        </is>
      </c>
      <c r="D58" s="8" t="inlineStr">
        <is>
          <t>50%热身kg</t>
        </is>
      </c>
      <c r="E58" s="8" t="inlineStr">
        <is>
          <t>70%热身kg</t>
        </is>
      </c>
      <c r="F58" s="8" t="inlineStr">
        <is>
          <t>热身负荷kg</t>
        </is>
      </c>
      <c r="G58" s="8" t="inlineStr">
        <is>
          <t>实测MCV</t>
        </is>
      </c>
      <c r="H58" s="8" t="inlineStr">
        <is>
          <t>预测MCV</t>
        </is>
      </c>
      <c r="I58" s="8" t="inlineStr">
        <is>
          <t>Δv</t>
        </is>
      </c>
      <c r="J58" s="8" t="inlineStr">
        <is>
          <t>调整量kg</t>
        </is>
      </c>
      <c r="K58" s="8" t="inlineStr">
        <is>
          <t>校准后第1组kg</t>
        </is>
      </c>
    </row>
    <row r="59">
      <c r="A59" s="11" t="inlineStr"/>
      <c r="B59" s="11" t="n">
        <v>1.45</v>
      </c>
      <c r="C59" s="11" t="n">
        <v>-0.00675</v>
      </c>
      <c r="D59" s="10">
        <f>IFERROR(ROUND(T57*0.5,2.5),"")</f>
        <v/>
      </c>
      <c r="E59" s="10">
        <f>IFERROR(ROUND(T57*0.7,2.5),"")</f>
        <v/>
      </c>
      <c r="F59" s="10">
        <f>E59</f>
        <v/>
      </c>
      <c r="G59" s="9" t="n"/>
      <c r="H59" s="10">
        <f>IF(F59="","",B59+C59*F59)</f>
        <v/>
      </c>
      <c r="I59" s="10">
        <f>IF(OR(G59="",H59=""),"",G59-H59)</f>
        <v/>
      </c>
      <c r="J59" s="10">
        <f>IF(I59="","",IF(I59&gt;0.08,5,IF(I59&gt;0.04,2.5,IF(I59&gt;=-0.04,0,IF(I59&gt;=-0.08,-2.5,-5)))))</f>
        <v/>
      </c>
      <c r="K59" s="10">
        <f>IFERROR(ROUND(T57+J59,2.5),"")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8" t="inlineStr">
        <is>
          <t>组次</t>
        </is>
      </c>
      <c r="B60" s="8" t="inlineStr">
        <is>
          <t>负荷kg</t>
        </is>
      </c>
      <c r="C60" s="8" t="inlineStr">
        <is>
          <t>rep1</t>
        </is>
      </c>
      <c r="D60" s="8" t="inlineStr">
        <is>
          <t>rep2</t>
        </is>
      </c>
      <c r="E60" s="8" t="inlineStr">
        <is>
          <t>rep3</t>
        </is>
      </c>
      <c r="F60" s="8" t="inlineStr">
        <is>
          <t>rep4</t>
        </is>
      </c>
      <c r="G60" s="8" t="inlineStr">
        <is>
          <t>rep5</t>
        </is>
      </c>
      <c r="H60" s="8" t="inlineStr">
        <is>
          <t>rep6</t>
        </is>
      </c>
      <c r="I60" s="8" t="inlineStr">
        <is>
          <t>首rep</t>
        </is>
      </c>
      <c r="J60" s="8" t="inlineStr">
        <is>
          <t>最低速</t>
        </is>
      </c>
      <c r="K60" s="8" t="inlineStr">
        <is>
          <t>最低rep#</t>
        </is>
      </c>
      <c r="L60" s="8" t="inlineStr">
        <is>
          <t>VL%</t>
        </is>
      </c>
      <c r="M60" s="8" t="inlineStr">
        <is>
          <t>VL达标?</t>
        </is>
      </c>
      <c r="N60" s="8" t="inlineStr">
        <is>
          <t>安全停止?</t>
        </is>
      </c>
      <c r="O60" s="8" t="inlineStr">
        <is>
          <t>停组原因</t>
        </is>
      </c>
      <c r="P60" s="8" t="inlineStr">
        <is>
          <t>下组建议</t>
        </is>
      </c>
      <c r="Q60" s="8" t="inlineStr">
        <is>
          <t>实做次数</t>
        </is>
      </c>
    </row>
    <row r="61">
      <c r="A61" s="12" t="n">
        <v>1</v>
      </c>
      <c r="B61" s="10">
        <f>IF(K59="","",K59)</f>
        <v/>
      </c>
      <c r="C61" s="9" t="n"/>
      <c r="D61" s="9" t="n"/>
      <c r="E61" s="9" t="n"/>
      <c r="F61" s="9" t="n"/>
      <c r="G61" s="9" t="n"/>
      <c r="H61" s="9" t="n"/>
      <c r="I61" s="10">
        <f>IFERROR(INDEX(C61:H61,MATCH(TRUE,INDEX(C61:H61&lt;&gt;"",0),0)),"")</f>
        <v/>
      </c>
      <c r="J61" s="10">
        <f>IFERROR(MIN(IF(C61:H61&lt;&gt;"",C61:H61)),"")</f>
        <v/>
      </c>
      <c r="K61" s="10">
        <f>IFERROR(MATCH(I61,C61:H61,0),"")</f>
        <v/>
      </c>
      <c r="L61" s="10">
        <f>IF(OR(I61="",J61=""),"",ROUND((I61-J61)/I61*100,1))</f>
        <v/>
      </c>
      <c r="M61" s="10">
        <f>IF(L61="","",IF(L61&gt;=22,"是","否"))</f>
        <v/>
      </c>
      <c r="N61" s="10">
        <f>IF(J61="","",IF(J61&lt;0.15,"是","否"))</f>
        <v/>
      </c>
      <c r="O61" s="10">
        <f>IF(I61="","",IF(J61&lt;0.15,"SAFETY_STOP",IF(L61&gt;=22,"VL_THRESHOLD","PLANNED_END")))</f>
        <v/>
      </c>
      <c r="P61" s="10">
        <f>IF(I61="","",IF(I61&gt;($D$2+0.05),"+5kg",IF(I61&gt;($D$2+0.02),"+2.5kg",IF(I61&gt;=($D$2-0.05),"保持",IF(I61&gt;=($D$2-0.08),"-2.5kg","-5kg")))))</f>
        <v/>
      </c>
      <c r="Q61" s="9" t="n"/>
      <c r="R61" s="12" t="n"/>
      <c r="S61" s="12" t="n"/>
      <c r="T61" s="12" t="n"/>
    </row>
    <row r="62">
      <c r="A62" s="12" t="n">
        <v>2</v>
      </c>
      <c r="B62" s="9" t="n"/>
      <c r="C62" s="9" t="n"/>
      <c r="D62" s="9" t="n"/>
      <c r="E62" s="9" t="n"/>
      <c r="F62" s="9" t="n"/>
      <c r="G62" s="9" t="n"/>
      <c r="H62" s="9" t="n"/>
      <c r="I62" s="10">
        <f>IFERROR(INDEX(C62:H62,MATCH(TRUE,INDEX(C62:H62&lt;&gt;"",0),0)),"")</f>
        <v/>
      </c>
      <c r="J62" s="10">
        <f>IFERROR(MIN(IF(C62:H62&lt;&gt;"",C62:H62)),"")</f>
        <v/>
      </c>
      <c r="K62" s="10">
        <f>IFERROR(MATCH(I62,C62:H62,0),"")</f>
        <v/>
      </c>
      <c r="L62" s="10">
        <f>IF(OR(I62="",J62=""),"",ROUND((I62-J62)/I62*100,1))</f>
        <v/>
      </c>
      <c r="M62" s="10">
        <f>IF(L62="","",IF(L62&gt;=22,"是","否"))</f>
        <v/>
      </c>
      <c r="N62" s="10">
        <f>IF(J62="","",IF(J62&lt;0.15,"是","否"))</f>
        <v/>
      </c>
      <c r="O62" s="10">
        <f>IF(I62="","",IF(J62&lt;0.15,"SAFETY_STOP",IF(L62&gt;=22,"VL_THRESHOLD","PLANNED_END")))</f>
        <v/>
      </c>
      <c r="P62" s="10">
        <f>IF(I62="","",IF(I62&gt;($D$2+0.05),"+5kg",IF(I62&gt;($D$2+0.02),"+2.5kg",IF(I62&gt;=($D$2-0.05),"保持",IF(I62&gt;=($D$2-0.08),"-2.5kg","-5kg")))))</f>
        <v/>
      </c>
      <c r="Q62" s="9" t="n"/>
      <c r="R62" s="12" t="n"/>
      <c r="S62" s="12" t="n"/>
      <c r="T62" s="12" t="n"/>
    </row>
    <row r="63">
      <c r="A63" s="12" t="n">
        <v>3</v>
      </c>
      <c r="B63" s="9" t="n"/>
      <c r="C63" s="9" t="n"/>
      <c r="D63" s="9" t="n"/>
      <c r="E63" s="9" t="n"/>
      <c r="F63" s="9" t="n"/>
      <c r="G63" s="9" t="n"/>
      <c r="H63" s="9" t="n"/>
      <c r="I63" s="10">
        <f>IFERROR(INDEX(C63:H63,MATCH(TRUE,INDEX(C63:H63&lt;&gt;"",0),0)),"")</f>
        <v/>
      </c>
      <c r="J63" s="10">
        <f>IFERROR(MIN(IF(C63:H63&lt;&gt;"",C63:H63)),"")</f>
        <v/>
      </c>
      <c r="K63" s="10">
        <f>IFERROR(MATCH(I63,C63:H63,0),"")</f>
        <v/>
      </c>
      <c r="L63" s="10">
        <f>IF(OR(I63="",J63=""),"",ROUND((I63-J63)/I63*100,1))</f>
        <v/>
      </c>
      <c r="M63" s="10">
        <f>IF(L63="","",IF(L63&gt;=22,"是","否"))</f>
        <v/>
      </c>
      <c r="N63" s="10">
        <f>IF(J63="","",IF(J63&lt;0.15,"是","否"))</f>
        <v/>
      </c>
      <c r="O63" s="10">
        <f>IF(I63="","",IF(J63&lt;0.15,"SAFETY_STOP",IF(L63&gt;=22,"VL_THRESHOLD","PLANNED_END")))</f>
        <v/>
      </c>
      <c r="P63" s="10">
        <f>IF(I63="","",IF(I63&gt;($D$2+0.05),"+5kg",IF(I63&gt;($D$2+0.02),"+2.5kg",IF(I63&gt;=($D$2-0.05),"保持",IF(I63&gt;=($D$2-0.08),"-2.5kg","-5kg")))))</f>
        <v/>
      </c>
      <c r="Q63" s="9" t="n"/>
      <c r="R63" s="12" t="n"/>
      <c r="S63" s="12" t="n"/>
      <c r="T63" s="12" t="n"/>
    </row>
    <row r="64">
      <c r="A64" s="12" t="n">
        <v>4</v>
      </c>
      <c r="B64" s="9" t="n"/>
      <c r="C64" s="9" t="n"/>
      <c r="D64" s="9" t="n"/>
      <c r="E64" s="9" t="n"/>
      <c r="F64" s="9" t="n"/>
      <c r="G64" s="9" t="n"/>
      <c r="H64" s="9" t="n"/>
      <c r="I64" s="10">
        <f>IFERROR(INDEX(C64:H64,MATCH(TRUE,INDEX(C64:H64&lt;&gt;"",0),0)),"")</f>
        <v/>
      </c>
      <c r="J64" s="10">
        <f>IFERROR(MIN(IF(C64:H64&lt;&gt;"",C64:H64)),"")</f>
        <v/>
      </c>
      <c r="K64" s="10">
        <f>IFERROR(MATCH(I64,C64:H64,0),"")</f>
        <v/>
      </c>
      <c r="L64" s="10">
        <f>IF(OR(I64="",J64=""),"",ROUND((I64-J64)/I64*100,1))</f>
        <v/>
      </c>
      <c r="M64" s="10">
        <f>IF(L64="","",IF(L64&gt;=22,"是","否"))</f>
        <v/>
      </c>
      <c r="N64" s="10">
        <f>IF(J64="","",IF(J64&lt;0.15,"是","否"))</f>
        <v/>
      </c>
      <c r="O64" s="10">
        <f>IF(I64="","",IF(J64&lt;0.15,"SAFETY_STOP",IF(L64&gt;=22,"VL_THRESHOLD","PLANNED_END")))</f>
        <v/>
      </c>
      <c r="P64" s="10">
        <f>IF(I64="","",IF(I64&gt;($D$2+0.05),"+5kg",IF(I64&gt;($D$2+0.02),"+2.5kg",IF(I64&gt;=($D$2-0.05),"保持",IF(I64&gt;=($D$2-0.08),"-2.5kg","-5kg")))))</f>
        <v/>
      </c>
      <c r="Q64" s="9" t="n"/>
      <c r="R64" s="12" t="n"/>
      <c r="S64" s="12" t="n"/>
      <c r="T64" s="12" t="n"/>
    </row>
    <row r="65">
      <c r="A65" s="12" t="n">
        <v>5</v>
      </c>
      <c r="B65" s="9" t="n"/>
      <c r="C65" s="9" t="n"/>
      <c r="D65" s="9" t="n"/>
      <c r="E65" s="9" t="n"/>
      <c r="F65" s="9" t="n"/>
      <c r="G65" s="9" t="n"/>
      <c r="H65" s="9" t="n"/>
      <c r="I65" s="10">
        <f>IFERROR(INDEX(C65:H65,MATCH(TRUE,INDEX(C65:H65&lt;&gt;"",0),0)),"")</f>
        <v/>
      </c>
      <c r="J65" s="10">
        <f>IFERROR(MIN(IF(C65:H65&lt;&gt;"",C65:H65)),"")</f>
        <v/>
      </c>
      <c r="K65" s="10">
        <f>IFERROR(MATCH(I65,C65:H65,0),"")</f>
        <v/>
      </c>
      <c r="L65" s="10">
        <f>IF(OR(I65="",J65=""),"",ROUND((I65-J65)/I65*100,1))</f>
        <v/>
      </c>
      <c r="M65" s="10">
        <f>IF(L65="","",IF(L65&gt;=22,"是","否"))</f>
        <v/>
      </c>
      <c r="N65" s="10">
        <f>IF(J65="","",IF(J65&lt;0.15,"是","否"))</f>
        <v/>
      </c>
      <c r="O65" s="10">
        <f>IF(I65="","",IF(J65&lt;0.15,"SAFETY_STOP",IF(L65&gt;=22,"VL_THRESHOLD","PLANNED_END")))</f>
        <v/>
      </c>
      <c r="P65" s="10">
        <f>IF(I65="","",IF(I65&gt;($D$2+0.05),"+5kg",IF(I65&gt;($D$2+0.02),"+2.5kg",IF(I65&gt;=($D$2-0.05),"保持",IF(I65&gt;=($D$2-0.08),"-2.5kg","-5kg")))))</f>
        <v/>
      </c>
      <c r="Q65" s="9" t="n"/>
      <c r="R65" s="12" t="n"/>
      <c r="S65" s="12" t="n"/>
      <c r="T65" s="12" t="n"/>
    </row>
    <row r="66">
      <c r="A66" s="12" t="n">
        <v>6</v>
      </c>
      <c r="B66" s="9" t="n"/>
      <c r="C66" s="9" t="n"/>
      <c r="D66" s="9" t="n"/>
      <c r="E66" s="9" t="n"/>
      <c r="F66" s="9" t="n"/>
      <c r="G66" s="9" t="n"/>
      <c r="H66" s="9" t="n"/>
      <c r="I66" s="10">
        <f>IFERROR(INDEX(C66:H66,MATCH(TRUE,INDEX(C66:H66&lt;&gt;"",0),0)),"")</f>
        <v/>
      </c>
      <c r="J66" s="10">
        <f>IFERROR(MIN(IF(C66:H66&lt;&gt;"",C66:H66)),"")</f>
        <v/>
      </c>
      <c r="K66" s="10">
        <f>IFERROR(MATCH(I66,C66:H66,0),"")</f>
        <v/>
      </c>
      <c r="L66" s="10">
        <f>IF(OR(I66="",J66=""),"",ROUND((I66-J66)/I66*100,1))</f>
        <v/>
      </c>
      <c r="M66" s="10">
        <f>IF(L66="","",IF(L66&gt;=22,"是","否"))</f>
        <v/>
      </c>
      <c r="N66" s="10">
        <f>IF(J66="","",IF(J66&lt;0.15,"是","否"))</f>
        <v/>
      </c>
      <c r="O66" s="10">
        <f>IF(I66="","",IF(J66&lt;0.15,"SAFETY_STOP",IF(L66&gt;=22,"VL_THRESHOLD","PLANNED_END")))</f>
        <v/>
      </c>
      <c r="P66" s="10">
        <f>IF(I66="","",IF(I66&gt;($D$2+0.05),"+5kg",IF(I66&gt;($D$2+0.02),"+2.5kg",IF(I66&gt;=($D$2-0.05),"保持",IF(I66&gt;=($D$2-0.08),"-2.5kg","-5kg")))))</f>
        <v/>
      </c>
      <c r="Q66" s="9" t="n"/>
      <c r="R66" s="12" t="n"/>
      <c r="S66" s="12" t="n"/>
      <c r="T66" s="12" t="n"/>
    </row>
    <row r="67">
      <c r="A67" s="8" t="inlineStr">
        <is>
          <t>辅助动作</t>
        </is>
      </c>
      <c r="B67" s="8" t="inlineStr">
        <is>
          <t>动作名称</t>
        </is>
      </c>
      <c r="C67" s="8" t="inlineStr">
        <is>
          <t>负荷kg</t>
        </is>
      </c>
      <c r="D67" s="8" t="inlineStr">
        <is>
          <t>完成(组×次)</t>
        </is>
      </c>
    </row>
    <row r="68">
      <c r="A68" s="9" t="inlineStr"/>
      <c r="B68" s="9" t="n"/>
      <c r="C68" s="9" t="n"/>
      <c r="D68" s="9" t="n"/>
    </row>
    <row r="69">
      <c r="A69" s="8" t="inlineStr">
        <is>
          <t>训练后</t>
        </is>
      </c>
      <c r="B69" s="8" t="inlineStr">
        <is>
          <t>开始时间</t>
        </is>
      </c>
      <c r="C69" s="8" t="inlineStr">
        <is>
          <t>结束时间</t>
        </is>
      </c>
      <c r="D69" s="8" t="inlineStr">
        <is>
          <t>总时长min</t>
        </is>
      </c>
      <c r="E69" s="8" t="inlineStr">
        <is>
          <t>sRPE</t>
        </is>
      </c>
      <c r="F69" s="8" t="inlineStr">
        <is>
          <t>session_load</t>
        </is>
      </c>
      <c r="G69" s="8" t="inlineStr">
        <is>
          <t>有无不适</t>
        </is>
      </c>
      <c r="H69" s="8" t="inlineStr">
        <is>
          <t>备注</t>
        </is>
      </c>
      <c r="I69" s="8" t="inlineStr">
        <is>
          <t>研究员签名</t>
        </is>
      </c>
    </row>
    <row r="70">
      <c r="A70" s="13" t="inlineStr"/>
      <c r="B70" s="13" t="n"/>
      <c r="C70" s="13" t="n"/>
      <c r="D70" s="10">
        <f>IF(OR(B70="",C70=""),"",(C70-B70)*1440)</f>
        <v/>
      </c>
      <c r="E70" s="13" t="n"/>
      <c r="F70" s="10">
        <f>IF(OR(D70="",E70=""),"",D70*E70)</f>
        <v/>
      </c>
      <c r="G70" s="13" t="n"/>
      <c r="H70" s="13" t="n"/>
      <c r="I70" s="13" t="n"/>
    </row>
    <row r="72">
      <c r="A72" s="5" t="inlineStr">
        <is>
          <t>── P015 陈先栋 ──────────────────────────────────────────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7" t="n"/>
    </row>
    <row r="73">
      <c r="A73" s="8" t="inlineStr">
        <is>
          <t>编号</t>
        </is>
      </c>
      <c r="B73" s="8" t="inlineStr">
        <is>
          <t>姓名</t>
        </is>
      </c>
      <c r="C73" s="8" t="inlineStr">
        <is>
          <t>身高</t>
        </is>
      </c>
      <c r="D73" s="8" t="inlineStr">
        <is>
          <t>1RM</t>
        </is>
      </c>
      <c r="E73" s="8" t="inlineStr">
        <is>
          <t>睡眠</t>
        </is>
      </c>
      <c r="F73" s="8" t="inlineStr">
        <is>
          <t>压力</t>
        </is>
      </c>
      <c r="G73" s="8" t="inlineStr">
        <is>
          <t>疲劳</t>
        </is>
      </c>
      <c r="H73" s="8" t="inlineStr">
        <is>
          <t>酸痛</t>
        </is>
      </c>
      <c r="I73" s="8" t="inlineStr">
        <is>
          <t>Hooper总</t>
        </is>
      </c>
      <c r="J73" s="8" t="inlineStr">
        <is>
          <t>CMJ1</t>
        </is>
      </c>
      <c r="K73" s="8" t="inlineStr">
        <is>
          <t>CMJ2</t>
        </is>
      </c>
      <c r="L73" s="8" t="inlineStr">
        <is>
          <t>CMJ3</t>
        </is>
      </c>
      <c r="M73" s="8" t="inlineStr">
        <is>
          <t>CMJ均值</t>
        </is>
      </c>
      <c r="N73" s="8" t="inlineStr">
        <is>
          <t>&lt;95%?</t>
        </is>
      </c>
      <c r="O73" s="8" t="inlineStr">
        <is>
          <t>减组?</t>
        </is>
      </c>
      <c r="P73" s="8" t="inlineStr">
        <is>
          <t>实做组数</t>
        </is>
      </c>
      <c r="Q73" s="8" t="inlineStr">
        <is>
          <t>LVP_a</t>
        </is>
      </c>
      <c r="R73" s="8" t="inlineStr">
        <is>
          <t>LVP_b</t>
        </is>
      </c>
      <c r="S73" s="8" t="inlineStr">
        <is>
          <t>等级</t>
        </is>
      </c>
      <c r="T73" s="8" t="inlineStr">
        <is>
          <t>预测起始</t>
        </is>
      </c>
    </row>
    <row r="74">
      <c r="A74" s="9" t="inlineStr">
        <is>
          <t>P015</t>
        </is>
      </c>
      <c r="B74" s="9" t="inlineStr">
        <is>
          <t>陈先栋</t>
        </is>
      </c>
      <c r="C74" s="9" t="n">
        <v>175</v>
      </c>
      <c r="D74" s="9" t="n">
        <v>135</v>
      </c>
      <c r="E74" s="9" t="n"/>
      <c r="F74" s="9" t="n"/>
      <c r="G74" s="9" t="n"/>
      <c r="H74" s="9" t="n"/>
      <c r="I74" s="10">
        <f>IFERROR(SUM(E74:H74),"")</f>
        <v/>
      </c>
      <c r="J74" s="9" t="n"/>
      <c r="K74" s="9" t="n"/>
      <c r="L74" s="9" t="n"/>
      <c r="M74" s="10">
        <f>IFERROR(AVERAGE(J74:L74),"")</f>
        <v/>
      </c>
      <c r="N74" s="10">
        <f>IF(M74="","",IF(M74&lt;54.25,"是⚠","否"))</f>
        <v/>
      </c>
      <c r="O74" s="10">
        <f>IF(M74="","",IF(M74&lt;54.25,"减1组","正常"))</f>
        <v/>
      </c>
      <c r="P74" s="10">
        <f>IF(M74="","",IF(M74&lt;54.25,5-1,5))</f>
        <v/>
      </c>
      <c r="Q74" s="9" t="n">
        <v>1.77</v>
      </c>
      <c r="R74" s="9" t="n">
        <v>-0.01025</v>
      </c>
      <c r="S74" s="9" t="inlineStr">
        <is>
          <t>C</t>
        </is>
      </c>
      <c r="T74" s="10">
        <f>IFERROR(ROUND((0.55-1.77)/-0.01025,0.5),"")</f>
        <v/>
      </c>
    </row>
    <row r="75">
      <c r="A75" s="8" t="inlineStr">
        <is>
          <t>热身校准</t>
        </is>
      </c>
      <c r="B75" s="8" t="inlineStr">
        <is>
          <t>LVP_a</t>
        </is>
      </c>
      <c r="C75" s="8" t="inlineStr">
        <is>
          <t>LVP_b</t>
        </is>
      </c>
      <c r="D75" s="8" t="inlineStr">
        <is>
          <t>50%热身kg</t>
        </is>
      </c>
      <c r="E75" s="8" t="inlineStr">
        <is>
          <t>70%热身kg</t>
        </is>
      </c>
      <c r="F75" s="8" t="inlineStr">
        <is>
          <t>热身负荷kg</t>
        </is>
      </c>
      <c r="G75" s="8" t="inlineStr">
        <is>
          <t>实测MCV</t>
        </is>
      </c>
      <c r="H75" s="8" t="inlineStr">
        <is>
          <t>预测MCV</t>
        </is>
      </c>
      <c r="I75" s="8" t="inlineStr">
        <is>
          <t>Δv</t>
        </is>
      </c>
      <c r="J75" s="8" t="inlineStr">
        <is>
          <t>调整量kg</t>
        </is>
      </c>
      <c r="K75" s="8" t="inlineStr">
        <is>
          <t>校准后第1组kg</t>
        </is>
      </c>
    </row>
    <row r="76">
      <c r="A76" s="11" t="inlineStr"/>
      <c r="B76" s="11" t="n">
        <v>1.77</v>
      </c>
      <c r="C76" s="11" t="n">
        <v>-0.01025</v>
      </c>
      <c r="D76" s="10">
        <f>IFERROR(ROUND(T74*0.5,2.5),"")</f>
        <v/>
      </c>
      <c r="E76" s="10">
        <f>IFERROR(ROUND(T74*0.7,2.5),"")</f>
        <v/>
      </c>
      <c r="F76" s="10">
        <f>E76</f>
        <v/>
      </c>
      <c r="G76" s="9" t="n"/>
      <c r="H76" s="10">
        <f>IF(F76="","",B76+C76*F76)</f>
        <v/>
      </c>
      <c r="I76" s="10">
        <f>IF(OR(G76="",H76=""),"",G76-H76)</f>
        <v/>
      </c>
      <c r="J76" s="10">
        <f>IF(I76="","",IF(I76&gt;0.08,5,IF(I76&gt;0.04,2.5,IF(I76&gt;=-0.04,0,IF(I76&gt;=-0.08,-2.5,-5)))))</f>
        <v/>
      </c>
      <c r="K76" s="10">
        <f>IFERROR(ROUND(T74+J76,2.5),"")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8" t="inlineStr">
        <is>
          <t>组次</t>
        </is>
      </c>
      <c r="B77" s="8" t="inlineStr">
        <is>
          <t>负荷kg</t>
        </is>
      </c>
      <c r="C77" s="8" t="inlineStr">
        <is>
          <t>rep1</t>
        </is>
      </c>
      <c r="D77" s="8" t="inlineStr">
        <is>
          <t>rep2</t>
        </is>
      </c>
      <c r="E77" s="8" t="inlineStr">
        <is>
          <t>rep3</t>
        </is>
      </c>
      <c r="F77" s="8" t="inlineStr">
        <is>
          <t>rep4</t>
        </is>
      </c>
      <c r="G77" s="8" t="inlineStr">
        <is>
          <t>rep5</t>
        </is>
      </c>
      <c r="H77" s="8" t="inlineStr">
        <is>
          <t>rep6</t>
        </is>
      </c>
      <c r="I77" s="8" t="inlineStr">
        <is>
          <t>首rep</t>
        </is>
      </c>
      <c r="J77" s="8" t="inlineStr">
        <is>
          <t>最低速</t>
        </is>
      </c>
      <c r="K77" s="8" t="inlineStr">
        <is>
          <t>最低rep#</t>
        </is>
      </c>
      <c r="L77" s="8" t="inlineStr">
        <is>
          <t>VL%</t>
        </is>
      </c>
      <c r="M77" s="8" t="inlineStr">
        <is>
          <t>VL达标?</t>
        </is>
      </c>
      <c r="N77" s="8" t="inlineStr">
        <is>
          <t>安全停止?</t>
        </is>
      </c>
      <c r="O77" s="8" t="inlineStr">
        <is>
          <t>停组原因</t>
        </is>
      </c>
      <c r="P77" s="8" t="inlineStr">
        <is>
          <t>下组建议</t>
        </is>
      </c>
      <c r="Q77" s="8" t="inlineStr">
        <is>
          <t>实做次数</t>
        </is>
      </c>
    </row>
    <row r="78">
      <c r="A78" s="12" t="n">
        <v>1</v>
      </c>
      <c r="B78" s="10">
        <f>IF(K76="","",K76)</f>
        <v/>
      </c>
      <c r="C78" s="9" t="n"/>
      <c r="D78" s="9" t="n"/>
      <c r="E78" s="9" t="n"/>
      <c r="F78" s="9" t="n"/>
      <c r="G78" s="9" t="n"/>
      <c r="H78" s="9" t="n"/>
      <c r="I78" s="10">
        <f>IFERROR(INDEX(C78:H78,MATCH(TRUE,INDEX(C78:H78&lt;&gt;"",0),0)),"")</f>
        <v/>
      </c>
      <c r="J78" s="10">
        <f>IFERROR(MIN(IF(C78:H78&lt;&gt;"",C78:H78)),"")</f>
        <v/>
      </c>
      <c r="K78" s="10">
        <f>IFERROR(MATCH(I78,C78:H78,0),"")</f>
        <v/>
      </c>
      <c r="L78" s="10">
        <f>IF(OR(I78="",J78=""),"",ROUND((I78-J78)/I78*100,1))</f>
        <v/>
      </c>
      <c r="M78" s="10">
        <f>IF(L78="","",IF(L78&gt;=22,"是","否"))</f>
        <v/>
      </c>
      <c r="N78" s="10">
        <f>IF(J78="","",IF(J78&lt;0.15,"是","否"))</f>
        <v/>
      </c>
      <c r="O78" s="10">
        <f>IF(I78="","",IF(J78&lt;0.15,"SAFETY_STOP",IF(L78&gt;=22,"VL_THRESHOLD","PLANNED_END")))</f>
        <v/>
      </c>
      <c r="P78" s="10">
        <f>IF(I78="","",IF(I78&gt;($D$2+0.05),"+5kg",IF(I78&gt;($D$2+0.02),"+2.5kg",IF(I78&gt;=($D$2-0.05),"保持",IF(I78&gt;=($D$2-0.08),"-2.5kg","-5kg")))))</f>
        <v/>
      </c>
      <c r="Q78" s="9" t="n"/>
      <c r="R78" s="12" t="n"/>
      <c r="S78" s="12" t="n"/>
      <c r="T78" s="12" t="n"/>
    </row>
    <row r="79">
      <c r="A79" s="12" t="n">
        <v>2</v>
      </c>
      <c r="B79" s="9" t="n"/>
      <c r="C79" s="9" t="n"/>
      <c r="D79" s="9" t="n"/>
      <c r="E79" s="9" t="n"/>
      <c r="F79" s="9" t="n"/>
      <c r="G79" s="9" t="n"/>
      <c r="H79" s="9" t="n"/>
      <c r="I79" s="10">
        <f>IFERROR(INDEX(C79:H79,MATCH(TRUE,INDEX(C79:H79&lt;&gt;"",0),0)),"")</f>
        <v/>
      </c>
      <c r="J79" s="10">
        <f>IFERROR(MIN(IF(C79:H79&lt;&gt;"",C79:H79)),"")</f>
        <v/>
      </c>
      <c r="K79" s="10">
        <f>IFERROR(MATCH(I79,C79:H79,0),"")</f>
        <v/>
      </c>
      <c r="L79" s="10">
        <f>IF(OR(I79="",J79=""),"",ROUND((I79-J79)/I79*100,1))</f>
        <v/>
      </c>
      <c r="M79" s="10">
        <f>IF(L79="","",IF(L79&gt;=22,"是","否"))</f>
        <v/>
      </c>
      <c r="N79" s="10">
        <f>IF(J79="","",IF(J79&lt;0.15,"是","否"))</f>
        <v/>
      </c>
      <c r="O79" s="10">
        <f>IF(I79="","",IF(J79&lt;0.15,"SAFETY_STOP",IF(L79&gt;=22,"VL_THRESHOLD","PLANNED_END")))</f>
        <v/>
      </c>
      <c r="P79" s="10">
        <f>IF(I79="","",IF(I79&gt;($D$2+0.05),"+5kg",IF(I79&gt;($D$2+0.02),"+2.5kg",IF(I79&gt;=($D$2-0.05),"保持",IF(I79&gt;=($D$2-0.08),"-2.5kg","-5kg")))))</f>
        <v/>
      </c>
      <c r="Q79" s="9" t="n"/>
      <c r="R79" s="12" t="n"/>
      <c r="S79" s="12" t="n"/>
      <c r="T79" s="12" t="n"/>
    </row>
    <row r="80">
      <c r="A80" s="12" t="n">
        <v>3</v>
      </c>
      <c r="B80" s="9" t="n"/>
      <c r="C80" s="9" t="n"/>
      <c r="D80" s="9" t="n"/>
      <c r="E80" s="9" t="n"/>
      <c r="F80" s="9" t="n"/>
      <c r="G80" s="9" t="n"/>
      <c r="H80" s="9" t="n"/>
      <c r="I80" s="10">
        <f>IFERROR(INDEX(C80:H80,MATCH(TRUE,INDEX(C80:H80&lt;&gt;"",0),0)),"")</f>
        <v/>
      </c>
      <c r="J80" s="10">
        <f>IFERROR(MIN(IF(C80:H80&lt;&gt;"",C80:H80)),"")</f>
        <v/>
      </c>
      <c r="K80" s="10">
        <f>IFERROR(MATCH(I80,C80:H80,0),"")</f>
        <v/>
      </c>
      <c r="L80" s="10">
        <f>IF(OR(I80="",J80=""),"",ROUND((I80-J80)/I80*100,1))</f>
        <v/>
      </c>
      <c r="M80" s="10">
        <f>IF(L80="","",IF(L80&gt;=22,"是","否"))</f>
        <v/>
      </c>
      <c r="N80" s="10">
        <f>IF(J80="","",IF(J80&lt;0.15,"是","否"))</f>
        <v/>
      </c>
      <c r="O80" s="10">
        <f>IF(I80="","",IF(J80&lt;0.15,"SAFETY_STOP",IF(L80&gt;=22,"VL_THRESHOLD","PLANNED_END")))</f>
        <v/>
      </c>
      <c r="P80" s="10">
        <f>IF(I80="","",IF(I80&gt;($D$2+0.05),"+5kg",IF(I80&gt;($D$2+0.02),"+2.5kg",IF(I80&gt;=($D$2-0.05),"保持",IF(I80&gt;=($D$2-0.08),"-2.5kg","-5kg")))))</f>
        <v/>
      </c>
      <c r="Q80" s="9" t="n"/>
      <c r="R80" s="12" t="n"/>
      <c r="S80" s="12" t="n"/>
      <c r="T80" s="12" t="n"/>
    </row>
    <row r="81">
      <c r="A81" s="12" t="n">
        <v>4</v>
      </c>
      <c r="B81" s="9" t="n"/>
      <c r="C81" s="9" t="n"/>
      <c r="D81" s="9" t="n"/>
      <c r="E81" s="9" t="n"/>
      <c r="F81" s="9" t="n"/>
      <c r="G81" s="9" t="n"/>
      <c r="H81" s="9" t="n"/>
      <c r="I81" s="10">
        <f>IFERROR(INDEX(C81:H81,MATCH(TRUE,INDEX(C81:H81&lt;&gt;"",0),0)),"")</f>
        <v/>
      </c>
      <c r="J81" s="10">
        <f>IFERROR(MIN(IF(C81:H81&lt;&gt;"",C81:H81)),"")</f>
        <v/>
      </c>
      <c r="K81" s="10">
        <f>IFERROR(MATCH(I81,C81:H81,0),"")</f>
        <v/>
      </c>
      <c r="L81" s="10">
        <f>IF(OR(I81="",J81=""),"",ROUND((I81-J81)/I81*100,1))</f>
        <v/>
      </c>
      <c r="M81" s="10">
        <f>IF(L81="","",IF(L81&gt;=22,"是","否"))</f>
        <v/>
      </c>
      <c r="N81" s="10">
        <f>IF(J81="","",IF(J81&lt;0.15,"是","否"))</f>
        <v/>
      </c>
      <c r="O81" s="10">
        <f>IF(I81="","",IF(J81&lt;0.15,"SAFETY_STOP",IF(L81&gt;=22,"VL_THRESHOLD","PLANNED_END")))</f>
        <v/>
      </c>
      <c r="P81" s="10">
        <f>IF(I81="","",IF(I81&gt;($D$2+0.05),"+5kg",IF(I81&gt;($D$2+0.02),"+2.5kg",IF(I81&gt;=($D$2-0.05),"保持",IF(I81&gt;=($D$2-0.08),"-2.5kg","-5kg")))))</f>
        <v/>
      </c>
      <c r="Q81" s="9" t="n"/>
      <c r="R81" s="12" t="n"/>
      <c r="S81" s="12" t="n"/>
      <c r="T81" s="12" t="n"/>
    </row>
    <row r="82">
      <c r="A82" s="12" t="n">
        <v>5</v>
      </c>
      <c r="B82" s="9" t="n"/>
      <c r="C82" s="9" t="n"/>
      <c r="D82" s="9" t="n"/>
      <c r="E82" s="9" t="n"/>
      <c r="F82" s="9" t="n"/>
      <c r="G82" s="9" t="n"/>
      <c r="H82" s="9" t="n"/>
      <c r="I82" s="10">
        <f>IFERROR(INDEX(C82:H82,MATCH(TRUE,INDEX(C82:H82&lt;&gt;"",0),0)),"")</f>
        <v/>
      </c>
      <c r="J82" s="10">
        <f>IFERROR(MIN(IF(C82:H82&lt;&gt;"",C82:H82)),"")</f>
        <v/>
      </c>
      <c r="K82" s="10">
        <f>IFERROR(MATCH(I82,C82:H82,0),"")</f>
        <v/>
      </c>
      <c r="L82" s="10">
        <f>IF(OR(I82="",J82=""),"",ROUND((I82-J82)/I82*100,1))</f>
        <v/>
      </c>
      <c r="M82" s="10">
        <f>IF(L82="","",IF(L82&gt;=22,"是","否"))</f>
        <v/>
      </c>
      <c r="N82" s="10">
        <f>IF(J82="","",IF(J82&lt;0.15,"是","否"))</f>
        <v/>
      </c>
      <c r="O82" s="10">
        <f>IF(I82="","",IF(J82&lt;0.15,"SAFETY_STOP",IF(L82&gt;=22,"VL_THRESHOLD","PLANNED_END")))</f>
        <v/>
      </c>
      <c r="P82" s="10">
        <f>IF(I82="","",IF(I82&gt;($D$2+0.05),"+5kg",IF(I82&gt;($D$2+0.02),"+2.5kg",IF(I82&gt;=($D$2-0.05),"保持",IF(I82&gt;=($D$2-0.08),"-2.5kg","-5kg")))))</f>
        <v/>
      </c>
      <c r="Q82" s="9" t="n"/>
      <c r="R82" s="12" t="n"/>
      <c r="S82" s="12" t="n"/>
      <c r="T82" s="12" t="n"/>
    </row>
    <row r="83">
      <c r="A83" s="12" t="n">
        <v>6</v>
      </c>
      <c r="B83" s="9" t="n"/>
      <c r="C83" s="9" t="n"/>
      <c r="D83" s="9" t="n"/>
      <c r="E83" s="9" t="n"/>
      <c r="F83" s="9" t="n"/>
      <c r="G83" s="9" t="n"/>
      <c r="H83" s="9" t="n"/>
      <c r="I83" s="10">
        <f>IFERROR(INDEX(C83:H83,MATCH(TRUE,INDEX(C83:H83&lt;&gt;"",0),0)),"")</f>
        <v/>
      </c>
      <c r="J83" s="10">
        <f>IFERROR(MIN(IF(C83:H83&lt;&gt;"",C83:H83)),"")</f>
        <v/>
      </c>
      <c r="K83" s="10">
        <f>IFERROR(MATCH(I83,C83:H83,0),"")</f>
        <v/>
      </c>
      <c r="L83" s="10">
        <f>IF(OR(I83="",J83=""),"",ROUND((I83-J83)/I83*100,1))</f>
        <v/>
      </c>
      <c r="M83" s="10">
        <f>IF(L83="","",IF(L83&gt;=22,"是","否"))</f>
        <v/>
      </c>
      <c r="N83" s="10">
        <f>IF(J83="","",IF(J83&lt;0.15,"是","否"))</f>
        <v/>
      </c>
      <c r="O83" s="10">
        <f>IF(I83="","",IF(J83&lt;0.15,"SAFETY_STOP",IF(L83&gt;=22,"VL_THRESHOLD","PLANNED_END")))</f>
        <v/>
      </c>
      <c r="P83" s="10">
        <f>IF(I83="","",IF(I83&gt;($D$2+0.05),"+5kg",IF(I83&gt;($D$2+0.02),"+2.5kg",IF(I83&gt;=($D$2-0.05),"保持",IF(I83&gt;=($D$2-0.08),"-2.5kg","-5kg")))))</f>
        <v/>
      </c>
      <c r="Q83" s="9" t="n"/>
      <c r="R83" s="12" t="n"/>
      <c r="S83" s="12" t="n"/>
      <c r="T83" s="12" t="n"/>
    </row>
    <row r="84">
      <c r="A84" s="8" t="inlineStr">
        <is>
          <t>辅助动作</t>
        </is>
      </c>
      <c r="B84" s="8" t="inlineStr">
        <is>
          <t>动作名称</t>
        </is>
      </c>
      <c r="C84" s="8" t="inlineStr">
        <is>
          <t>负荷kg</t>
        </is>
      </c>
      <c r="D84" s="8" t="inlineStr">
        <is>
          <t>完成(组×次)</t>
        </is>
      </c>
    </row>
    <row r="85">
      <c r="A85" s="9" t="inlineStr"/>
      <c r="B85" s="9" t="n"/>
      <c r="C85" s="9" t="n"/>
      <c r="D85" s="9" t="n"/>
    </row>
    <row r="86">
      <c r="A86" s="8" t="inlineStr">
        <is>
          <t>训练后</t>
        </is>
      </c>
      <c r="B86" s="8" t="inlineStr">
        <is>
          <t>开始时间</t>
        </is>
      </c>
      <c r="C86" s="8" t="inlineStr">
        <is>
          <t>结束时间</t>
        </is>
      </c>
      <c r="D86" s="8" t="inlineStr">
        <is>
          <t>总时长min</t>
        </is>
      </c>
      <c r="E86" s="8" t="inlineStr">
        <is>
          <t>sRPE</t>
        </is>
      </c>
      <c r="F86" s="8" t="inlineStr">
        <is>
          <t>session_load</t>
        </is>
      </c>
      <c r="G86" s="8" t="inlineStr">
        <is>
          <t>有无不适</t>
        </is>
      </c>
      <c r="H86" s="8" t="inlineStr">
        <is>
          <t>备注</t>
        </is>
      </c>
      <c r="I86" s="8" t="inlineStr">
        <is>
          <t>研究员签名</t>
        </is>
      </c>
    </row>
    <row r="87">
      <c r="A87" s="13" t="inlineStr"/>
      <c r="B87" s="13" t="n"/>
      <c r="C87" s="13" t="n"/>
      <c r="D87" s="10">
        <f>IF(OR(B87="",C87=""),"",(C87-B87)*1440)</f>
        <v/>
      </c>
      <c r="E87" s="13" t="n"/>
      <c r="F87" s="10">
        <f>IF(OR(D87="",E87=""),"",D87*E87)</f>
        <v/>
      </c>
      <c r="G87" s="13" t="n"/>
      <c r="H87" s="13" t="n"/>
      <c r="I87" s="13" t="n"/>
    </row>
    <row r="89">
      <c r="A89" s="5" t="inlineStr">
        <is>
          <t>── P011 朱怀远 ──────────────────────────────────────────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" t="n"/>
    </row>
    <row r="90">
      <c r="A90" s="8" t="inlineStr">
        <is>
          <t>编号</t>
        </is>
      </c>
      <c r="B90" s="8" t="inlineStr">
        <is>
          <t>姓名</t>
        </is>
      </c>
      <c r="C90" s="8" t="inlineStr">
        <is>
          <t>身高</t>
        </is>
      </c>
      <c r="D90" s="8" t="inlineStr">
        <is>
          <t>1RM</t>
        </is>
      </c>
      <c r="E90" s="8" t="inlineStr">
        <is>
          <t>睡眠</t>
        </is>
      </c>
      <c r="F90" s="8" t="inlineStr">
        <is>
          <t>压力</t>
        </is>
      </c>
      <c r="G90" s="8" t="inlineStr">
        <is>
          <t>疲劳</t>
        </is>
      </c>
      <c r="H90" s="8" t="inlineStr">
        <is>
          <t>酸痛</t>
        </is>
      </c>
      <c r="I90" s="8" t="inlineStr">
        <is>
          <t>Hooper总</t>
        </is>
      </c>
      <c r="J90" s="8" t="inlineStr">
        <is>
          <t>CMJ1</t>
        </is>
      </c>
      <c r="K90" s="8" t="inlineStr">
        <is>
          <t>CMJ2</t>
        </is>
      </c>
      <c r="L90" s="8" t="inlineStr">
        <is>
          <t>CMJ3</t>
        </is>
      </c>
      <c r="M90" s="8" t="inlineStr">
        <is>
          <t>CMJ均值</t>
        </is>
      </c>
      <c r="N90" s="8" t="inlineStr">
        <is>
          <t>&lt;95%?</t>
        </is>
      </c>
      <c r="O90" s="8" t="inlineStr">
        <is>
          <t>减组?</t>
        </is>
      </c>
      <c r="P90" s="8" t="inlineStr">
        <is>
          <t>实做组数</t>
        </is>
      </c>
      <c r="Q90" s="8" t="inlineStr">
        <is>
          <t>LVP_a</t>
        </is>
      </c>
      <c r="R90" s="8" t="inlineStr">
        <is>
          <t>LVP_b</t>
        </is>
      </c>
      <c r="S90" s="8" t="inlineStr">
        <is>
          <t>等级</t>
        </is>
      </c>
      <c r="T90" s="8" t="inlineStr">
        <is>
          <t>预测起始</t>
        </is>
      </c>
    </row>
    <row r="91">
      <c r="A91" s="9" t="inlineStr">
        <is>
          <t>P011</t>
        </is>
      </c>
      <c r="B91" s="9" t="inlineStr">
        <is>
          <t>朱怀远</t>
        </is>
      </c>
      <c r="C91" s="9" t="n">
        <v>165</v>
      </c>
      <c r="D91" s="9" t="n">
        <v>125</v>
      </c>
      <c r="E91" s="9" t="n"/>
      <c r="F91" s="9" t="n"/>
      <c r="G91" s="9" t="n"/>
      <c r="H91" s="9" t="n"/>
      <c r="I91" s="10">
        <f>IFERROR(SUM(E91:H91),"")</f>
        <v/>
      </c>
      <c r="J91" s="9" t="n"/>
      <c r="K91" s="9" t="n"/>
      <c r="L91" s="9" t="n"/>
      <c r="M91" s="10">
        <f>IFERROR(AVERAGE(J91:L91),"")</f>
        <v/>
      </c>
      <c r="N91" s="10">
        <f>IF(M91="","",IF(M91&lt;64.98,"是⚠","否"))</f>
        <v/>
      </c>
      <c r="O91" s="10">
        <f>IF(M91="","",IF(M91&lt;64.98,"减1组","正常"))</f>
        <v/>
      </c>
      <c r="P91" s="10">
        <f>IF(M91="","",IF(M91&lt;64.98,5-1,5))</f>
        <v/>
      </c>
      <c r="Q91" s="9" t="n">
        <v>1.2583</v>
      </c>
      <c r="R91" s="9" t="n">
        <v>-0.006125</v>
      </c>
      <c r="S91" s="9" t="inlineStr">
        <is>
          <t>D</t>
        </is>
      </c>
      <c r="T91" s="10">
        <f>IFERROR(ROUND((0.55-1.2583)/-0.006125,0.5),"")</f>
        <v/>
      </c>
    </row>
    <row r="92">
      <c r="A92" s="8" t="inlineStr">
        <is>
          <t>热身校准</t>
        </is>
      </c>
      <c r="B92" s="8" t="inlineStr">
        <is>
          <t>LVP_a</t>
        </is>
      </c>
      <c r="C92" s="8" t="inlineStr">
        <is>
          <t>LVP_b</t>
        </is>
      </c>
      <c r="D92" s="8" t="inlineStr">
        <is>
          <t>50%热身kg</t>
        </is>
      </c>
      <c r="E92" s="8" t="inlineStr">
        <is>
          <t>70%热身kg</t>
        </is>
      </c>
      <c r="F92" s="8" t="inlineStr">
        <is>
          <t>热身负荷kg</t>
        </is>
      </c>
      <c r="G92" s="8" t="inlineStr">
        <is>
          <t>实测MCV</t>
        </is>
      </c>
      <c r="H92" s="8" t="inlineStr">
        <is>
          <t>预测MCV</t>
        </is>
      </c>
      <c r="I92" s="8" t="inlineStr">
        <is>
          <t>Δv</t>
        </is>
      </c>
      <c r="J92" s="8" t="inlineStr">
        <is>
          <t>调整量kg</t>
        </is>
      </c>
      <c r="K92" s="8" t="inlineStr">
        <is>
          <t>校准后第1组kg</t>
        </is>
      </c>
    </row>
    <row r="93">
      <c r="A93" s="11" t="inlineStr"/>
      <c r="B93" s="11" t="n">
        <v>1.2583</v>
      </c>
      <c r="C93" s="11" t="n">
        <v>-0.006125</v>
      </c>
      <c r="D93" s="10">
        <f>IFERROR(ROUND(T91*0.5,2.5),"")</f>
        <v/>
      </c>
      <c r="E93" s="10">
        <f>IFERROR(ROUND(T91*0.7,2.5),"")</f>
        <v/>
      </c>
      <c r="F93" s="10">
        <f>E93</f>
        <v/>
      </c>
      <c r="G93" s="9" t="n"/>
      <c r="H93" s="10">
        <f>IF(F93="","",B93+C93*F93)</f>
        <v/>
      </c>
      <c r="I93" s="10">
        <f>IF(OR(G93="",H93=""),"",G93-H93)</f>
        <v/>
      </c>
      <c r="J93" s="10">
        <f>IF(I93="","",IF(I93&gt;0.08,5,IF(I93&gt;0.04,2.5,IF(I93&gt;=-0.04,0,IF(I93&gt;=-0.08,-2.5,-5)))))</f>
        <v/>
      </c>
      <c r="K93" s="10">
        <f>IFERROR(ROUND(T91+J93,2.5),"")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8" t="inlineStr">
        <is>
          <t>组次</t>
        </is>
      </c>
      <c r="B94" s="8" t="inlineStr">
        <is>
          <t>负荷kg</t>
        </is>
      </c>
      <c r="C94" s="8" t="inlineStr">
        <is>
          <t>rep1</t>
        </is>
      </c>
      <c r="D94" s="8" t="inlineStr">
        <is>
          <t>rep2</t>
        </is>
      </c>
      <c r="E94" s="8" t="inlineStr">
        <is>
          <t>rep3</t>
        </is>
      </c>
      <c r="F94" s="8" t="inlineStr">
        <is>
          <t>rep4</t>
        </is>
      </c>
      <c r="G94" s="8" t="inlineStr">
        <is>
          <t>rep5</t>
        </is>
      </c>
      <c r="H94" s="8" t="inlineStr">
        <is>
          <t>rep6</t>
        </is>
      </c>
      <c r="I94" s="8" t="inlineStr">
        <is>
          <t>首rep</t>
        </is>
      </c>
      <c r="J94" s="8" t="inlineStr">
        <is>
          <t>最低速</t>
        </is>
      </c>
      <c r="K94" s="8" t="inlineStr">
        <is>
          <t>最低rep#</t>
        </is>
      </c>
      <c r="L94" s="8" t="inlineStr">
        <is>
          <t>VL%</t>
        </is>
      </c>
      <c r="M94" s="8" t="inlineStr">
        <is>
          <t>VL达标?</t>
        </is>
      </c>
      <c r="N94" s="8" t="inlineStr">
        <is>
          <t>安全停止?</t>
        </is>
      </c>
      <c r="O94" s="8" t="inlineStr">
        <is>
          <t>停组原因</t>
        </is>
      </c>
      <c r="P94" s="8" t="inlineStr">
        <is>
          <t>下组建议</t>
        </is>
      </c>
      <c r="Q94" s="8" t="inlineStr">
        <is>
          <t>实做次数</t>
        </is>
      </c>
    </row>
    <row r="95">
      <c r="A95" s="12" t="n">
        <v>1</v>
      </c>
      <c r="B95" s="10">
        <f>IF(K93="","",K93)</f>
        <v/>
      </c>
      <c r="C95" s="9" t="n"/>
      <c r="D95" s="9" t="n"/>
      <c r="E95" s="9" t="n"/>
      <c r="F95" s="9" t="n"/>
      <c r="G95" s="9" t="n"/>
      <c r="H95" s="9" t="n"/>
      <c r="I95" s="10">
        <f>IFERROR(INDEX(C95:H95,MATCH(TRUE,INDEX(C95:H95&lt;&gt;"",0),0)),"")</f>
        <v/>
      </c>
      <c r="J95" s="10">
        <f>IFERROR(MIN(IF(C95:H95&lt;&gt;"",C95:H95)),"")</f>
        <v/>
      </c>
      <c r="K95" s="10">
        <f>IFERROR(MATCH(I95,C95:H95,0),"")</f>
        <v/>
      </c>
      <c r="L95" s="10">
        <f>IF(OR(I95="",J95=""),"",ROUND((I95-J95)/I95*100,1))</f>
        <v/>
      </c>
      <c r="M95" s="10">
        <f>IF(L95="","",IF(L95&gt;=22,"是","否"))</f>
        <v/>
      </c>
      <c r="N95" s="10">
        <f>IF(J95="","",IF(J95&lt;0.15,"是","否"))</f>
        <v/>
      </c>
      <c r="O95" s="10">
        <f>IF(I95="","",IF(J95&lt;0.15,"SAFETY_STOP",IF(L95&gt;=22,"VL_THRESHOLD","PLANNED_END")))</f>
        <v/>
      </c>
      <c r="P95" s="10">
        <f>IF(I95="","",IF(I95&gt;($D$2+0.05),"+5kg",IF(I95&gt;($D$2+0.02),"+2.5kg",IF(I95&gt;=($D$2-0.05),"保持",IF(I95&gt;=($D$2-0.08),"-2.5kg","-5kg")))))</f>
        <v/>
      </c>
      <c r="Q95" s="9" t="n"/>
      <c r="R95" s="12" t="n"/>
      <c r="S95" s="12" t="n"/>
      <c r="T95" s="12" t="n"/>
    </row>
    <row r="96">
      <c r="A96" s="12" t="n">
        <v>2</v>
      </c>
      <c r="B96" s="9" t="n"/>
      <c r="C96" s="9" t="n"/>
      <c r="D96" s="9" t="n"/>
      <c r="E96" s="9" t="n"/>
      <c r="F96" s="9" t="n"/>
      <c r="G96" s="9" t="n"/>
      <c r="H96" s="9" t="n"/>
      <c r="I96" s="10">
        <f>IFERROR(INDEX(C96:H96,MATCH(TRUE,INDEX(C96:H96&lt;&gt;"",0),0)),"")</f>
        <v/>
      </c>
      <c r="J96" s="10">
        <f>IFERROR(MIN(IF(C96:H96&lt;&gt;"",C96:H96)),"")</f>
        <v/>
      </c>
      <c r="K96" s="10">
        <f>IFERROR(MATCH(I96,C96:H96,0),"")</f>
        <v/>
      </c>
      <c r="L96" s="10">
        <f>IF(OR(I96="",J96=""),"",ROUND((I96-J96)/I96*100,1))</f>
        <v/>
      </c>
      <c r="M96" s="10">
        <f>IF(L96="","",IF(L96&gt;=22,"是","否"))</f>
        <v/>
      </c>
      <c r="N96" s="10">
        <f>IF(J96="","",IF(J96&lt;0.15,"是","否"))</f>
        <v/>
      </c>
      <c r="O96" s="10">
        <f>IF(I96="","",IF(J96&lt;0.15,"SAFETY_STOP",IF(L96&gt;=22,"VL_THRESHOLD","PLANNED_END")))</f>
        <v/>
      </c>
      <c r="P96" s="10">
        <f>IF(I96="","",IF(I96&gt;($D$2+0.05),"+5kg",IF(I96&gt;($D$2+0.02),"+2.5kg",IF(I96&gt;=($D$2-0.05),"保持",IF(I96&gt;=($D$2-0.08),"-2.5kg","-5kg")))))</f>
        <v/>
      </c>
      <c r="Q96" s="9" t="n"/>
      <c r="R96" s="12" t="n"/>
      <c r="S96" s="12" t="n"/>
      <c r="T96" s="12" t="n"/>
    </row>
    <row r="97">
      <c r="A97" s="12" t="n">
        <v>3</v>
      </c>
      <c r="B97" s="9" t="n"/>
      <c r="C97" s="9" t="n"/>
      <c r="D97" s="9" t="n"/>
      <c r="E97" s="9" t="n"/>
      <c r="F97" s="9" t="n"/>
      <c r="G97" s="9" t="n"/>
      <c r="H97" s="9" t="n"/>
      <c r="I97" s="10">
        <f>IFERROR(INDEX(C97:H97,MATCH(TRUE,INDEX(C97:H97&lt;&gt;"",0),0)),"")</f>
        <v/>
      </c>
      <c r="J97" s="10">
        <f>IFERROR(MIN(IF(C97:H97&lt;&gt;"",C97:H97)),"")</f>
        <v/>
      </c>
      <c r="K97" s="10">
        <f>IFERROR(MATCH(I97,C97:H97,0),"")</f>
        <v/>
      </c>
      <c r="L97" s="10">
        <f>IF(OR(I97="",J97=""),"",ROUND((I97-J97)/I97*100,1))</f>
        <v/>
      </c>
      <c r="M97" s="10">
        <f>IF(L97="","",IF(L97&gt;=22,"是","否"))</f>
        <v/>
      </c>
      <c r="N97" s="10">
        <f>IF(J97="","",IF(J97&lt;0.15,"是","否"))</f>
        <v/>
      </c>
      <c r="O97" s="10">
        <f>IF(I97="","",IF(J97&lt;0.15,"SAFETY_STOP",IF(L97&gt;=22,"VL_THRESHOLD","PLANNED_END")))</f>
        <v/>
      </c>
      <c r="P97" s="10">
        <f>IF(I97="","",IF(I97&gt;($D$2+0.05),"+5kg",IF(I97&gt;($D$2+0.02),"+2.5kg",IF(I97&gt;=($D$2-0.05),"保持",IF(I97&gt;=($D$2-0.08),"-2.5kg","-5kg")))))</f>
        <v/>
      </c>
      <c r="Q97" s="9" t="n"/>
      <c r="R97" s="12" t="n"/>
      <c r="S97" s="12" t="n"/>
      <c r="T97" s="12" t="n"/>
    </row>
    <row r="98">
      <c r="A98" s="12" t="n">
        <v>4</v>
      </c>
      <c r="B98" s="9" t="n"/>
      <c r="C98" s="9" t="n"/>
      <c r="D98" s="9" t="n"/>
      <c r="E98" s="9" t="n"/>
      <c r="F98" s="9" t="n"/>
      <c r="G98" s="9" t="n"/>
      <c r="H98" s="9" t="n"/>
      <c r="I98" s="10">
        <f>IFERROR(INDEX(C98:H98,MATCH(TRUE,INDEX(C98:H98&lt;&gt;"",0),0)),"")</f>
        <v/>
      </c>
      <c r="J98" s="10">
        <f>IFERROR(MIN(IF(C98:H98&lt;&gt;"",C98:H98)),"")</f>
        <v/>
      </c>
      <c r="K98" s="10">
        <f>IFERROR(MATCH(I98,C98:H98,0),"")</f>
        <v/>
      </c>
      <c r="L98" s="10">
        <f>IF(OR(I98="",J98=""),"",ROUND((I98-J98)/I98*100,1))</f>
        <v/>
      </c>
      <c r="M98" s="10">
        <f>IF(L98="","",IF(L98&gt;=22,"是","否"))</f>
        <v/>
      </c>
      <c r="N98" s="10">
        <f>IF(J98="","",IF(J98&lt;0.15,"是","否"))</f>
        <v/>
      </c>
      <c r="O98" s="10">
        <f>IF(I98="","",IF(J98&lt;0.15,"SAFETY_STOP",IF(L98&gt;=22,"VL_THRESHOLD","PLANNED_END")))</f>
        <v/>
      </c>
      <c r="P98" s="10">
        <f>IF(I98="","",IF(I98&gt;($D$2+0.05),"+5kg",IF(I98&gt;($D$2+0.02),"+2.5kg",IF(I98&gt;=($D$2-0.05),"保持",IF(I98&gt;=($D$2-0.08),"-2.5kg","-5kg")))))</f>
        <v/>
      </c>
      <c r="Q98" s="9" t="n"/>
      <c r="R98" s="12" t="n"/>
      <c r="S98" s="12" t="n"/>
      <c r="T98" s="12" t="n"/>
    </row>
    <row r="99">
      <c r="A99" s="12" t="n">
        <v>5</v>
      </c>
      <c r="B99" s="9" t="n"/>
      <c r="C99" s="9" t="n"/>
      <c r="D99" s="9" t="n"/>
      <c r="E99" s="9" t="n"/>
      <c r="F99" s="9" t="n"/>
      <c r="G99" s="9" t="n"/>
      <c r="H99" s="9" t="n"/>
      <c r="I99" s="10">
        <f>IFERROR(INDEX(C99:H99,MATCH(TRUE,INDEX(C99:H99&lt;&gt;"",0),0)),"")</f>
        <v/>
      </c>
      <c r="J99" s="10">
        <f>IFERROR(MIN(IF(C99:H99&lt;&gt;"",C99:H99)),"")</f>
        <v/>
      </c>
      <c r="K99" s="10">
        <f>IFERROR(MATCH(I99,C99:H99,0),"")</f>
        <v/>
      </c>
      <c r="L99" s="10">
        <f>IF(OR(I99="",J99=""),"",ROUND((I99-J99)/I99*100,1))</f>
        <v/>
      </c>
      <c r="M99" s="10">
        <f>IF(L99="","",IF(L99&gt;=22,"是","否"))</f>
        <v/>
      </c>
      <c r="N99" s="10">
        <f>IF(J99="","",IF(J99&lt;0.15,"是","否"))</f>
        <v/>
      </c>
      <c r="O99" s="10">
        <f>IF(I99="","",IF(J99&lt;0.15,"SAFETY_STOP",IF(L99&gt;=22,"VL_THRESHOLD","PLANNED_END")))</f>
        <v/>
      </c>
      <c r="P99" s="10">
        <f>IF(I99="","",IF(I99&gt;($D$2+0.05),"+5kg",IF(I99&gt;($D$2+0.02),"+2.5kg",IF(I99&gt;=($D$2-0.05),"保持",IF(I99&gt;=($D$2-0.08),"-2.5kg","-5kg")))))</f>
        <v/>
      </c>
      <c r="Q99" s="9" t="n"/>
      <c r="R99" s="12" t="n"/>
      <c r="S99" s="12" t="n"/>
      <c r="T99" s="12" t="n"/>
    </row>
    <row r="100">
      <c r="A100" s="12" t="n">
        <v>6</v>
      </c>
      <c r="B100" s="9" t="n"/>
      <c r="C100" s="9" t="n"/>
      <c r="D100" s="9" t="n"/>
      <c r="E100" s="9" t="n"/>
      <c r="F100" s="9" t="n"/>
      <c r="G100" s="9" t="n"/>
      <c r="H100" s="9" t="n"/>
      <c r="I100" s="10">
        <f>IFERROR(INDEX(C100:H100,MATCH(TRUE,INDEX(C100:H100&lt;&gt;"",0),0)),"")</f>
        <v/>
      </c>
      <c r="J100" s="10">
        <f>IFERROR(MIN(IF(C100:H100&lt;&gt;"",C100:H100)),"")</f>
        <v/>
      </c>
      <c r="K100" s="10">
        <f>IFERROR(MATCH(I100,C100:H100,0),"")</f>
        <v/>
      </c>
      <c r="L100" s="10">
        <f>IF(OR(I100="",J100=""),"",ROUND((I100-J100)/I100*100,1))</f>
        <v/>
      </c>
      <c r="M100" s="10">
        <f>IF(L100="","",IF(L100&gt;=22,"是","否"))</f>
        <v/>
      </c>
      <c r="N100" s="10">
        <f>IF(J100="","",IF(J100&lt;0.15,"是","否"))</f>
        <v/>
      </c>
      <c r="O100" s="10">
        <f>IF(I100="","",IF(J100&lt;0.15,"SAFETY_STOP",IF(L100&gt;=22,"VL_THRESHOLD","PLANNED_END")))</f>
        <v/>
      </c>
      <c r="P100" s="10">
        <f>IF(I100="","",IF(I100&gt;($D$2+0.05),"+5kg",IF(I100&gt;($D$2+0.02),"+2.5kg",IF(I100&gt;=($D$2-0.05),"保持",IF(I100&gt;=($D$2-0.08),"-2.5kg","-5kg")))))</f>
        <v/>
      </c>
      <c r="Q100" s="9" t="n"/>
      <c r="R100" s="12" t="n"/>
      <c r="S100" s="12" t="n"/>
      <c r="T100" s="12" t="n"/>
    </row>
    <row r="101">
      <c r="A101" s="8" t="inlineStr">
        <is>
          <t>辅助动作</t>
        </is>
      </c>
      <c r="B101" s="8" t="inlineStr">
        <is>
          <t>动作名称</t>
        </is>
      </c>
      <c r="C101" s="8" t="inlineStr">
        <is>
          <t>负荷kg</t>
        </is>
      </c>
      <c r="D101" s="8" t="inlineStr">
        <is>
          <t>完成(组×次)</t>
        </is>
      </c>
    </row>
    <row r="102">
      <c r="A102" s="9" t="inlineStr"/>
      <c r="B102" s="9" t="n"/>
      <c r="C102" s="9" t="n"/>
      <c r="D102" s="9" t="n"/>
    </row>
    <row r="103">
      <c r="A103" s="8" t="inlineStr">
        <is>
          <t>训练后</t>
        </is>
      </c>
      <c r="B103" s="8" t="inlineStr">
        <is>
          <t>开始时间</t>
        </is>
      </c>
      <c r="C103" s="8" t="inlineStr">
        <is>
          <t>结束时间</t>
        </is>
      </c>
      <c r="D103" s="8" t="inlineStr">
        <is>
          <t>总时长min</t>
        </is>
      </c>
      <c r="E103" s="8" t="inlineStr">
        <is>
          <t>sRPE</t>
        </is>
      </c>
      <c r="F103" s="8" t="inlineStr">
        <is>
          <t>session_load</t>
        </is>
      </c>
      <c r="G103" s="8" t="inlineStr">
        <is>
          <t>有无不适</t>
        </is>
      </c>
      <c r="H103" s="8" t="inlineStr">
        <is>
          <t>备注</t>
        </is>
      </c>
      <c r="I103" s="8" t="inlineStr">
        <is>
          <t>研究员签名</t>
        </is>
      </c>
    </row>
    <row r="104">
      <c r="A104" s="13" t="inlineStr"/>
      <c r="B104" s="13" t="n"/>
      <c r="C104" s="13" t="n"/>
      <c r="D104" s="10">
        <f>IF(OR(B104="",C104=""),"",(C104-B104)*1440)</f>
        <v/>
      </c>
      <c r="E104" s="13" t="n"/>
      <c r="F104" s="10">
        <f>IF(OR(D104="",E104=""),"",D104*E104)</f>
        <v/>
      </c>
      <c r="G104" s="13" t="n"/>
      <c r="H104" s="13" t="n"/>
      <c r="I104" s="13" t="n"/>
    </row>
    <row r="106">
      <c r="A106" s="5" t="inlineStr">
        <is>
          <t>── P016 杜遥 ──────────────────────────────────────────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7" t="n"/>
    </row>
    <row r="107">
      <c r="A107" s="8" t="inlineStr">
        <is>
          <t>编号</t>
        </is>
      </c>
      <c r="B107" s="8" t="inlineStr">
        <is>
          <t>姓名</t>
        </is>
      </c>
      <c r="C107" s="8" t="inlineStr">
        <is>
          <t>身高</t>
        </is>
      </c>
      <c r="D107" s="8" t="inlineStr">
        <is>
          <t>1RM</t>
        </is>
      </c>
      <c r="E107" s="8" t="inlineStr">
        <is>
          <t>睡眠</t>
        </is>
      </c>
      <c r="F107" s="8" t="inlineStr">
        <is>
          <t>压力</t>
        </is>
      </c>
      <c r="G107" s="8" t="inlineStr">
        <is>
          <t>疲劳</t>
        </is>
      </c>
      <c r="H107" s="8" t="inlineStr">
        <is>
          <t>酸痛</t>
        </is>
      </c>
      <c r="I107" s="8" t="inlineStr">
        <is>
          <t>Hooper总</t>
        </is>
      </c>
      <c r="J107" s="8" t="inlineStr">
        <is>
          <t>CMJ1</t>
        </is>
      </c>
      <c r="K107" s="8" t="inlineStr">
        <is>
          <t>CMJ2</t>
        </is>
      </c>
      <c r="L107" s="8" t="inlineStr">
        <is>
          <t>CMJ3</t>
        </is>
      </c>
      <c r="M107" s="8" t="inlineStr">
        <is>
          <t>CMJ均值</t>
        </is>
      </c>
      <c r="N107" s="8" t="inlineStr">
        <is>
          <t>&lt;95%?</t>
        </is>
      </c>
      <c r="O107" s="8" t="inlineStr">
        <is>
          <t>减组?</t>
        </is>
      </c>
      <c r="P107" s="8" t="inlineStr">
        <is>
          <t>实做组数</t>
        </is>
      </c>
      <c r="Q107" s="8" t="inlineStr">
        <is>
          <t>LVP_a</t>
        </is>
      </c>
      <c r="R107" s="8" t="inlineStr">
        <is>
          <t>LVP_b</t>
        </is>
      </c>
      <c r="S107" s="8" t="inlineStr">
        <is>
          <t>等级</t>
        </is>
      </c>
      <c r="T107" s="8" t="inlineStr">
        <is>
          <t>预测起始</t>
        </is>
      </c>
    </row>
    <row r="108">
      <c r="A108" s="9" t="inlineStr">
        <is>
          <t>P016</t>
        </is>
      </c>
      <c r="B108" s="9" t="inlineStr">
        <is>
          <t>杜遥</t>
        </is>
      </c>
      <c r="C108" s="9" t="n">
        <v>180</v>
      </c>
      <c r="D108" s="9" t="n">
        <v>135</v>
      </c>
      <c r="E108" s="9" t="n"/>
      <c r="F108" s="9" t="n"/>
      <c r="G108" s="9" t="n"/>
      <c r="H108" s="9" t="n"/>
      <c r="I108" s="10">
        <f>IFERROR(SUM(E108:H108),"")</f>
        <v/>
      </c>
      <c r="J108" s="9" t="n"/>
      <c r="K108" s="9" t="n"/>
      <c r="L108" s="9" t="n"/>
      <c r="M108" s="10">
        <f>IFERROR(AVERAGE(J108:L108),"")</f>
        <v/>
      </c>
      <c r="N108" s="10">
        <f>IF(M108="","",IF(M108&lt;49.75,"是⚠","否"))</f>
        <v/>
      </c>
      <c r="O108" s="10">
        <f>IF(M108="","",IF(M108&lt;49.75,"减1组","正常"))</f>
        <v/>
      </c>
      <c r="P108" s="10">
        <f>IF(M108="","",IF(M108&lt;49.75,5-1,5))</f>
        <v/>
      </c>
      <c r="Q108" s="9" t="n">
        <v>1.54</v>
      </c>
      <c r="R108" s="9" t="n">
        <v>-0.008500000000000001</v>
      </c>
      <c r="S108" s="9" t="inlineStr">
        <is>
          <t>B</t>
        </is>
      </c>
      <c r="T108" s="10">
        <f>IFERROR(ROUND((0.55-1.54)/-0.0085,0.5),"")</f>
        <v/>
      </c>
    </row>
    <row r="109">
      <c r="A109" s="8" t="inlineStr">
        <is>
          <t>热身校准</t>
        </is>
      </c>
      <c r="B109" s="8" t="inlineStr">
        <is>
          <t>LVP_a</t>
        </is>
      </c>
      <c r="C109" s="8" t="inlineStr">
        <is>
          <t>LVP_b</t>
        </is>
      </c>
      <c r="D109" s="8" t="inlineStr">
        <is>
          <t>50%热身kg</t>
        </is>
      </c>
      <c r="E109" s="8" t="inlineStr">
        <is>
          <t>70%热身kg</t>
        </is>
      </c>
      <c r="F109" s="8" t="inlineStr">
        <is>
          <t>热身负荷kg</t>
        </is>
      </c>
      <c r="G109" s="8" t="inlineStr">
        <is>
          <t>实测MCV</t>
        </is>
      </c>
      <c r="H109" s="8" t="inlineStr">
        <is>
          <t>预测MCV</t>
        </is>
      </c>
      <c r="I109" s="8" t="inlineStr">
        <is>
          <t>Δv</t>
        </is>
      </c>
      <c r="J109" s="8" t="inlineStr">
        <is>
          <t>调整量kg</t>
        </is>
      </c>
      <c r="K109" s="8" t="inlineStr">
        <is>
          <t>校准后第1组kg</t>
        </is>
      </c>
    </row>
    <row r="110">
      <c r="A110" s="11" t="inlineStr"/>
      <c r="B110" s="11" t="n">
        <v>1.54</v>
      </c>
      <c r="C110" s="11" t="n">
        <v>-0.008500000000000001</v>
      </c>
      <c r="D110" s="10">
        <f>IFERROR(ROUND(T108*0.5,2.5),"")</f>
        <v/>
      </c>
      <c r="E110" s="10">
        <f>IFERROR(ROUND(T108*0.7,2.5),"")</f>
        <v/>
      </c>
      <c r="F110" s="10">
        <f>E110</f>
        <v/>
      </c>
      <c r="G110" s="9" t="n"/>
      <c r="H110" s="10">
        <f>IF(F110="","",B110+C110*F110)</f>
        <v/>
      </c>
      <c r="I110" s="10">
        <f>IF(OR(G110="",H110=""),"",G110-H110)</f>
        <v/>
      </c>
      <c r="J110" s="10">
        <f>IF(I110="","",IF(I110&gt;0.08,5,IF(I110&gt;0.04,2.5,IF(I110&gt;=-0.04,0,IF(I110&gt;=-0.08,-2.5,-5)))))</f>
        <v/>
      </c>
      <c r="K110" s="10">
        <f>IFERROR(ROUND(T108+J110,2.5),"")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8" t="inlineStr">
        <is>
          <t>组次</t>
        </is>
      </c>
      <c r="B111" s="8" t="inlineStr">
        <is>
          <t>负荷kg</t>
        </is>
      </c>
      <c r="C111" s="8" t="inlineStr">
        <is>
          <t>rep1</t>
        </is>
      </c>
      <c r="D111" s="8" t="inlineStr">
        <is>
          <t>rep2</t>
        </is>
      </c>
      <c r="E111" s="8" t="inlineStr">
        <is>
          <t>rep3</t>
        </is>
      </c>
      <c r="F111" s="8" t="inlineStr">
        <is>
          <t>rep4</t>
        </is>
      </c>
      <c r="G111" s="8" t="inlineStr">
        <is>
          <t>rep5</t>
        </is>
      </c>
      <c r="H111" s="8" t="inlineStr">
        <is>
          <t>rep6</t>
        </is>
      </c>
      <c r="I111" s="8" t="inlineStr">
        <is>
          <t>首rep</t>
        </is>
      </c>
      <c r="J111" s="8" t="inlineStr">
        <is>
          <t>最低速</t>
        </is>
      </c>
      <c r="K111" s="8" t="inlineStr">
        <is>
          <t>最低rep#</t>
        </is>
      </c>
      <c r="L111" s="8" t="inlineStr">
        <is>
          <t>VL%</t>
        </is>
      </c>
      <c r="M111" s="8" t="inlineStr">
        <is>
          <t>VL达标?</t>
        </is>
      </c>
      <c r="N111" s="8" t="inlineStr">
        <is>
          <t>安全停止?</t>
        </is>
      </c>
      <c r="O111" s="8" t="inlineStr">
        <is>
          <t>停组原因</t>
        </is>
      </c>
      <c r="P111" s="8" t="inlineStr">
        <is>
          <t>下组建议</t>
        </is>
      </c>
      <c r="Q111" s="8" t="inlineStr">
        <is>
          <t>实做次数</t>
        </is>
      </c>
    </row>
    <row r="112">
      <c r="A112" s="12" t="n">
        <v>1</v>
      </c>
      <c r="B112" s="10">
        <f>IF(K110="","",K110)</f>
        <v/>
      </c>
      <c r="C112" s="9" t="n"/>
      <c r="D112" s="9" t="n"/>
      <c r="E112" s="9" t="n"/>
      <c r="F112" s="9" t="n"/>
      <c r="G112" s="9" t="n"/>
      <c r="H112" s="9" t="n"/>
      <c r="I112" s="10">
        <f>IFERROR(INDEX(C112:H112,MATCH(TRUE,INDEX(C112:H112&lt;&gt;"",0),0)),"")</f>
        <v/>
      </c>
      <c r="J112" s="10">
        <f>IFERROR(MIN(IF(C112:H112&lt;&gt;"",C112:H112)),"")</f>
        <v/>
      </c>
      <c r="K112" s="10">
        <f>IFERROR(MATCH(I112,C112:H112,0),"")</f>
        <v/>
      </c>
      <c r="L112" s="10">
        <f>IF(OR(I112="",J112=""),"",ROUND((I112-J112)/I112*100,1))</f>
        <v/>
      </c>
      <c r="M112" s="10">
        <f>IF(L112="","",IF(L112&gt;=22,"是","否"))</f>
        <v/>
      </c>
      <c r="N112" s="10">
        <f>IF(J112="","",IF(J112&lt;0.15,"是","否"))</f>
        <v/>
      </c>
      <c r="O112" s="10">
        <f>IF(I112="","",IF(J112&lt;0.15,"SAFETY_STOP",IF(L112&gt;=22,"VL_THRESHOLD","PLANNED_END")))</f>
        <v/>
      </c>
      <c r="P112" s="10">
        <f>IF(I112="","",IF(I112&gt;($D$2+0.05),"+5kg",IF(I112&gt;($D$2+0.02),"+2.5kg",IF(I112&gt;=($D$2-0.05),"保持",IF(I112&gt;=($D$2-0.08),"-2.5kg","-5kg")))))</f>
        <v/>
      </c>
      <c r="Q112" s="9" t="n"/>
      <c r="R112" s="12" t="n"/>
      <c r="S112" s="12" t="n"/>
      <c r="T112" s="12" t="n"/>
    </row>
    <row r="113">
      <c r="A113" s="12" t="n">
        <v>2</v>
      </c>
      <c r="B113" s="9" t="n"/>
      <c r="C113" s="9" t="n"/>
      <c r="D113" s="9" t="n"/>
      <c r="E113" s="9" t="n"/>
      <c r="F113" s="9" t="n"/>
      <c r="G113" s="9" t="n"/>
      <c r="H113" s="9" t="n"/>
      <c r="I113" s="10">
        <f>IFERROR(INDEX(C113:H113,MATCH(TRUE,INDEX(C113:H113&lt;&gt;"",0),0)),"")</f>
        <v/>
      </c>
      <c r="J113" s="10">
        <f>IFERROR(MIN(IF(C113:H113&lt;&gt;"",C113:H113)),"")</f>
        <v/>
      </c>
      <c r="K113" s="10">
        <f>IFERROR(MATCH(I113,C113:H113,0),"")</f>
        <v/>
      </c>
      <c r="L113" s="10">
        <f>IF(OR(I113="",J113=""),"",ROUND((I113-J113)/I113*100,1))</f>
        <v/>
      </c>
      <c r="M113" s="10">
        <f>IF(L113="","",IF(L113&gt;=22,"是","否"))</f>
        <v/>
      </c>
      <c r="N113" s="10">
        <f>IF(J113="","",IF(J113&lt;0.15,"是","否"))</f>
        <v/>
      </c>
      <c r="O113" s="10">
        <f>IF(I113="","",IF(J113&lt;0.15,"SAFETY_STOP",IF(L113&gt;=22,"VL_THRESHOLD","PLANNED_END")))</f>
        <v/>
      </c>
      <c r="P113" s="10">
        <f>IF(I113="","",IF(I113&gt;($D$2+0.05),"+5kg",IF(I113&gt;($D$2+0.02),"+2.5kg",IF(I113&gt;=($D$2-0.05),"保持",IF(I113&gt;=($D$2-0.08),"-2.5kg","-5kg")))))</f>
        <v/>
      </c>
      <c r="Q113" s="9" t="n"/>
      <c r="R113" s="12" t="n"/>
      <c r="S113" s="12" t="n"/>
      <c r="T113" s="12" t="n"/>
    </row>
    <row r="114">
      <c r="A114" s="12" t="n">
        <v>3</v>
      </c>
      <c r="B114" s="9" t="n"/>
      <c r="C114" s="9" t="n"/>
      <c r="D114" s="9" t="n"/>
      <c r="E114" s="9" t="n"/>
      <c r="F114" s="9" t="n"/>
      <c r="G114" s="9" t="n"/>
      <c r="H114" s="9" t="n"/>
      <c r="I114" s="10">
        <f>IFERROR(INDEX(C114:H114,MATCH(TRUE,INDEX(C114:H114&lt;&gt;"",0),0)),"")</f>
        <v/>
      </c>
      <c r="J114" s="10">
        <f>IFERROR(MIN(IF(C114:H114&lt;&gt;"",C114:H114)),"")</f>
        <v/>
      </c>
      <c r="K114" s="10">
        <f>IFERROR(MATCH(I114,C114:H114,0),"")</f>
        <v/>
      </c>
      <c r="L114" s="10">
        <f>IF(OR(I114="",J114=""),"",ROUND((I114-J114)/I114*100,1))</f>
        <v/>
      </c>
      <c r="M114" s="10">
        <f>IF(L114="","",IF(L114&gt;=22,"是","否"))</f>
        <v/>
      </c>
      <c r="N114" s="10">
        <f>IF(J114="","",IF(J114&lt;0.15,"是","否"))</f>
        <v/>
      </c>
      <c r="O114" s="10">
        <f>IF(I114="","",IF(J114&lt;0.15,"SAFETY_STOP",IF(L114&gt;=22,"VL_THRESHOLD","PLANNED_END")))</f>
        <v/>
      </c>
      <c r="P114" s="10">
        <f>IF(I114="","",IF(I114&gt;($D$2+0.05),"+5kg",IF(I114&gt;($D$2+0.02),"+2.5kg",IF(I114&gt;=($D$2-0.05),"保持",IF(I114&gt;=($D$2-0.08),"-2.5kg","-5kg")))))</f>
        <v/>
      </c>
      <c r="Q114" s="9" t="n"/>
      <c r="R114" s="12" t="n"/>
      <c r="S114" s="12" t="n"/>
      <c r="T114" s="12" t="n"/>
    </row>
    <row r="115">
      <c r="A115" s="12" t="n">
        <v>4</v>
      </c>
      <c r="B115" s="9" t="n"/>
      <c r="C115" s="9" t="n"/>
      <c r="D115" s="9" t="n"/>
      <c r="E115" s="9" t="n"/>
      <c r="F115" s="9" t="n"/>
      <c r="G115" s="9" t="n"/>
      <c r="H115" s="9" t="n"/>
      <c r="I115" s="10">
        <f>IFERROR(INDEX(C115:H115,MATCH(TRUE,INDEX(C115:H115&lt;&gt;"",0),0)),"")</f>
        <v/>
      </c>
      <c r="J115" s="10">
        <f>IFERROR(MIN(IF(C115:H115&lt;&gt;"",C115:H115)),"")</f>
        <v/>
      </c>
      <c r="K115" s="10">
        <f>IFERROR(MATCH(I115,C115:H115,0),"")</f>
        <v/>
      </c>
      <c r="L115" s="10">
        <f>IF(OR(I115="",J115=""),"",ROUND((I115-J115)/I115*100,1))</f>
        <v/>
      </c>
      <c r="M115" s="10">
        <f>IF(L115="","",IF(L115&gt;=22,"是","否"))</f>
        <v/>
      </c>
      <c r="N115" s="10">
        <f>IF(J115="","",IF(J115&lt;0.15,"是","否"))</f>
        <v/>
      </c>
      <c r="O115" s="10">
        <f>IF(I115="","",IF(J115&lt;0.15,"SAFETY_STOP",IF(L115&gt;=22,"VL_THRESHOLD","PLANNED_END")))</f>
        <v/>
      </c>
      <c r="P115" s="10">
        <f>IF(I115="","",IF(I115&gt;($D$2+0.05),"+5kg",IF(I115&gt;($D$2+0.02),"+2.5kg",IF(I115&gt;=($D$2-0.05),"保持",IF(I115&gt;=($D$2-0.08),"-2.5kg","-5kg")))))</f>
        <v/>
      </c>
      <c r="Q115" s="9" t="n"/>
      <c r="R115" s="12" t="n"/>
      <c r="S115" s="12" t="n"/>
      <c r="T115" s="12" t="n"/>
    </row>
    <row r="116">
      <c r="A116" s="12" t="n">
        <v>5</v>
      </c>
      <c r="B116" s="9" t="n"/>
      <c r="C116" s="9" t="n"/>
      <c r="D116" s="9" t="n"/>
      <c r="E116" s="9" t="n"/>
      <c r="F116" s="9" t="n"/>
      <c r="G116" s="9" t="n"/>
      <c r="H116" s="9" t="n"/>
      <c r="I116" s="10">
        <f>IFERROR(INDEX(C116:H116,MATCH(TRUE,INDEX(C116:H116&lt;&gt;"",0),0)),"")</f>
        <v/>
      </c>
      <c r="J116" s="10">
        <f>IFERROR(MIN(IF(C116:H116&lt;&gt;"",C116:H116)),"")</f>
        <v/>
      </c>
      <c r="K116" s="10">
        <f>IFERROR(MATCH(I116,C116:H116,0),"")</f>
        <v/>
      </c>
      <c r="L116" s="10">
        <f>IF(OR(I116="",J116=""),"",ROUND((I116-J116)/I116*100,1))</f>
        <v/>
      </c>
      <c r="M116" s="10">
        <f>IF(L116="","",IF(L116&gt;=22,"是","否"))</f>
        <v/>
      </c>
      <c r="N116" s="10">
        <f>IF(J116="","",IF(J116&lt;0.15,"是","否"))</f>
        <v/>
      </c>
      <c r="O116" s="10">
        <f>IF(I116="","",IF(J116&lt;0.15,"SAFETY_STOP",IF(L116&gt;=22,"VL_THRESHOLD","PLANNED_END")))</f>
        <v/>
      </c>
      <c r="P116" s="10">
        <f>IF(I116="","",IF(I116&gt;($D$2+0.05),"+5kg",IF(I116&gt;($D$2+0.02),"+2.5kg",IF(I116&gt;=($D$2-0.05),"保持",IF(I116&gt;=($D$2-0.08),"-2.5kg","-5kg")))))</f>
        <v/>
      </c>
      <c r="Q116" s="9" t="n"/>
      <c r="R116" s="12" t="n"/>
      <c r="S116" s="12" t="n"/>
      <c r="T116" s="12" t="n"/>
    </row>
    <row r="117">
      <c r="A117" s="12" t="n">
        <v>6</v>
      </c>
      <c r="B117" s="9" t="n"/>
      <c r="C117" s="9" t="n"/>
      <c r="D117" s="9" t="n"/>
      <c r="E117" s="9" t="n"/>
      <c r="F117" s="9" t="n"/>
      <c r="G117" s="9" t="n"/>
      <c r="H117" s="9" t="n"/>
      <c r="I117" s="10">
        <f>IFERROR(INDEX(C117:H117,MATCH(TRUE,INDEX(C117:H117&lt;&gt;"",0),0)),"")</f>
        <v/>
      </c>
      <c r="J117" s="10">
        <f>IFERROR(MIN(IF(C117:H117&lt;&gt;"",C117:H117)),"")</f>
        <v/>
      </c>
      <c r="K117" s="10">
        <f>IFERROR(MATCH(I117,C117:H117,0),"")</f>
        <v/>
      </c>
      <c r="L117" s="10">
        <f>IF(OR(I117="",J117=""),"",ROUND((I117-J117)/I117*100,1))</f>
        <v/>
      </c>
      <c r="M117" s="10">
        <f>IF(L117="","",IF(L117&gt;=22,"是","否"))</f>
        <v/>
      </c>
      <c r="N117" s="10">
        <f>IF(J117="","",IF(J117&lt;0.15,"是","否"))</f>
        <v/>
      </c>
      <c r="O117" s="10">
        <f>IF(I117="","",IF(J117&lt;0.15,"SAFETY_STOP",IF(L117&gt;=22,"VL_THRESHOLD","PLANNED_END")))</f>
        <v/>
      </c>
      <c r="P117" s="10">
        <f>IF(I117="","",IF(I117&gt;($D$2+0.05),"+5kg",IF(I117&gt;($D$2+0.02),"+2.5kg",IF(I117&gt;=($D$2-0.05),"保持",IF(I117&gt;=($D$2-0.08),"-2.5kg","-5kg")))))</f>
        <v/>
      </c>
      <c r="Q117" s="9" t="n"/>
      <c r="R117" s="12" t="n"/>
      <c r="S117" s="12" t="n"/>
      <c r="T117" s="12" t="n"/>
    </row>
    <row r="118">
      <c r="A118" s="8" t="inlineStr">
        <is>
          <t>辅助动作</t>
        </is>
      </c>
      <c r="B118" s="8" t="inlineStr">
        <is>
          <t>动作名称</t>
        </is>
      </c>
      <c r="C118" s="8" t="inlineStr">
        <is>
          <t>负荷kg</t>
        </is>
      </c>
      <c r="D118" s="8" t="inlineStr">
        <is>
          <t>完成(组×次)</t>
        </is>
      </c>
    </row>
    <row r="119">
      <c r="A119" s="9" t="inlineStr"/>
      <c r="B119" s="9" t="n"/>
      <c r="C119" s="9" t="n"/>
      <c r="D119" s="9" t="n"/>
    </row>
    <row r="120">
      <c r="A120" s="8" t="inlineStr">
        <is>
          <t>训练后</t>
        </is>
      </c>
      <c r="B120" s="8" t="inlineStr">
        <is>
          <t>开始时间</t>
        </is>
      </c>
      <c r="C120" s="8" t="inlineStr">
        <is>
          <t>结束时间</t>
        </is>
      </c>
      <c r="D120" s="8" t="inlineStr">
        <is>
          <t>总时长min</t>
        </is>
      </c>
      <c r="E120" s="8" t="inlineStr">
        <is>
          <t>sRPE</t>
        </is>
      </c>
      <c r="F120" s="8" t="inlineStr">
        <is>
          <t>session_load</t>
        </is>
      </c>
      <c r="G120" s="8" t="inlineStr">
        <is>
          <t>有无不适</t>
        </is>
      </c>
      <c r="H120" s="8" t="inlineStr">
        <is>
          <t>备注</t>
        </is>
      </c>
      <c r="I120" s="8" t="inlineStr">
        <is>
          <t>研究员签名</t>
        </is>
      </c>
    </row>
    <row r="121">
      <c r="A121" s="13" t="inlineStr"/>
      <c r="B121" s="13" t="n"/>
      <c r="C121" s="13" t="n"/>
      <c r="D121" s="10">
        <f>IF(OR(B121="",C121=""),"",(C121-B121)*1440)</f>
        <v/>
      </c>
      <c r="E121" s="13" t="n"/>
      <c r="F121" s="10">
        <f>IF(OR(D121="",E121=""),"",D121*E121)</f>
        <v/>
      </c>
      <c r="G121" s="13" t="n"/>
      <c r="H121" s="13" t="n"/>
      <c r="I121" s="13" t="n"/>
    </row>
    <row r="123">
      <c r="A123" s="5" t="inlineStr">
        <is>
          <t>── P025 范芳忠 ──────────────────────────────────────────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7" t="n"/>
    </row>
    <row r="124">
      <c r="A124" s="8" t="inlineStr">
        <is>
          <t>编号</t>
        </is>
      </c>
      <c r="B124" s="8" t="inlineStr">
        <is>
          <t>姓名</t>
        </is>
      </c>
      <c r="C124" s="8" t="inlineStr">
        <is>
          <t>身高</t>
        </is>
      </c>
      <c r="D124" s="8" t="inlineStr">
        <is>
          <t>1RM</t>
        </is>
      </c>
      <c r="E124" s="8" t="inlineStr">
        <is>
          <t>睡眠</t>
        </is>
      </c>
      <c r="F124" s="8" t="inlineStr">
        <is>
          <t>压力</t>
        </is>
      </c>
      <c r="G124" s="8" t="inlineStr">
        <is>
          <t>疲劳</t>
        </is>
      </c>
      <c r="H124" s="8" t="inlineStr">
        <is>
          <t>酸痛</t>
        </is>
      </c>
      <c r="I124" s="8" t="inlineStr">
        <is>
          <t>Hooper总</t>
        </is>
      </c>
      <c r="J124" s="8" t="inlineStr">
        <is>
          <t>CMJ1</t>
        </is>
      </c>
      <c r="K124" s="8" t="inlineStr">
        <is>
          <t>CMJ2</t>
        </is>
      </c>
      <c r="L124" s="8" t="inlineStr">
        <is>
          <t>CMJ3</t>
        </is>
      </c>
      <c r="M124" s="8" t="inlineStr">
        <is>
          <t>CMJ均值</t>
        </is>
      </c>
      <c r="N124" s="8" t="inlineStr">
        <is>
          <t>&lt;95%?</t>
        </is>
      </c>
      <c r="O124" s="8" t="inlineStr">
        <is>
          <t>减组?</t>
        </is>
      </c>
      <c r="P124" s="8" t="inlineStr">
        <is>
          <t>实做组数</t>
        </is>
      </c>
      <c r="Q124" s="8" t="inlineStr">
        <is>
          <t>LVP_a</t>
        </is>
      </c>
      <c r="R124" s="8" t="inlineStr">
        <is>
          <t>LVP_b</t>
        </is>
      </c>
      <c r="S124" s="8" t="inlineStr">
        <is>
          <t>等级</t>
        </is>
      </c>
      <c r="T124" s="8" t="inlineStr">
        <is>
          <t>预测起始</t>
        </is>
      </c>
    </row>
    <row r="125">
      <c r="A125" s="9" t="inlineStr">
        <is>
          <t>P025</t>
        </is>
      </c>
      <c r="B125" s="9" t="inlineStr">
        <is>
          <t>范芳忠</t>
        </is>
      </c>
      <c r="C125" s="9" t="n">
        <v>178</v>
      </c>
      <c r="D125" s="9" t="n">
        <v>135</v>
      </c>
      <c r="E125" s="9" t="n"/>
      <c r="F125" s="9" t="n"/>
      <c r="G125" s="9" t="n"/>
      <c r="H125" s="9" t="n"/>
      <c r="I125" s="10">
        <f>IFERROR(SUM(E125:H125),"")</f>
        <v/>
      </c>
      <c r="J125" s="9" t="n"/>
      <c r="K125" s="9" t="n"/>
      <c r="L125" s="9" t="n"/>
      <c r="M125" s="10">
        <f>IFERROR(AVERAGE(J125:L125),"")</f>
        <v/>
      </c>
      <c r="N125" s="10">
        <f>IF(M125="","",IF(M125&lt;58.43,"是⚠","否"))</f>
        <v/>
      </c>
      <c r="O125" s="10">
        <f>IF(M125="","",IF(M125&lt;58.43,"减1组","正常"))</f>
        <v/>
      </c>
      <c r="P125" s="10">
        <f>IF(M125="","",IF(M125&lt;58.43,5-1,5))</f>
        <v/>
      </c>
      <c r="Q125" s="9" t="n">
        <v>1.77</v>
      </c>
      <c r="R125" s="9" t="n">
        <v>-0.0105</v>
      </c>
      <c r="S125" s="9" t="inlineStr">
        <is>
          <t>A</t>
        </is>
      </c>
      <c r="T125" s="10">
        <f>IFERROR(ROUND((0.55-1.77)/-0.0105,0.5),"")</f>
        <v/>
      </c>
    </row>
    <row r="126">
      <c r="A126" s="8" t="inlineStr">
        <is>
          <t>热身校准</t>
        </is>
      </c>
      <c r="B126" s="8" t="inlineStr">
        <is>
          <t>LVP_a</t>
        </is>
      </c>
      <c r="C126" s="8" t="inlineStr">
        <is>
          <t>LVP_b</t>
        </is>
      </c>
      <c r="D126" s="8" t="inlineStr">
        <is>
          <t>50%热身kg</t>
        </is>
      </c>
      <c r="E126" s="8" t="inlineStr">
        <is>
          <t>70%热身kg</t>
        </is>
      </c>
      <c r="F126" s="8" t="inlineStr">
        <is>
          <t>热身负荷kg</t>
        </is>
      </c>
      <c r="G126" s="8" t="inlineStr">
        <is>
          <t>实测MCV</t>
        </is>
      </c>
      <c r="H126" s="8" t="inlineStr">
        <is>
          <t>预测MCV</t>
        </is>
      </c>
      <c r="I126" s="8" t="inlineStr">
        <is>
          <t>Δv</t>
        </is>
      </c>
      <c r="J126" s="8" t="inlineStr">
        <is>
          <t>调整量kg</t>
        </is>
      </c>
      <c r="K126" s="8" t="inlineStr">
        <is>
          <t>校准后第1组kg</t>
        </is>
      </c>
    </row>
    <row r="127">
      <c r="A127" s="11" t="inlineStr"/>
      <c r="B127" s="11" t="n">
        <v>1.77</v>
      </c>
      <c r="C127" s="11" t="n">
        <v>-0.0105</v>
      </c>
      <c r="D127" s="10">
        <f>IFERROR(ROUND(T125*0.5,2.5),"")</f>
        <v/>
      </c>
      <c r="E127" s="10">
        <f>IFERROR(ROUND(T125*0.7,2.5),"")</f>
        <v/>
      </c>
      <c r="F127" s="10">
        <f>E127</f>
        <v/>
      </c>
      <c r="G127" s="9" t="n"/>
      <c r="H127" s="10">
        <f>IF(F127="","",B127+C127*F127)</f>
        <v/>
      </c>
      <c r="I127" s="10">
        <f>IF(OR(G127="",H127=""),"",G127-H127)</f>
        <v/>
      </c>
      <c r="J127" s="10">
        <f>IF(I127="","",IF(I127&gt;0.08,5,IF(I127&gt;0.04,2.5,IF(I127&gt;=-0.04,0,IF(I127&gt;=-0.08,-2.5,-5)))))</f>
        <v/>
      </c>
      <c r="K127" s="10">
        <f>IFERROR(ROUND(T125+J127,2.5),"")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8" t="inlineStr">
        <is>
          <t>组次</t>
        </is>
      </c>
      <c r="B128" s="8" t="inlineStr">
        <is>
          <t>负荷kg</t>
        </is>
      </c>
      <c r="C128" s="8" t="inlineStr">
        <is>
          <t>rep1</t>
        </is>
      </c>
      <c r="D128" s="8" t="inlineStr">
        <is>
          <t>rep2</t>
        </is>
      </c>
      <c r="E128" s="8" t="inlineStr">
        <is>
          <t>rep3</t>
        </is>
      </c>
      <c r="F128" s="8" t="inlineStr">
        <is>
          <t>rep4</t>
        </is>
      </c>
      <c r="G128" s="8" t="inlineStr">
        <is>
          <t>rep5</t>
        </is>
      </c>
      <c r="H128" s="8" t="inlineStr">
        <is>
          <t>rep6</t>
        </is>
      </c>
      <c r="I128" s="8" t="inlineStr">
        <is>
          <t>首rep</t>
        </is>
      </c>
      <c r="J128" s="8" t="inlineStr">
        <is>
          <t>最低速</t>
        </is>
      </c>
      <c r="K128" s="8" t="inlineStr">
        <is>
          <t>最低rep#</t>
        </is>
      </c>
      <c r="L128" s="8" t="inlineStr">
        <is>
          <t>VL%</t>
        </is>
      </c>
      <c r="M128" s="8" t="inlineStr">
        <is>
          <t>VL达标?</t>
        </is>
      </c>
      <c r="N128" s="8" t="inlineStr">
        <is>
          <t>安全停止?</t>
        </is>
      </c>
      <c r="O128" s="8" t="inlineStr">
        <is>
          <t>停组原因</t>
        </is>
      </c>
      <c r="P128" s="8" t="inlineStr">
        <is>
          <t>下组建议</t>
        </is>
      </c>
      <c r="Q128" s="8" t="inlineStr">
        <is>
          <t>实做次数</t>
        </is>
      </c>
    </row>
    <row r="129">
      <c r="A129" s="12" t="n">
        <v>1</v>
      </c>
      <c r="B129" s="10">
        <f>IF(K127="","",K127)</f>
        <v/>
      </c>
      <c r="C129" s="9" t="n"/>
      <c r="D129" s="9" t="n"/>
      <c r="E129" s="9" t="n"/>
      <c r="F129" s="9" t="n"/>
      <c r="G129" s="9" t="n"/>
      <c r="H129" s="9" t="n"/>
      <c r="I129" s="10">
        <f>IFERROR(INDEX(C129:H129,MATCH(TRUE,INDEX(C129:H129&lt;&gt;"",0),0)),"")</f>
        <v/>
      </c>
      <c r="J129" s="10">
        <f>IFERROR(MIN(IF(C129:H129&lt;&gt;"",C129:H129)),"")</f>
        <v/>
      </c>
      <c r="K129" s="10">
        <f>IFERROR(MATCH(I129,C129:H129,0),"")</f>
        <v/>
      </c>
      <c r="L129" s="10">
        <f>IF(OR(I129="",J129=""),"",ROUND((I129-J129)/I129*100,1))</f>
        <v/>
      </c>
      <c r="M129" s="10">
        <f>IF(L129="","",IF(L129&gt;=22,"是","否"))</f>
        <v/>
      </c>
      <c r="N129" s="10">
        <f>IF(J129="","",IF(J129&lt;0.15,"是","否"))</f>
        <v/>
      </c>
      <c r="O129" s="10">
        <f>IF(I129="","",IF(J129&lt;0.15,"SAFETY_STOP",IF(L129&gt;=22,"VL_THRESHOLD","PLANNED_END")))</f>
        <v/>
      </c>
      <c r="P129" s="10">
        <f>IF(I129="","",IF(I129&gt;($D$2+0.05),"+5kg",IF(I129&gt;($D$2+0.02),"+2.5kg",IF(I129&gt;=($D$2-0.05),"保持",IF(I129&gt;=($D$2-0.08),"-2.5kg","-5kg")))))</f>
        <v/>
      </c>
      <c r="Q129" s="9" t="n"/>
      <c r="R129" s="12" t="n"/>
      <c r="S129" s="12" t="n"/>
      <c r="T129" s="12" t="n"/>
    </row>
    <row r="130">
      <c r="A130" s="12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10">
        <f>IFERROR(INDEX(C130:H130,MATCH(TRUE,INDEX(C130:H130&lt;&gt;"",0),0)),"")</f>
        <v/>
      </c>
      <c r="J130" s="10">
        <f>IFERROR(MIN(IF(C130:H130&lt;&gt;"",C130:H130)),"")</f>
        <v/>
      </c>
      <c r="K130" s="10">
        <f>IFERROR(MATCH(I130,C130:H130,0),"")</f>
        <v/>
      </c>
      <c r="L130" s="10">
        <f>IF(OR(I130="",J130=""),"",ROUND((I130-J130)/I130*100,1))</f>
        <v/>
      </c>
      <c r="M130" s="10">
        <f>IF(L130="","",IF(L130&gt;=22,"是","否"))</f>
        <v/>
      </c>
      <c r="N130" s="10">
        <f>IF(J130="","",IF(J130&lt;0.15,"是","否"))</f>
        <v/>
      </c>
      <c r="O130" s="10">
        <f>IF(I130="","",IF(J130&lt;0.15,"SAFETY_STOP",IF(L130&gt;=22,"VL_THRESHOLD","PLANNED_END")))</f>
        <v/>
      </c>
      <c r="P130" s="10">
        <f>IF(I130="","",IF(I130&gt;($D$2+0.05),"+5kg",IF(I130&gt;($D$2+0.02),"+2.5kg",IF(I130&gt;=($D$2-0.05),"保持",IF(I130&gt;=($D$2-0.08),"-2.5kg","-5kg")))))</f>
        <v/>
      </c>
      <c r="Q130" s="9" t="n"/>
      <c r="R130" s="12" t="n"/>
      <c r="S130" s="12" t="n"/>
      <c r="T130" s="12" t="n"/>
    </row>
    <row r="131">
      <c r="A131" s="12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10">
        <f>IFERROR(INDEX(C131:H131,MATCH(TRUE,INDEX(C131:H131&lt;&gt;"",0),0)),"")</f>
        <v/>
      </c>
      <c r="J131" s="10">
        <f>IFERROR(MIN(IF(C131:H131&lt;&gt;"",C131:H131)),"")</f>
        <v/>
      </c>
      <c r="K131" s="10">
        <f>IFERROR(MATCH(I131,C131:H131,0),"")</f>
        <v/>
      </c>
      <c r="L131" s="10">
        <f>IF(OR(I131="",J131=""),"",ROUND((I131-J131)/I131*100,1))</f>
        <v/>
      </c>
      <c r="M131" s="10">
        <f>IF(L131="","",IF(L131&gt;=22,"是","否"))</f>
        <v/>
      </c>
      <c r="N131" s="10">
        <f>IF(J131="","",IF(J131&lt;0.15,"是","否"))</f>
        <v/>
      </c>
      <c r="O131" s="10">
        <f>IF(I131="","",IF(J131&lt;0.15,"SAFETY_STOP",IF(L131&gt;=22,"VL_THRESHOLD","PLANNED_END")))</f>
        <v/>
      </c>
      <c r="P131" s="10">
        <f>IF(I131="","",IF(I131&gt;($D$2+0.05),"+5kg",IF(I131&gt;($D$2+0.02),"+2.5kg",IF(I131&gt;=($D$2-0.05),"保持",IF(I131&gt;=($D$2-0.08),"-2.5kg","-5kg")))))</f>
        <v/>
      </c>
      <c r="Q131" s="9" t="n"/>
      <c r="R131" s="12" t="n"/>
      <c r="S131" s="12" t="n"/>
      <c r="T131" s="12" t="n"/>
    </row>
    <row r="132">
      <c r="A132" s="12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10">
        <f>IFERROR(INDEX(C132:H132,MATCH(TRUE,INDEX(C132:H132&lt;&gt;"",0),0)),"")</f>
        <v/>
      </c>
      <c r="J132" s="10">
        <f>IFERROR(MIN(IF(C132:H132&lt;&gt;"",C132:H132)),"")</f>
        <v/>
      </c>
      <c r="K132" s="10">
        <f>IFERROR(MATCH(I132,C132:H132,0),"")</f>
        <v/>
      </c>
      <c r="L132" s="10">
        <f>IF(OR(I132="",J132=""),"",ROUND((I132-J132)/I132*100,1))</f>
        <v/>
      </c>
      <c r="M132" s="10">
        <f>IF(L132="","",IF(L132&gt;=22,"是","否"))</f>
        <v/>
      </c>
      <c r="N132" s="10">
        <f>IF(J132="","",IF(J132&lt;0.15,"是","否"))</f>
        <v/>
      </c>
      <c r="O132" s="10">
        <f>IF(I132="","",IF(J132&lt;0.15,"SAFETY_STOP",IF(L132&gt;=22,"VL_THRESHOLD","PLANNED_END")))</f>
        <v/>
      </c>
      <c r="P132" s="10">
        <f>IF(I132="","",IF(I132&gt;($D$2+0.05),"+5kg",IF(I132&gt;($D$2+0.02),"+2.5kg",IF(I132&gt;=($D$2-0.05),"保持",IF(I132&gt;=($D$2-0.08),"-2.5kg","-5kg")))))</f>
        <v/>
      </c>
      <c r="Q132" s="9" t="n"/>
      <c r="R132" s="12" t="n"/>
      <c r="S132" s="12" t="n"/>
      <c r="T132" s="12" t="n"/>
    </row>
    <row r="133">
      <c r="A133" s="12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10">
        <f>IFERROR(INDEX(C133:H133,MATCH(TRUE,INDEX(C133:H133&lt;&gt;"",0),0)),"")</f>
        <v/>
      </c>
      <c r="J133" s="10">
        <f>IFERROR(MIN(IF(C133:H133&lt;&gt;"",C133:H133)),"")</f>
        <v/>
      </c>
      <c r="K133" s="10">
        <f>IFERROR(MATCH(I133,C133:H133,0),"")</f>
        <v/>
      </c>
      <c r="L133" s="10">
        <f>IF(OR(I133="",J133=""),"",ROUND((I133-J133)/I133*100,1))</f>
        <v/>
      </c>
      <c r="M133" s="10">
        <f>IF(L133="","",IF(L133&gt;=22,"是","否"))</f>
        <v/>
      </c>
      <c r="N133" s="10">
        <f>IF(J133="","",IF(J133&lt;0.15,"是","否"))</f>
        <v/>
      </c>
      <c r="O133" s="10">
        <f>IF(I133="","",IF(J133&lt;0.15,"SAFETY_STOP",IF(L133&gt;=22,"VL_THRESHOLD","PLANNED_END")))</f>
        <v/>
      </c>
      <c r="P133" s="10">
        <f>IF(I133="","",IF(I133&gt;($D$2+0.05),"+5kg",IF(I133&gt;($D$2+0.02),"+2.5kg",IF(I133&gt;=($D$2-0.05),"保持",IF(I133&gt;=($D$2-0.08),"-2.5kg","-5kg")))))</f>
        <v/>
      </c>
      <c r="Q133" s="9" t="n"/>
      <c r="R133" s="12" t="n"/>
      <c r="S133" s="12" t="n"/>
      <c r="T133" s="12" t="n"/>
    </row>
    <row r="134">
      <c r="A134" s="12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10">
        <f>IFERROR(INDEX(C134:H134,MATCH(TRUE,INDEX(C134:H134&lt;&gt;"",0),0)),"")</f>
        <v/>
      </c>
      <c r="J134" s="10">
        <f>IFERROR(MIN(IF(C134:H134&lt;&gt;"",C134:H134)),"")</f>
        <v/>
      </c>
      <c r="K134" s="10">
        <f>IFERROR(MATCH(I134,C134:H134,0),"")</f>
        <v/>
      </c>
      <c r="L134" s="10">
        <f>IF(OR(I134="",J134=""),"",ROUND((I134-J134)/I134*100,1))</f>
        <v/>
      </c>
      <c r="M134" s="10">
        <f>IF(L134="","",IF(L134&gt;=22,"是","否"))</f>
        <v/>
      </c>
      <c r="N134" s="10">
        <f>IF(J134="","",IF(J134&lt;0.15,"是","否"))</f>
        <v/>
      </c>
      <c r="O134" s="10">
        <f>IF(I134="","",IF(J134&lt;0.15,"SAFETY_STOP",IF(L134&gt;=22,"VL_THRESHOLD","PLANNED_END")))</f>
        <v/>
      </c>
      <c r="P134" s="10">
        <f>IF(I134="","",IF(I134&gt;($D$2+0.05),"+5kg",IF(I134&gt;($D$2+0.02),"+2.5kg",IF(I134&gt;=($D$2-0.05),"保持",IF(I134&gt;=($D$2-0.08),"-2.5kg","-5kg")))))</f>
        <v/>
      </c>
      <c r="Q134" s="9" t="n"/>
      <c r="R134" s="12" t="n"/>
      <c r="S134" s="12" t="n"/>
      <c r="T134" s="12" t="n"/>
    </row>
    <row r="135">
      <c r="A135" s="8" t="inlineStr">
        <is>
          <t>辅助动作</t>
        </is>
      </c>
      <c r="B135" s="8" t="inlineStr">
        <is>
          <t>动作名称</t>
        </is>
      </c>
      <c r="C135" s="8" t="inlineStr">
        <is>
          <t>负荷kg</t>
        </is>
      </c>
      <c r="D135" s="8" t="inlineStr">
        <is>
          <t>完成(组×次)</t>
        </is>
      </c>
    </row>
    <row r="136">
      <c r="A136" s="9" t="inlineStr"/>
      <c r="B136" s="9" t="n"/>
      <c r="C136" s="9" t="n"/>
      <c r="D136" s="9" t="n"/>
    </row>
    <row r="137">
      <c r="A137" s="8" t="inlineStr">
        <is>
          <t>训练后</t>
        </is>
      </c>
      <c r="B137" s="8" t="inlineStr">
        <is>
          <t>开始时间</t>
        </is>
      </c>
      <c r="C137" s="8" t="inlineStr">
        <is>
          <t>结束时间</t>
        </is>
      </c>
      <c r="D137" s="8" t="inlineStr">
        <is>
          <t>总时长min</t>
        </is>
      </c>
      <c r="E137" s="8" t="inlineStr">
        <is>
          <t>sRPE</t>
        </is>
      </c>
      <c r="F137" s="8" t="inlineStr">
        <is>
          <t>session_load</t>
        </is>
      </c>
      <c r="G137" s="8" t="inlineStr">
        <is>
          <t>有无不适</t>
        </is>
      </c>
      <c r="H137" s="8" t="inlineStr">
        <is>
          <t>备注</t>
        </is>
      </c>
      <c r="I137" s="8" t="inlineStr">
        <is>
          <t>研究员签名</t>
        </is>
      </c>
    </row>
    <row r="138">
      <c r="A138" s="13" t="inlineStr"/>
      <c r="B138" s="13" t="n"/>
      <c r="C138" s="13" t="n"/>
      <c r="D138" s="10">
        <f>IF(OR(B138="",C138=""),"",(C138-B138)*1440)</f>
        <v/>
      </c>
      <c r="E138" s="13" t="n"/>
      <c r="F138" s="10">
        <f>IF(OR(D138="",E138=""),"",D138*E138)</f>
        <v/>
      </c>
      <c r="G138" s="13" t="n"/>
      <c r="H138" s="13" t="n"/>
      <c r="I138" s="13" t="n"/>
    </row>
    <row r="140">
      <c r="A140" s="5" t="inlineStr">
        <is>
          <t>── P018 孟维宇 ──────────────────────────────────────────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7" t="n"/>
    </row>
    <row r="141">
      <c r="A141" s="8" t="inlineStr">
        <is>
          <t>编号</t>
        </is>
      </c>
      <c r="B141" s="8" t="inlineStr">
        <is>
          <t>姓名</t>
        </is>
      </c>
      <c r="C141" s="8" t="inlineStr">
        <is>
          <t>身高</t>
        </is>
      </c>
      <c r="D141" s="8" t="inlineStr">
        <is>
          <t>1RM</t>
        </is>
      </c>
      <c r="E141" s="8" t="inlineStr">
        <is>
          <t>睡眠</t>
        </is>
      </c>
      <c r="F141" s="8" t="inlineStr">
        <is>
          <t>压力</t>
        </is>
      </c>
      <c r="G141" s="8" t="inlineStr">
        <is>
          <t>疲劳</t>
        </is>
      </c>
      <c r="H141" s="8" t="inlineStr">
        <is>
          <t>酸痛</t>
        </is>
      </c>
      <c r="I141" s="8" t="inlineStr">
        <is>
          <t>Hooper总</t>
        </is>
      </c>
      <c r="J141" s="8" t="inlineStr">
        <is>
          <t>CMJ1</t>
        </is>
      </c>
      <c r="K141" s="8" t="inlineStr">
        <is>
          <t>CMJ2</t>
        </is>
      </c>
      <c r="L141" s="8" t="inlineStr">
        <is>
          <t>CMJ3</t>
        </is>
      </c>
      <c r="M141" s="8" t="inlineStr">
        <is>
          <t>CMJ均值</t>
        </is>
      </c>
      <c r="N141" s="8" t="inlineStr">
        <is>
          <t>&lt;95%?</t>
        </is>
      </c>
      <c r="O141" s="8" t="inlineStr">
        <is>
          <t>减组?</t>
        </is>
      </c>
      <c r="P141" s="8" t="inlineStr">
        <is>
          <t>实做组数</t>
        </is>
      </c>
      <c r="Q141" s="8" t="inlineStr">
        <is>
          <t>LVP_a</t>
        </is>
      </c>
      <c r="R141" s="8" t="inlineStr">
        <is>
          <t>LVP_b</t>
        </is>
      </c>
      <c r="S141" s="8" t="inlineStr">
        <is>
          <t>等级</t>
        </is>
      </c>
      <c r="T141" s="8" t="inlineStr">
        <is>
          <t>预测起始</t>
        </is>
      </c>
    </row>
    <row r="142">
      <c r="A142" s="9" t="inlineStr">
        <is>
          <t>P018</t>
        </is>
      </c>
      <c r="B142" s="9" t="inlineStr">
        <is>
          <t>孟维宇</t>
        </is>
      </c>
      <c r="C142" s="9" t="n">
        <v>173</v>
      </c>
      <c r="D142" s="9" t="n">
        <v>122.5</v>
      </c>
      <c r="E142" s="9" t="n"/>
      <c r="F142" s="9" t="n"/>
      <c r="G142" s="9" t="n"/>
      <c r="H142" s="9" t="n"/>
      <c r="I142" s="10">
        <f>IFERROR(SUM(E142:H142),"")</f>
        <v/>
      </c>
      <c r="J142" s="9" t="n"/>
      <c r="K142" s="9" t="n"/>
      <c r="L142" s="9" t="n"/>
      <c r="M142" s="10">
        <f>IFERROR(AVERAGE(J142:L142),"")</f>
        <v/>
      </c>
      <c r="N142" s="10">
        <f>IF(M142="","",IF(M142&lt;52.6,"是⚠","否"))</f>
        <v/>
      </c>
      <c r="O142" s="10">
        <f>IF(M142="","",IF(M142&lt;52.6,"减1组","正常"))</f>
        <v/>
      </c>
      <c r="P142" s="10">
        <f>IF(M142="","",IF(M142&lt;52.6,5-1,5))</f>
        <v/>
      </c>
      <c r="Q142" s="9" t="n">
        <v>1.71</v>
      </c>
      <c r="R142" s="9" t="n">
        <v>-0.0105</v>
      </c>
      <c r="S142" s="9" t="inlineStr">
        <is>
          <t>B</t>
        </is>
      </c>
      <c r="T142" s="10">
        <f>IFERROR(ROUND((0.55-1.71)/-0.0105,0.5),"")</f>
        <v/>
      </c>
    </row>
    <row r="143">
      <c r="A143" s="8" t="inlineStr">
        <is>
          <t>热身校准</t>
        </is>
      </c>
      <c r="B143" s="8" t="inlineStr">
        <is>
          <t>LVP_a</t>
        </is>
      </c>
      <c r="C143" s="8" t="inlineStr">
        <is>
          <t>LVP_b</t>
        </is>
      </c>
      <c r="D143" s="8" t="inlineStr">
        <is>
          <t>50%热身kg</t>
        </is>
      </c>
      <c r="E143" s="8" t="inlineStr">
        <is>
          <t>70%热身kg</t>
        </is>
      </c>
      <c r="F143" s="8" t="inlineStr">
        <is>
          <t>热身负荷kg</t>
        </is>
      </c>
      <c r="G143" s="8" t="inlineStr">
        <is>
          <t>实测MCV</t>
        </is>
      </c>
      <c r="H143" s="8" t="inlineStr">
        <is>
          <t>预测MCV</t>
        </is>
      </c>
      <c r="I143" s="8" t="inlineStr">
        <is>
          <t>Δv</t>
        </is>
      </c>
      <c r="J143" s="8" t="inlineStr">
        <is>
          <t>调整量kg</t>
        </is>
      </c>
      <c r="K143" s="8" t="inlineStr">
        <is>
          <t>校准后第1组kg</t>
        </is>
      </c>
    </row>
    <row r="144">
      <c r="A144" s="11" t="inlineStr"/>
      <c r="B144" s="11" t="n">
        <v>1.71</v>
      </c>
      <c r="C144" s="11" t="n">
        <v>-0.0105</v>
      </c>
      <c r="D144" s="10">
        <f>IFERROR(ROUND(T142*0.5,2.5),"")</f>
        <v/>
      </c>
      <c r="E144" s="10">
        <f>IFERROR(ROUND(T142*0.7,2.5),"")</f>
        <v/>
      </c>
      <c r="F144" s="10">
        <f>E144</f>
        <v/>
      </c>
      <c r="G144" s="9" t="n"/>
      <c r="H144" s="10">
        <f>IF(F144="","",B144+C144*F144)</f>
        <v/>
      </c>
      <c r="I144" s="10">
        <f>IF(OR(G144="",H144=""),"",G144-H144)</f>
        <v/>
      </c>
      <c r="J144" s="10">
        <f>IF(I144="","",IF(I144&gt;0.08,5,IF(I144&gt;0.04,2.5,IF(I144&gt;=-0.04,0,IF(I144&gt;=-0.08,-2.5,-5)))))</f>
        <v/>
      </c>
      <c r="K144" s="10">
        <f>IFERROR(ROUND(T142+J144,2.5),"")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8" t="inlineStr">
        <is>
          <t>组次</t>
        </is>
      </c>
      <c r="B145" s="8" t="inlineStr">
        <is>
          <t>负荷kg</t>
        </is>
      </c>
      <c r="C145" s="8" t="inlineStr">
        <is>
          <t>rep1</t>
        </is>
      </c>
      <c r="D145" s="8" t="inlineStr">
        <is>
          <t>rep2</t>
        </is>
      </c>
      <c r="E145" s="8" t="inlineStr">
        <is>
          <t>rep3</t>
        </is>
      </c>
      <c r="F145" s="8" t="inlineStr">
        <is>
          <t>rep4</t>
        </is>
      </c>
      <c r="G145" s="8" t="inlineStr">
        <is>
          <t>rep5</t>
        </is>
      </c>
      <c r="H145" s="8" t="inlineStr">
        <is>
          <t>rep6</t>
        </is>
      </c>
      <c r="I145" s="8" t="inlineStr">
        <is>
          <t>首rep</t>
        </is>
      </c>
      <c r="J145" s="8" t="inlineStr">
        <is>
          <t>最低速</t>
        </is>
      </c>
      <c r="K145" s="8" t="inlineStr">
        <is>
          <t>最低rep#</t>
        </is>
      </c>
      <c r="L145" s="8" t="inlineStr">
        <is>
          <t>VL%</t>
        </is>
      </c>
      <c r="M145" s="8" t="inlineStr">
        <is>
          <t>VL达标?</t>
        </is>
      </c>
      <c r="N145" s="8" t="inlineStr">
        <is>
          <t>安全停止?</t>
        </is>
      </c>
      <c r="O145" s="8" t="inlineStr">
        <is>
          <t>停组原因</t>
        </is>
      </c>
      <c r="P145" s="8" t="inlineStr">
        <is>
          <t>下组建议</t>
        </is>
      </c>
      <c r="Q145" s="8" t="inlineStr">
        <is>
          <t>实做次数</t>
        </is>
      </c>
    </row>
    <row r="146">
      <c r="A146" s="12" t="n">
        <v>1</v>
      </c>
      <c r="B146" s="10">
        <f>IF(K144="","",K144)</f>
        <v/>
      </c>
      <c r="C146" s="9" t="n"/>
      <c r="D146" s="9" t="n"/>
      <c r="E146" s="9" t="n"/>
      <c r="F146" s="9" t="n"/>
      <c r="G146" s="9" t="n"/>
      <c r="H146" s="9" t="n"/>
      <c r="I146" s="10">
        <f>IFERROR(INDEX(C146:H146,MATCH(TRUE,INDEX(C146:H146&lt;&gt;"",0),0)),"")</f>
        <v/>
      </c>
      <c r="J146" s="10">
        <f>IFERROR(MIN(IF(C146:H146&lt;&gt;"",C146:H146)),"")</f>
        <v/>
      </c>
      <c r="K146" s="10">
        <f>IFERROR(MATCH(I146,C146:H146,0),"")</f>
        <v/>
      </c>
      <c r="L146" s="10">
        <f>IF(OR(I146="",J146=""),"",ROUND((I146-J146)/I146*100,1))</f>
        <v/>
      </c>
      <c r="M146" s="10">
        <f>IF(L146="","",IF(L146&gt;=22,"是","否"))</f>
        <v/>
      </c>
      <c r="N146" s="10">
        <f>IF(J146="","",IF(J146&lt;0.15,"是","否"))</f>
        <v/>
      </c>
      <c r="O146" s="10">
        <f>IF(I146="","",IF(J146&lt;0.15,"SAFETY_STOP",IF(L146&gt;=22,"VL_THRESHOLD","PLANNED_END")))</f>
        <v/>
      </c>
      <c r="P146" s="10">
        <f>IF(I146="","",IF(I146&gt;($D$2+0.05),"+5kg",IF(I146&gt;($D$2+0.02),"+2.5kg",IF(I146&gt;=($D$2-0.05),"保持",IF(I146&gt;=($D$2-0.08),"-2.5kg","-5kg")))))</f>
        <v/>
      </c>
      <c r="Q146" s="9" t="n"/>
      <c r="R146" s="12" t="n"/>
      <c r="S146" s="12" t="n"/>
      <c r="T146" s="12" t="n"/>
    </row>
    <row r="147">
      <c r="A147" s="12" t="n">
        <v>2</v>
      </c>
      <c r="B147" s="9" t="n"/>
      <c r="C147" s="9" t="n"/>
      <c r="D147" s="9" t="n"/>
      <c r="E147" s="9" t="n"/>
      <c r="F147" s="9" t="n"/>
      <c r="G147" s="9" t="n"/>
      <c r="H147" s="9" t="n"/>
      <c r="I147" s="10">
        <f>IFERROR(INDEX(C147:H147,MATCH(TRUE,INDEX(C147:H147&lt;&gt;"",0),0)),"")</f>
        <v/>
      </c>
      <c r="J147" s="10">
        <f>IFERROR(MIN(IF(C147:H147&lt;&gt;"",C147:H147)),"")</f>
        <v/>
      </c>
      <c r="K147" s="10">
        <f>IFERROR(MATCH(I147,C147:H147,0),"")</f>
        <v/>
      </c>
      <c r="L147" s="10">
        <f>IF(OR(I147="",J147=""),"",ROUND((I147-J147)/I147*100,1))</f>
        <v/>
      </c>
      <c r="M147" s="10">
        <f>IF(L147="","",IF(L147&gt;=22,"是","否"))</f>
        <v/>
      </c>
      <c r="N147" s="10">
        <f>IF(J147="","",IF(J147&lt;0.15,"是","否"))</f>
        <v/>
      </c>
      <c r="O147" s="10">
        <f>IF(I147="","",IF(J147&lt;0.15,"SAFETY_STOP",IF(L147&gt;=22,"VL_THRESHOLD","PLANNED_END")))</f>
        <v/>
      </c>
      <c r="P147" s="10">
        <f>IF(I147="","",IF(I147&gt;($D$2+0.05),"+5kg",IF(I147&gt;($D$2+0.02),"+2.5kg",IF(I147&gt;=($D$2-0.05),"保持",IF(I147&gt;=($D$2-0.08),"-2.5kg","-5kg")))))</f>
        <v/>
      </c>
      <c r="Q147" s="9" t="n"/>
      <c r="R147" s="12" t="n"/>
      <c r="S147" s="12" t="n"/>
      <c r="T147" s="12" t="n"/>
    </row>
    <row r="148">
      <c r="A148" s="12" t="n">
        <v>3</v>
      </c>
      <c r="B148" s="9" t="n"/>
      <c r="C148" s="9" t="n"/>
      <c r="D148" s="9" t="n"/>
      <c r="E148" s="9" t="n"/>
      <c r="F148" s="9" t="n"/>
      <c r="G148" s="9" t="n"/>
      <c r="H148" s="9" t="n"/>
      <c r="I148" s="10">
        <f>IFERROR(INDEX(C148:H148,MATCH(TRUE,INDEX(C148:H148&lt;&gt;"",0),0)),"")</f>
        <v/>
      </c>
      <c r="J148" s="10">
        <f>IFERROR(MIN(IF(C148:H148&lt;&gt;"",C148:H148)),"")</f>
        <v/>
      </c>
      <c r="K148" s="10">
        <f>IFERROR(MATCH(I148,C148:H148,0),"")</f>
        <v/>
      </c>
      <c r="L148" s="10">
        <f>IF(OR(I148="",J148=""),"",ROUND((I148-J148)/I148*100,1))</f>
        <v/>
      </c>
      <c r="M148" s="10">
        <f>IF(L148="","",IF(L148&gt;=22,"是","否"))</f>
        <v/>
      </c>
      <c r="N148" s="10">
        <f>IF(J148="","",IF(J148&lt;0.15,"是","否"))</f>
        <v/>
      </c>
      <c r="O148" s="10">
        <f>IF(I148="","",IF(J148&lt;0.15,"SAFETY_STOP",IF(L148&gt;=22,"VL_THRESHOLD","PLANNED_END")))</f>
        <v/>
      </c>
      <c r="P148" s="10">
        <f>IF(I148="","",IF(I148&gt;($D$2+0.05),"+5kg",IF(I148&gt;($D$2+0.02),"+2.5kg",IF(I148&gt;=($D$2-0.05),"保持",IF(I148&gt;=($D$2-0.08),"-2.5kg","-5kg")))))</f>
        <v/>
      </c>
      <c r="Q148" s="9" t="n"/>
      <c r="R148" s="12" t="n"/>
      <c r="S148" s="12" t="n"/>
      <c r="T148" s="12" t="n"/>
    </row>
    <row r="149">
      <c r="A149" s="12" t="n">
        <v>4</v>
      </c>
      <c r="B149" s="9" t="n"/>
      <c r="C149" s="9" t="n"/>
      <c r="D149" s="9" t="n"/>
      <c r="E149" s="9" t="n"/>
      <c r="F149" s="9" t="n"/>
      <c r="G149" s="9" t="n"/>
      <c r="H149" s="9" t="n"/>
      <c r="I149" s="10">
        <f>IFERROR(INDEX(C149:H149,MATCH(TRUE,INDEX(C149:H149&lt;&gt;"",0),0)),"")</f>
        <v/>
      </c>
      <c r="J149" s="10">
        <f>IFERROR(MIN(IF(C149:H149&lt;&gt;"",C149:H149)),"")</f>
        <v/>
      </c>
      <c r="K149" s="10">
        <f>IFERROR(MATCH(I149,C149:H149,0),"")</f>
        <v/>
      </c>
      <c r="L149" s="10">
        <f>IF(OR(I149="",J149=""),"",ROUND((I149-J149)/I149*100,1))</f>
        <v/>
      </c>
      <c r="M149" s="10">
        <f>IF(L149="","",IF(L149&gt;=22,"是","否"))</f>
        <v/>
      </c>
      <c r="N149" s="10">
        <f>IF(J149="","",IF(J149&lt;0.15,"是","否"))</f>
        <v/>
      </c>
      <c r="O149" s="10">
        <f>IF(I149="","",IF(J149&lt;0.15,"SAFETY_STOP",IF(L149&gt;=22,"VL_THRESHOLD","PLANNED_END")))</f>
        <v/>
      </c>
      <c r="P149" s="10">
        <f>IF(I149="","",IF(I149&gt;($D$2+0.05),"+5kg",IF(I149&gt;($D$2+0.02),"+2.5kg",IF(I149&gt;=($D$2-0.05),"保持",IF(I149&gt;=($D$2-0.08),"-2.5kg","-5kg")))))</f>
        <v/>
      </c>
      <c r="Q149" s="9" t="n"/>
      <c r="R149" s="12" t="n"/>
      <c r="S149" s="12" t="n"/>
      <c r="T149" s="12" t="n"/>
    </row>
    <row r="150">
      <c r="A150" s="12" t="n">
        <v>5</v>
      </c>
      <c r="B150" s="9" t="n"/>
      <c r="C150" s="9" t="n"/>
      <c r="D150" s="9" t="n"/>
      <c r="E150" s="9" t="n"/>
      <c r="F150" s="9" t="n"/>
      <c r="G150" s="9" t="n"/>
      <c r="H150" s="9" t="n"/>
      <c r="I150" s="10">
        <f>IFERROR(INDEX(C150:H150,MATCH(TRUE,INDEX(C150:H150&lt;&gt;"",0),0)),"")</f>
        <v/>
      </c>
      <c r="J150" s="10">
        <f>IFERROR(MIN(IF(C150:H150&lt;&gt;"",C150:H150)),"")</f>
        <v/>
      </c>
      <c r="K150" s="10">
        <f>IFERROR(MATCH(I150,C150:H150,0),"")</f>
        <v/>
      </c>
      <c r="L150" s="10">
        <f>IF(OR(I150="",J150=""),"",ROUND((I150-J150)/I150*100,1))</f>
        <v/>
      </c>
      <c r="M150" s="10">
        <f>IF(L150="","",IF(L150&gt;=22,"是","否"))</f>
        <v/>
      </c>
      <c r="N150" s="10">
        <f>IF(J150="","",IF(J150&lt;0.15,"是","否"))</f>
        <v/>
      </c>
      <c r="O150" s="10">
        <f>IF(I150="","",IF(J150&lt;0.15,"SAFETY_STOP",IF(L150&gt;=22,"VL_THRESHOLD","PLANNED_END")))</f>
        <v/>
      </c>
      <c r="P150" s="10">
        <f>IF(I150="","",IF(I150&gt;($D$2+0.05),"+5kg",IF(I150&gt;($D$2+0.02),"+2.5kg",IF(I150&gt;=($D$2-0.05),"保持",IF(I150&gt;=($D$2-0.08),"-2.5kg","-5kg")))))</f>
        <v/>
      </c>
      <c r="Q150" s="9" t="n"/>
      <c r="R150" s="12" t="n"/>
      <c r="S150" s="12" t="n"/>
      <c r="T150" s="12" t="n"/>
    </row>
    <row r="151">
      <c r="A151" s="12" t="n">
        <v>6</v>
      </c>
      <c r="B151" s="9" t="n"/>
      <c r="C151" s="9" t="n"/>
      <c r="D151" s="9" t="n"/>
      <c r="E151" s="9" t="n"/>
      <c r="F151" s="9" t="n"/>
      <c r="G151" s="9" t="n"/>
      <c r="H151" s="9" t="n"/>
      <c r="I151" s="10">
        <f>IFERROR(INDEX(C151:H151,MATCH(TRUE,INDEX(C151:H151&lt;&gt;"",0),0)),"")</f>
        <v/>
      </c>
      <c r="J151" s="10">
        <f>IFERROR(MIN(IF(C151:H151&lt;&gt;"",C151:H151)),"")</f>
        <v/>
      </c>
      <c r="K151" s="10">
        <f>IFERROR(MATCH(I151,C151:H151,0),"")</f>
        <v/>
      </c>
      <c r="L151" s="10">
        <f>IF(OR(I151="",J151=""),"",ROUND((I151-J151)/I151*100,1))</f>
        <v/>
      </c>
      <c r="M151" s="10">
        <f>IF(L151="","",IF(L151&gt;=22,"是","否"))</f>
        <v/>
      </c>
      <c r="N151" s="10">
        <f>IF(J151="","",IF(J151&lt;0.15,"是","否"))</f>
        <v/>
      </c>
      <c r="O151" s="10">
        <f>IF(I151="","",IF(J151&lt;0.15,"SAFETY_STOP",IF(L151&gt;=22,"VL_THRESHOLD","PLANNED_END")))</f>
        <v/>
      </c>
      <c r="P151" s="10">
        <f>IF(I151="","",IF(I151&gt;($D$2+0.05),"+5kg",IF(I151&gt;($D$2+0.02),"+2.5kg",IF(I151&gt;=($D$2-0.05),"保持",IF(I151&gt;=($D$2-0.08),"-2.5kg","-5kg")))))</f>
        <v/>
      </c>
      <c r="Q151" s="9" t="n"/>
      <c r="R151" s="12" t="n"/>
      <c r="S151" s="12" t="n"/>
      <c r="T151" s="12" t="n"/>
    </row>
    <row r="152">
      <c r="A152" s="8" t="inlineStr">
        <is>
          <t>辅助动作</t>
        </is>
      </c>
      <c r="B152" s="8" t="inlineStr">
        <is>
          <t>动作名称</t>
        </is>
      </c>
      <c r="C152" s="8" t="inlineStr">
        <is>
          <t>负荷kg</t>
        </is>
      </c>
      <c r="D152" s="8" t="inlineStr">
        <is>
          <t>完成(组×次)</t>
        </is>
      </c>
    </row>
    <row r="153">
      <c r="A153" s="9" t="inlineStr"/>
      <c r="B153" s="9" t="n"/>
      <c r="C153" s="9" t="n"/>
      <c r="D153" s="9" t="n"/>
    </row>
    <row r="154">
      <c r="A154" s="8" t="inlineStr">
        <is>
          <t>训练后</t>
        </is>
      </c>
      <c r="B154" s="8" t="inlineStr">
        <is>
          <t>开始时间</t>
        </is>
      </c>
      <c r="C154" s="8" t="inlineStr">
        <is>
          <t>结束时间</t>
        </is>
      </c>
      <c r="D154" s="8" t="inlineStr">
        <is>
          <t>总时长min</t>
        </is>
      </c>
      <c r="E154" s="8" t="inlineStr">
        <is>
          <t>sRPE</t>
        </is>
      </c>
      <c r="F154" s="8" t="inlineStr">
        <is>
          <t>session_load</t>
        </is>
      </c>
      <c r="G154" s="8" t="inlineStr">
        <is>
          <t>有无不适</t>
        </is>
      </c>
      <c r="H154" s="8" t="inlineStr">
        <is>
          <t>备注</t>
        </is>
      </c>
      <c r="I154" s="8" t="inlineStr">
        <is>
          <t>研究员签名</t>
        </is>
      </c>
    </row>
    <row r="155">
      <c r="A155" s="13" t="inlineStr"/>
      <c r="B155" s="13" t="n"/>
      <c r="C155" s="13" t="n"/>
      <c r="D155" s="10">
        <f>IF(OR(B155="",C155=""),"",(C155-B155)*1440)</f>
        <v/>
      </c>
      <c r="E155" s="13" t="n"/>
      <c r="F155" s="10">
        <f>IF(OR(D155="",E155=""),"",D155*E155)</f>
        <v/>
      </c>
      <c r="G155" s="13" t="n"/>
      <c r="H155" s="13" t="n"/>
      <c r="I155" s="13" t="n"/>
    </row>
    <row r="157">
      <c r="A157" s="5" t="inlineStr">
        <is>
          <t>── P026 古翔宇 ──────────────────────────────────────────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7" t="n"/>
    </row>
    <row r="158">
      <c r="A158" s="8" t="inlineStr">
        <is>
          <t>编号</t>
        </is>
      </c>
      <c r="B158" s="8" t="inlineStr">
        <is>
          <t>姓名</t>
        </is>
      </c>
      <c r="C158" s="8" t="inlineStr">
        <is>
          <t>身高</t>
        </is>
      </c>
      <c r="D158" s="8" t="inlineStr">
        <is>
          <t>1RM</t>
        </is>
      </c>
      <c r="E158" s="8" t="inlineStr">
        <is>
          <t>睡眠</t>
        </is>
      </c>
      <c r="F158" s="8" t="inlineStr">
        <is>
          <t>压力</t>
        </is>
      </c>
      <c r="G158" s="8" t="inlineStr">
        <is>
          <t>疲劳</t>
        </is>
      </c>
      <c r="H158" s="8" t="inlineStr">
        <is>
          <t>酸痛</t>
        </is>
      </c>
      <c r="I158" s="8" t="inlineStr">
        <is>
          <t>Hooper总</t>
        </is>
      </c>
      <c r="J158" s="8" t="inlineStr">
        <is>
          <t>CMJ1</t>
        </is>
      </c>
      <c r="K158" s="8" t="inlineStr">
        <is>
          <t>CMJ2</t>
        </is>
      </c>
      <c r="L158" s="8" t="inlineStr">
        <is>
          <t>CMJ3</t>
        </is>
      </c>
      <c r="M158" s="8" t="inlineStr">
        <is>
          <t>CMJ均值</t>
        </is>
      </c>
      <c r="N158" s="8" t="inlineStr">
        <is>
          <t>&lt;95%?</t>
        </is>
      </c>
      <c r="O158" s="8" t="inlineStr">
        <is>
          <t>减组?</t>
        </is>
      </c>
      <c r="P158" s="8" t="inlineStr">
        <is>
          <t>实做组数</t>
        </is>
      </c>
      <c r="Q158" s="8" t="inlineStr">
        <is>
          <t>LVP_a</t>
        </is>
      </c>
      <c r="R158" s="8" t="inlineStr">
        <is>
          <t>LVP_b</t>
        </is>
      </c>
      <c r="S158" s="8" t="inlineStr">
        <is>
          <t>等级</t>
        </is>
      </c>
      <c r="T158" s="8" t="inlineStr">
        <is>
          <t>预测起始</t>
        </is>
      </c>
    </row>
    <row r="159">
      <c r="A159" s="9" t="inlineStr">
        <is>
          <t>P026</t>
        </is>
      </c>
      <c r="B159" s="9" t="inlineStr">
        <is>
          <t>古翔宇</t>
        </is>
      </c>
      <c r="C159" s="9" t="n">
        <v>180</v>
      </c>
      <c r="D159" s="9" t="n">
        <v>135</v>
      </c>
      <c r="E159" s="9" t="n"/>
      <c r="F159" s="9" t="n"/>
      <c r="G159" s="9" t="n"/>
      <c r="H159" s="9" t="n"/>
      <c r="I159" s="10">
        <f>IFERROR(SUM(E159:H159),"")</f>
        <v/>
      </c>
      <c r="J159" s="9" t="n"/>
      <c r="K159" s="9" t="n"/>
      <c r="L159" s="9" t="n"/>
      <c r="M159" s="10">
        <f>IFERROR(AVERAGE(J159:L159),"")</f>
        <v/>
      </c>
      <c r="N159" s="10">
        <f>IF(M159="","",IF(M159&lt;45.51,"是⚠","否"))</f>
        <v/>
      </c>
      <c r="O159" s="10">
        <f>IF(M159="","",IF(M159&lt;45.51,"减1组","正常"))</f>
        <v/>
      </c>
      <c r="P159" s="10">
        <f>IF(M159="","",IF(M159&lt;45.51,5-1,5))</f>
        <v/>
      </c>
      <c r="Q159" s="9" t="n">
        <v>1.64</v>
      </c>
      <c r="R159" s="9" t="n">
        <v>-0.00975</v>
      </c>
      <c r="S159" s="9" t="inlineStr">
        <is>
          <t>A</t>
        </is>
      </c>
      <c r="T159" s="10">
        <f>IFERROR(ROUND((0.55-1.64)/-0.00975,0.5),"")</f>
        <v/>
      </c>
    </row>
    <row r="160">
      <c r="A160" s="8" t="inlineStr">
        <is>
          <t>热身校准</t>
        </is>
      </c>
      <c r="B160" s="8" t="inlineStr">
        <is>
          <t>LVP_a</t>
        </is>
      </c>
      <c r="C160" s="8" t="inlineStr">
        <is>
          <t>LVP_b</t>
        </is>
      </c>
      <c r="D160" s="8" t="inlineStr">
        <is>
          <t>50%热身kg</t>
        </is>
      </c>
      <c r="E160" s="8" t="inlineStr">
        <is>
          <t>70%热身kg</t>
        </is>
      </c>
      <c r="F160" s="8" t="inlineStr">
        <is>
          <t>热身负荷kg</t>
        </is>
      </c>
      <c r="G160" s="8" t="inlineStr">
        <is>
          <t>实测MCV</t>
        </is>
      </c>
      <c r="H160" s="8" t="inlineStr">
        <is>
          <t>预测MCV</t>
        </is>
      </c>
      <c r="I160" s="8" t="inlineStr">
        <is>
          <t>Δv</t>
        </is>
      </c>
      <c r="J160" s="8" t="inlineStr">
        <is>
          <t>调整量kg</t>
        </is>
      </c>
      <c r="K160" s="8" t="inlineStr">
        <is>
          <t>校准后第1组kg</t>
        </is>
      </c>
    </row>
    <row r="161">
      <c r="A161" s="11" t="inlineStr"/>
      <c r="B161" s="11" t="n">
        <v>1.64</v>
      </c>
      <c r="C161" s="11" t="n">
        <v>-0.00975</v>
      </c>
      <c r="D161" s="10">
        <f>IFERROR(ROUND(T159*0.5,2.5),"")</f>
        <v/>
      </c>
      <c r="E161" s="10">
        <f>IFERROR(ROUND(T159*0.7,2.5),"")</f>
        <v/>
      </c>
      <c r="F161" s="10">
        <f>E161</f>
        <v/>
      </c>
      <c r="G161" s="9" t="n"/>
      <c r="H161" s="10">
        <f>IF(F161="","",B161+C161*F161)</f>
        <v/>
      </c>
      <c r="I161" s="10">
        <f>IF(OR(G161="",H161=""),"",G161-H161)</f>
        <v/>
      </c>
      <c r="J161" s="10">
        <f>IF(I161="","",IF(I161&gt;0.08,5,IF(I161&gt;0.04,2.5,IF(I161&gt;=-0.04,0,IF(I161&gt;=-0.08,-2.5,-5)))))</f>
        <v/>
      </c>
      <c r="K161" s="10">
        <f>IFERROR(ROUND(T159+J161,2.5),"")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8" t="inlineStr">
        <is>
          <t>组次</t>
        </is>
      </c>
      <c r="B162" s="8" t="inlineStr">
        <is>
          <t>负荷kg</t>
        </is>
      </c>
      <c r="C162" s="8" t="inlineStr">
        <is>
          <t>rep1</t>
        </is>
      </c>
      <c r="D162" s="8" t="inlineStr">
        <is>
          <t>rep2</t>
        </is>
      </c>
      <c r="E162" s="8" t="inlineStr">
        <is>
          <t>rep3</t>
        </is>
      </c>
      <c r="F162" s="8" t="inlineStr">
        <is>
          <t>rep4</t>
        </is>
      </c>
      <c r="G162" s="8" t="inlineStr">
        <is>
          <t>rep5</t>
        </is>
      </c>
      <c r="H162" s="8" t="inlineStr">
        <is>
          <t>rep6</t>
        </is>
      </c>
      <c r="I162" s="8" t="inlineStr">
        <is>
          <t>首rep</t>
        </is>
      </c>
      <c r="J162" s="8" t="inlineStr">
        <is>
          <t>最低速</t>
        </is>
      </c>
      <c r="K162" s="8" t="inlineStr">
        <is>
          <t>最低rep#</t>
        </is>
      </c>
      <c r="L162" s="8" t="inlineStr">
        <is>
          <t>VL%</t>
        </is>
      </c>
      <c r="M162" s="8" t="inlineStr">
        <is>
          <t>VL达标?</t>
        </is>
      </c>
      <c r="N162" s="8" t="inlineStr">
        <is>
          <t>安全停止?</t>
        </is>
      </c>
      <c r="O162" s="8" t="inlineStr">
        <is>
          <t>停组原因</t>
        </is>
      </c>
      <c r="P162" s="8" t="inlineStr">
        <is>
          <t>下组建议</t>
        </is>
      </c>
      <c r="Q162" s="8" t="inlineStr">
        <is>
          <t>实做次数</t>
        </is>
      </c>
    </row>
    <row r="163">
      <c r="A163" s="12" t="n">
        <v>1</v>
      </c>
      <c r="B163" s="10">
        <f>IF(K161="","",K161)</f>
        <v/>
      </c>
      <c r="C163" s="9" t="n"/>
      <c r="D163" s="9" t="n"/>
      <c r="E163" s="9" t="n"/>
      <c r="F163" s="9" t="n"/>
      <c r="G163" s="9" t="n"/>
      <c r="H163" s="9" t="n"/>
      <c r="I163" s="10">
        <f>IFERROR(INDEX(C163:H163,MATCH(TRUE,INDEX(C163:H163&lt;&gt;"",0),0)),"")</f>
        <v/>
      </c>
      <c r="J163" s="10">
        <f>IFERROR(MIN(IF(C163:H163&lt;&gt;"",C163:H163)),"")</f>
        <v/>
      </c>
      <c r="K163" s="10">
        <f>IFERROR(MATCH(I163,C163:H163,0),"")</f>
        <v/>
      </c>
      <c r="L163" s="10">
        <f>IF(OR(I163="",J163=""),"",ROUND((I163-J163)/I163*100,1))</f>
        <v/>
      </c>
      <c r="M163" s="10">
        <f>IF(L163="","",IF(L163&gt;=22,"是","否"))</f>
        <v/>
      </c>
      <c r="N163" s="10">
        <f>IF(J163="","",IF(J163&lt;0.15,"是","否"))</f>
        <v/>
      </c>
      <c r="O163" s="10">
        <f>IF(I163="","",IF(J163&lt;0.15,"SAFETY_STOP",IF(L163&gt;=22,"VL_THRESHOLD","PLANNED_END")))</f>
        <v/>
      </c>
      <c r="P163" s="10">
        <f>IF(I163="","",IF(I163&gt;($D$2+0.05),"+5kg",IF(I163&gt;($D$2+0.02),"+2.5kg",IF(I163&gt;=($D$2-0.05),"保持",IF(I163&gt;=($D$2-0.08),"-2.5kg","-5kg")))))</f>
        <v/>
      </c>
      <c r="Q163" s="9" t="n"/>
      <c r="R163" s="12" t="n"/>
      <c r="S163" s="12" t="n"/>
      <c r="T163" s="12" t="n"/>
    </row>
    <row r="164">
      <c r="A164" s="12" t="n">
        <v>2</v>
      </c>
      <c r="B164" s="9" t="n"/>
      <c r="C164" s="9" t="n"/>
      <c r="D164" s="9" t="n"/>
      <c r="E164" s="9" t="n"/>
      <c r="F164" s="9" t="n"/>
      <c r="G164" s="9" t="n"/>
      <c r="H164" s="9" t="n"/>
      <c r="I164" s="10">
        <f>IFERROR(INDEX(C164:H164,MATCH(TRUE,INDEX(C164:H164&lt;&gt;"",0),0)),"")</f>
        <v/>
      </c>
      <c r="J164" s="10">
        <f>IFERROR(MIN(IF(C164:H164&lt;&gt;"",C164:H164)),"")</f>
        <v/>
      </c>
      <c r="K164" s="10">
        <f>IFERROR(MATCH(I164,C164:H164,0),"")</f>
        <v/>
      </c>
      <c r="L164" s="10">
        <f>IF(OR(I164="",J164=""),"",ROUND((I164-J164)/I164*100,1))</f>
        <v/>
      </c>
      <c r="M164" s="10">
        <f>IF(L164="","",IF(L164&gt;=22,"是","否"))</f>
        <v/>
      </c>
      <c r="N164" s="10">
        <f>IF(J164="","",IF(J164&lt;0.15,"是","否"))</f>
        <v/>
      </c>
      <c r="O164" s="10">
        <f>IF(I164="","",IF(J164&lt;0.15,"SAFETY_STOP",IF(L164&gt;=22,"VL_THRESHOLD","PLANNED_END")))</f>
        <v/>
      </c>
      <c r="P164" s="10">
        <f>IF(I164="","",IF(I164&gt;($D$2+0.05),"+5kg",IF(I164&gt;($D$2+0.02),"+2.5kg",IF(I164&gt;=($D$2-0.05),"保持",IF(I164&gt;=($D$2-0.08),"-2.5kg","-5kg")))))</f>
        <v/>
      </c>
      <c r="Q164" s="9" t="n"/>
      <c r="R164" s="12" t="n"/>
      <c r="S164" s="12" t="n"/>
      <c r="T164" s="12" t="n"/>
    </row>
    <row r="165">
      <c r="A165" s="12" t="n">
        <v>3</v>
      </c>
      <c r="B165" s="9" t="n"/>
      <c r="C165" s="9" t="n"/>
      <c r="D165" s="9" t="n"/>
      <c r="E165" s="9" t="n"/>
      <c r="F165" s="9" t="n"/>
      <c r="G165" s="9" t="n"/>
      <c r="H165" s="9" t="n"/>
      <c r="I165" s="10">
        <f>IFERROR(INDEX(C165:H165,MATCH(TRUE,INDEX(C165:H165&lt;&gt;"",0),0)),"")</f>
        <v/>
      </c>
      <c r="J165" s="10">
        <f>IFERROR(MIN(IF(C165:H165&lt;&gt;"",C165:H165)),"")</f>
        <v/>
      </c>
      <c r="K165" s="10">
        <f>IFERROR(MATCH(I165,C165:H165,0),"")</f>
        <v/>
      </c>
      <c r="L165" s="10">
        <f>IF(OR(I165="",J165=""),"",ROUND((I165-J165)/I165*100,1))</f>
        <v/>
      </c>
      <c r="M165" s="10">
        <f>IF(L165="","",IF(L165&gt;=22,"是","否"))</f>
        <v/>
      </c>
      <c r="N165" s="10">
        <f>IF(J165="","",IF(J165&lt;0.15,"是","否"))</f>
        <v/>
      </c>
      <c r="O165" s="10">
        <f>IF(I165="","",IF(J165&lt;0.15,"SAFETY_STOP",IF(L165&gt;=22,"VL_THRESHOLD","PLANNED_END")))</f>
        <v/>
      </c>
      <c r="P165" s="10">
        <f>IF(I165="","",IF(I165&gt;($D$2+0.05),"+5kg",IF(I165&gt;($D$2+0.02),"+2.5kg",IF(I165&gt;=($D$2-0.05),"保持",IF(I165&gt;=($D$2-0.08),"-2.5kg","-5kg")))))</f>
        <v/>
      </c>
      <c r="Q165" s="9" t="n"/>
      <c r="R165" s="12" t="n"/>
      <c r="S165" s="12" t="n"/>
      <c r="T165" s="12" t="n"/>
    </row>
    <row r="166">
      <c r="A166" s="12" t="n">
        <v>4</v>
      </c>
      <c r="B166" s="9" t="n"/>
      <c r="C166" s="9" t="n"/>
      <c r="D166" s="9" t="n"/>
      <c r="E166" s="9" t="n"/>
      <c r="F166" s="9" t="n"/>
      <c r="G166" s="9" t="n"/>
      <c r="H166" s="9" t="n"/>
      <c r="I166" s="10">
        <f>IFERROR(INDEX(C166:H166,MATCH(TRUE,INDEX(C166:H166&lt;&gt;"",0),0)),"")</f>
        <v/>
      </c>
      <c r="J166" s="10">
        <f>IFERROR(MIN(IF(C166:H166&lt;&gt;"",C166:H166)),"")</f>
        <v/>
      </c>
      <c r="K166" s="10">
        <f>IFERROR(MATCH(I166,C166:H166,0),"")</f>
        <v/>
      </c>
      <c r="L166" s="10">
        <f>IF(OR(I166="",J166=""),"",ROUND((I166-J166)/I166*100,1))</f>
        <v/>
      </c>
      <c r="M166" s="10">
        <f>IF(L166="","",IF(L166&gt;=22,"是","否"))</f>
        <v/>
      </c>
      <c r="N166" s="10">
        <f>IF(J166="","",IF(J166&lt;0.15,"是","否"))</f>
        <v/>
      </c>
      <c r="O166" s="10">
        <f>IF(I166="","",IF(J166&lt;0.15,"SAFETY_STOP",IF(L166&gt;=22,"VL_THRESHOLD","PLANNED_END")))</f>
        <v/>
      </c>
      <c r="P166" s="10">
        <f>IF(I166="","",IF(I166&gt;($D$2+0.05),"+5kg",IF(I166&gt;($D$2+0.02),"+2.5kg",IF(I166&gt;=($D$2-0.05),"保持",IF(I166&gt;=($D$2-0.08),"-2.5kg","-5kg")))))</f>
        <v/>
      </c>
      <c r="Q166" s="9" t="n"/>
      <c r="R166" s="12" t="n"/>
      <c r="S166" s="12" t="n"/>
      <c r="T166" s="12" t="n"/>
    </row>
    <row r="167">
      <c r="A167" s="12" t="n">
        <v>5</v>
      </c>
      <c r="B167" s="9" t="n"/>
      <c r="C167" s="9" t="n"/>
      <c r="D167" s="9" t="n"/>
      <c r="E167" s="9" t="n"/>
      <c r="F167" s="9" t="n"/>
      <c r="G167" s="9" t="n"/>
      <c r="H167" s="9" t="n"/>
      <c r="I167" s="10">
        <f>IFERROR(INDEX(C167:H167,MATCH(TRUE,INDEX(C167:H167&lt;&gt;"",0),0)),"")</f>
        <v/>
      </c>
      <c r="J167" s="10">
        <f>IFERROR(MIN(IF(C167:H167&lt;&gt;"",C167:H167)),"")</f>
        <v/>
      </c>
      <c r="K167" s="10">
        <f>IFERROR(MATCH(I167,C167:H167,0),"")</f>
        <v/>
      </c>
      <c r="L167" s="10">
        <f>IF(OR(I167="",J167=""),"",ROUND((I167-J167)/I167*100,1))</f>
        <v/>
      </c>
      <c r="M167" s="10">
        <f>IF(L167="","",IF(L167&gt;=22,"是","否"))</f>
        <v/>
      </c>
      <c r="N167" s="10">
        <f>IF(J167="","",IF(J167&lt;0.15,"是","否"))</f>
        <v/>
      </c>
      <c r="O167" s="10">
        <f>IF(I167="","",IF(J167&lt;0.15,"SAFETY_STOP",IF(L167&gt;=22,"VL_THRESHOLD","PLANNED_END")))</f>
        <v/>
      </c>
      <c r="P167" s="10">
        <f>IF(I167="","",IF(I167&gt;($D$2+0.05),"+5kg",IF(I167&gt;($D$2+0.02),"+2.5kg",IF(I167&gt;=($D$2-0.05),"保持",IF(I167&gt;=($D$2-0.08),"-2.5kg","-5kg")))))</f>
        <v/>
      </c>
      <c r="Q167" s="9" t="n"/>
      <c r="R167" s="12" t="n"/>
      <c r="S167" s="12" t="n"/>
      <c r="T167" s="12" t="n"/>
    </row>
    <row r="168">
      <c r="A168" s="12" t="n">
        <v>6</v>
      </c>
      <c r="B168" s="9" t="n"/>
      <c r="C168" s="9" t="n"/>
      <c r="D168" s="9" t="n"/>
      <c r="E168" s="9" t="n"/>
      <c r="F168" s="9" t="n"/>
      <c r="G168" s="9" t="n"/>
      <c r="H168" s="9" t="n"/>
      <c r="I168" s="10">
        <f>IFERROR(INDEX(C168:H168,MATCH(TRUE,INDEX(C168:H168&lt;&gt;"",0),0)),"")</f>
        <v/>
      </c>
      <c r="J168" s="10">
        <f>IFERROR(MIN(IF(C168:H168&lt;&gt;"",C168:H168)),"")</f>
        <v/>
      </c>
      <c r="K168" s="10">
        <f>IFERROR(MATCH(I168,C168:H168,0),"")</f>
        <v/>
      </c>
      <c r="L168" s="10">
        <f>IF(OR(I168="",J168=""),"",ROUND((I168-J168)/I168*100,1))</f>
        <v/>
      </c>
      <c r="M168" s="10">
        <f>IF(L168="","",IF(L168&gt;=22,"是","否"))</f>
        <v/>
      </c>
      <c r="N168" s="10">
        <f>IF(J168="","",IF(J168&lt;0.15,"是","否"))</f>
        <v/>
      </c>
      <c r="O168" s="10">
        <f>IF(I168="","",IF(J168&lt;0.15,"SAFETY_STOP",IF(L168&gt;=22,"VL_THRESHOLD","PLANNED_END")))</f>
        <v/>
      </c>
      <c r="P168" s="10">
        <f>IF(I168="","",IF(I168&gt;($D$2+0.05),"+5kg",IF(I168&gt;($D$2+0.02),"+2.5kg",IF(I168&gt;=($D$2-0.05),"保持",IF(I168&gt;=($D$2-0.08),"-2.5kg","-5kg")))))</f>
        <v/>
      </c>
      <c r="Q168" s="9" t="n"/>
      <c r="R168" s="12" t="n"/>
      <c r="S168" s="12" t="n"/>
      <c r="T168" s="12" t="n"/>
    </row>
    <row r="169">
      <c r="A169" s="8" t="inlineStr">
        <is>
          <t>辅助动作</t>
        </is>
      </c>
      <c r="B169" s="8" t="inlineStr">
        <is>
          <t>动作名称</t>
        </is>
      </c>
      <c r="C169" s="8" t="inlineStr">
        <is>
          <t>负荷kg</t>
        </is>
      </c>
      <c r="D169" s="8" t="inlineStr">
        <is>
          <t>完成(组×次)</t>
        </is>
      </c>
    </row>
    <row r="170">
      <c r="A170" s="9" t="inlineStr"/>
      <c r="B170" s="9" t="n"/>
      <c r="C170" s="9" t="n"/>
      <c r="D170" s="9" t="n"/>
    </row>
    <row r="171">
      <c r="A171" s="8" t="inlineStr">
        <is>
          <t>训练后</t>
        </is>
      </c>
      <c r="B171" s="8" t="inlineStr">
        <is>
          <t>开始时间</t>
        </is>
      </c>
      <c r="C171" s="8" t="inlineStr">
        <is>
          <t>结束时间</t>
        </is>
      </c>
      <c r="D171" s="8" t="inlineStr">
        <is>
          <t>总时长min</t>
        </is>
      </c>
      <c r="E171" s="8" t="inlineStr">
        <is>
          <t>sRPE</t>
        </is>
      </c>
      <c r="F171" s="8" t="inlineStr">
        <is>
          <t>session_load</t>
        </is>
      </c>
      <c r="G171" s="8" t="inlineStr">
        <is>
          <t>有无不适</t>
        </is>
      </c>
      <c r="H171" s="8" t="inlineStr">
        <is>
          <t>备注</t>
        </is>
      </c>
      <c r="I171" s="8" t="inlineStr">
        <is>
          <t>研究员签名</t>
        </is>
      </c>
    </row>
    <row r="172">
      <c r="A172" s="13" t="inlineStr"/>
      <c r="B172" s="13" t="n"/>
      <c r="C172" s="13" t="n"/>
      <c r="D172" s="10">
        <f>IF(OR(B172="",C172=""),"",(C172-B172)*1440)</f>
        <v/>
      </c>
      <c r="E172" s="13" t="n"/>
      <c r="F172" s="10">
        <f>IF(OR(D172="",E172=""),"",D172*E172)</f>
        <v/>
      </c>
      <c r="G172" s="13" t="n"/>
      <c r="H172" s="13" t="n"/>
      <c r="I172" s="13" t="n"/>
    </row>
    <row r="174">
      <c r="A174" s="5" t="inlineStr">
        <is>
          <t>── P010 张锦荣 ──────────────────────────────────────────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" t="n"/>
    </row>
    <row r="175">
      <c r="A175" s="8" t="inlineStr">
        <is>
          <t>编号</t>
        </is>
      </c>
      <c r="B175" s="8" t="inlineStr">
        <is>
          <t>姓名</t>
        </is>
      </c>
      <c r="C175" s="8" t="inlineStr">
        <is>
          <t>身高</t>
        </is>
      </c>
      <c r="D175" s="8" t="inlineStr">
        <is>
          <t>1RM</t>
        </is>
      </c>
      <c r="E175" s="8" t="inlineStr">
        <is>
          <t>睡眠</t>
        </is>
      </c>
      <c r="F175" s="8" t="inlineStr">
        <is>
          <t>压力</t>
        </is>
      </c>
      <c r="G175" s="8" t="inlineStr">
        <is>
          <t>疲劳</t>
        </is>
      </c>
      <c r="H175" s="8" t="inlineStr">
        <is>
          <t>酸痛</t>
        </is>
      </c>
      <c r="I175" s="8" t="inlineStr">
        <is>
          <t>Hooper总</t>
        </is>
      </c>
      <c r="J175" s="8" t="inlineStr">
        <is>
          <t>CMJ1</t>
        </is>
      </c>
      <c r="K175" s="8" t="inlineStr">
        <is>
          <t>CMJ2</t>
        </is>
      </c>
      <c r="L175" s="8" t="inlineStr">
        <is>
          <t>CMJ3</t>
        </is>
      </c>
      <c r="M175" s="8" t="inlineStr">
        <is>
          <t>CMJ均值</t>
        </is>
      </c>
      <c r="N175" s="8" t="inlineStr">
        <is>
          <t>&lt;95%?</t>
        </is>
      </c>
      <c r="O175" s="8" t="inlineStr">
        <is>
          <t>减组?</t>
        </is>
      </c>
      <c r="P175" s="8" t="inlineStr">
        <is>
          <t>实做组数</t>
        </is>
      </c>
      <c r="Q175" s="8" t="inlineStr">
        <is>
          <t>LVP_a</t>
        </is>
      </c>
      <c r="R175" s="8" t="inlineStr">
        <is>
          <t>LVP_b</t>
        </is>
      </c>
      <c r="S175" s="8" t="inlineStr">
        <is>
          <t>等级</t>
        </is>
      </c>
      <c r="T175" s="8" t="inlineStr">
        <is>
          <t>预测起始</t>
        </is>
      </c>
    </row>
    <row r="176">
      <c r="A176" s="9" t="inlineStr">
        <is>
          <t>P010</t>
        </is>
      </c>
      <c r="B176" s="9" t="inlineStr">
        <is>
          <t>张锦荣</t>
        </is>
      </c>
      <c r="C176" s="9" t="n">
        <v>174</v>
      </c>
      <c r="D176" s="9" t="n">
        <v>120</v>
      </c>
      <c r="E176" s="9" t="n"/>
      <c r="F176" s="9" t="n"/>
      <c r="G176" s="9" t="n"/>
      <c r="H176" s="9" t="n"/>
      <c r="I176" s="10">
        <f>IFERROR(SUM(E176:H176),"")</f>
        <v/>
      </c>
      <c r="J176" s="9" t="n"/>
      <c r="K176" s="9" t="n"/>
      <c r="L176" s="9" t="n"/>
      <c r="M176" s="10">
        <f>IFERROR(AVERAGE(J176:L176),"")</f>
        <v/>
      </c>
      <c r="N176" s="10">
        <f>IF(M176="","",IF(M176&lt;50.42,"是⚠","否"))</f>
        <v/>
      </c>
      <c r="O176" s="10">
        <f>IF(M176="","",IF(M176&lt;50.42,"减1组","正常"))</f>
        <v/>
      </c>
      <c r="P176" s="10">
        <f>IF(M176="","",IF(M176&lt;50.42,5-1,5))</f>
        <v/>
      </c>
      <c r="Q176" s="9" t="n">
        <v>1.26</v>
      </c>
      <c r="R176" s="9" t="n">
        <v>-0.006</v>
      </c>
      <c r="S176" s="9" t="inlineStr">
        <is>
          <t>B</t>
        </is>
      </c>
      <c r="T176" s="10">
        <f>IFERROR(ROUND((0.55-1.26)/-0.006,0.5),"")</f>
        <v/>
      </c>
    </row>
    <row r="177">
      <c r="A177" s="8" t="inlineStr">
        <is>
          <t>热身校准</t>
        </is>
      </c>
      <c r="B177" s="8" t="inlineStr">
        <is>
          <t>LVP_a</t>
        </is>
      </c>
      <c r="C177" s="8" t="inlineStr">
        <is>
          <t>LVP_b</t>
        </is>
      </c>
      <c r="D177" s="8" t="inlineStr">
        <is>
          <t>50%热身kg</t>
        </is>
      </c>
      <c r="E177" s="8" t="inlineStr">
        <is>
          <t>70%热身kg</t>
        </is>
      </c>
      <c r="F177" s="8" t="inlineStr">
        <is>
          <t>热身负荷kg</t>
        </is>
      </c>
      <c r="G177" s="8" t="inlineStr">
        <is>
          <t>实测MCV</t>
        </is>
      </c>
      <c r="H177" s="8" t="inlineStr">
        <is>
          <t>预测MCV</t>
        </is>
      </c>
      <c r="I177" s="8" t="inlineStr">
        <is>
          <t>Δv</t>
        </is>
      </c>
      <c r="J177" s="8" t="inlineStr">
        <is>
          <t>调整量kg</t>
        </is>
      </c>
      <c r="K177" s="8" t="inlineStr">
        <is>
          <t>校准后第1组kg</t>
        </is>
      </c>
    </row>
    <row r="178">
      <c r="A178" s="11" t="inlineStr"/>
      <c r="B178" s="11" t="n">
        <v>1.26</v>
      </c>
      <c r="C178" s="11" t="n">
        <v>-0.006</v>
      </c>
      <c r="D178" s="10">
        <f>IFERROR(ROUND(T176*0.5,2.5),"")</f>
        <v/>
      </c>
      <c r="E178" s="10">
        <f>IFERROR(ROUND(T176*0.7,2.5),"")</f>
        <v/>
      </c>
      <c r="F178" s="10">
        <f>E178</f>
        <v/>
      </c>
      <c r="G178" s="9" t="n"/>
      <c r="H178" s="10">
        <f>IF(F178="","",B178+C178*F178)</f>
        <v/>
      </c>
      <c r="I178" s="10">
        <f>IF(OR(G178="",H178=""),"",G178-H178)</f>
        <v/>
      </c>
      <c r="J178" s="10">
        <f>IF(I178="","",IF(I178&gt;0.08,5,IF(I178&gt;0.04,2.5,IF(I178&gt;=-0.04,0,IF(I178&gt;=-0.08,-2.5,-5)))))</f>
        <v/>
      </c>
      <c r="K178" s="10">
        <f>IFERROR(ROUND(T176+J178,2.5),"")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8" t="inlineStr">
        <is>
          <t>组次</t>
        </is>
      </c>
      <c r="B179" s="8" t="inlineStr">
        <is>
          <t>负荷kg</t>
        </is>
      </c>
      <c r="C179" s="8" t="inlineStr">
        <is>
          <t>rep1</t>
        </is>
      </c>
      <c r="D179" s="8" t="inlineStr">
        <is>
          <t>rep2</t>
        </is>
      </c>
      <c r="E179" s="8" t="inlineStr">
        <is>
          <t>rep3</t>
        </is>
      </c>
      <c r="F179" s="8" t="inlineStr">
        <is>
          <t>rep4</t>
        </is>
      </c>
      <c r="G179" s="8" t="inlineStr">
        <is>
          <t>rep5</t>
        </is>
      </c>
      <c r="H179" s="8" t="inlineStr">
        <is>
          <t>rep6</t>
        </is>
      </c>
      <c r="I179" s="8" t="inlineStr">
        <is>
          <t>首rep</t>
        </is>
      </c>
      <c r="J179" s="8" t="inlineStr">
        <is>
          <t>最低速</t>
        </is>
      </c>
      <c r="K179" s="8" t="inlineStr">
        <is>
          <t>最低rep#</t>
        </is>
      </c>
      <c r="L179" s="8" t="inlineStr">
        <is>
          <t>VL%</t>
        </is>
      </c>
      <c r="M179" s="8" t="inlineStr">
        <is>
          <t>VL达标?</t>
        </is>
      </c>
      <c r="N179" s="8" t="inlineStr">
        <is>
          <t>安全停止?</t>
        </is>
      </c>
      <c r="O179" s="8" t="inlineStr">
        <is>
          <t>停组原因</t>
        </is>
      </c>
      <c r="P179" s="8" t="inlineStr">
        <is>
          <t>下组建议</t>
        </is>
      </c>
      <c r="Q179" s="8" t="inlineStr">
        <is>
          <t>实做次数</t>
        </is>
      </c>
    </row>
    <row r="180">
      <c r="A180" s="12" t="n">
        <v>1</v>
      </c>
      <c r="B180" s="10">
        <f>IF(K178="","",K178)</f>
        <v/>
      </c>
      <c r="C180" s="9" t="n"/>
      <c r="D180" s="9" t="n"/>
      <c r="E180" s="9" t="n"/>
      <c r="F180" s="9" t="n"/>
      <c r="G180" s="9" t="n"/>
      <c r="H180" s="9" t="n"/>
      <c r="I180" s="10">
        <f>IFERROR(INDEX(C180:H180,MATCH(TRUE,INDEX(C180:H180&lt;&gt;"",0),0)),"")</f>
        <v/>
      </c>
      <c r="J180" s="10">
        <f>IFERROR(MIN(IF(C180:H180&lt;&gt;"",C180:H180)),"")</f>
        <v/>
      </c>
      <c r="K180" s="10">
        <f>IFERROR(MATCH(I180,C180:H180,0),"")</f>
        <v/>
      </c>
      <c r="L180" s="10">
        <f>IF(OR(I180="",J180=""),"",ROUND((I180-J180)/I180*100,1))</f>
        <v/>
      </c>
      <c r="M180" s="10">
        <f>IF(L180="","",IF(L180&gt;=22,"是","否"))</f>
        <v/>
      </c>
      <c r="N180" s="10">
        <f>IF(J180="","",IF(J180&lt;0.15,"是","否"))</f>
        <v/>
      </c>
      <c r="O180" s="10">
        <f>IF(I180="","",IF(J180&lt;0.15,"SAFETY_STOP",IF(L180&gt;=22,"VL_THRESHOLD","PLANNED_END")))</f>
        <v/>
      </c>
      <c r="P180" s="10">
        <f>IF(I180="","",IF(I180&gt;($D$2+0.05),"+5kg",IF(I180&gt;($D$2+0.02),"+2.5kg",IF(I180&gt;=($D$2-0.05),"保持",IF(I180&gt;=($D$2-0.08),"-2.5kg","-5kg")))))</f>
        <v/>
      </c>
      <c r="Q180" s="9" t="n"/>
      <c r="R180" s="12" t="n"/>
      <c r="S180" s="12" t="n"/>
      <c r="T180" s="12" t="n"/>
    </row>
    <row r="181">
      <c r="A181" s="12" t="n">
        <v>2</v>
      </c>
      <c r="B181" s="9" t="n"/>
      <c r="C181" s="9" t="n"/>
      <c r="D181" s="9" t="n"/>
      <c r="E181" s="9" t="n"/>
      <c r="F181" s="9" t="n"/>
      <c r="G181" s="9" t="n"/>
      <c r="H181" s="9" t="n"/>
      <c r="I181" s="10">
        <f>IFERROR(INDEX(C181:H181,MATCH(TRUE,INDEX(C181:H181&lt;&gt;"",0),0)),"")</f>
        <v/>
      </c>
      <c r="J181" s="10">
        <f>IFERROR(MIN(IF(C181:H181&lt;&gt;"",C181:H181)),"")</f>
        <v/>
      </c>
      <c r="K181" s="10">
        <f>IFERROR(MATCH(I181,C181:H181,0),"")</f>
        <v/>
      </c>
      <c r="L181" s="10">
        <f>IF(OR(I181="",J181=""),"",ROUND((I181-J181)/I181*100,1))</f>
        <v/>
      </c>
      <c r="M181" s="10">
        <f>IF(L181="","",IF(L181&gt;=22,"是","否"))</f>
        <v/>
      </c>
      <c r="N181" s="10">
        <f>IF(J181="","",IF(J181&lt;0.15,"是","否"))</f>
        <v/>
      </c>
      <c r="O181" s="10">
        <f>IF(I181="","",IF(J181&lt;0.15,"SAFETY_STOP",IF(L181&gt;=22,"VL_THRESHOLD","PLANNED_END")))</f>
        <v/>
      </c>
      <c r="P181" s="10">
        <f>IF(I181="","",IF(I181&gt;($D$2+0.05),"+5kg",IF(I181&gt;($D$2+0.02),"+2.5kg",IF(I181&gt;=($D$2-0.05),"保持",IF(I181&gt;=($D$2-0.08),"-2.5kg","-5kg")))))</f>
        <v/>
      </c>
      <c r="Q181" s="9" t="n"/>
      <c r="R181" s="12" t="n"/>
      <c r="S181" s="12" t="n"/>
      <c r="T181" s="12" t="n"/>
    </row>
    <row r="182">
      <c r="A182" s="12" t="n">
        <v>3</v>
      </c>
      <c r="B182" s="9" t="n"/>
      <c r="C182" s="9" t="n"/>
      <c r="D182" s="9" t="n"/>
      <c r="E182" s="9" t="n"/>
      <c r="F182" s="9" t="n"/>
      <c r="G182" s="9" t="n"/>
      <c r="H182" s="9" t="n"/>
      <c r="I182" s="10">
        <f>IFERROR(INDEX(C182:H182,MATCH(TRUE,INDEX(C182:H182&lt;&gt;"",0),0)),"")</f>
        <v/>
      </c>
      <c r="J182" s="10">
        <f>IFERROR(MIN(IF(C182:H182&lt;&gt;"",C182:H182)),"")</f>
        <v/>
      </c>
      <c r="K182" s="10">
        <f>IFERROR(MATCH(I182,C182:H182,0),"")</f>
        <v/>
      </c>
      <c r="L182" s="10">
        <f>IF(OR(I182="",J182=""),"",ROUND((I182-J182)/I182*100,1))</f>
        <v/>
      </c>
      <c r="M182" s="10">
        <f>IF(L182="","",IF(L182&gt;=22,"是","否"))</f>
        <v/>
      </c>
      <c r="N182" s="10">
        <f>IF(J182="","",IF(J182&lt;0.15,"是","否"))</f>
        <v/>
      </c>
      <c r="O182" s="10">
        <f>IF(I182="","",IF(J182&lt;0.15,"SAFETY_STOP",IF(L182&gt;=22,"VL_THRESHOLD","PLANNED_END")))</f>
        <v/>
      </c>
      <c r="P182" s="10">
        <f>IF(I182="","",IF(I182&gt;($D$2+0.05),"+5kg",IF(I182&gt;($D$2+0.02),"+2.5kg",IF(I182&gt;=($D$2-0.05),"保持",IF(I182&gt;=($D$2-0.08),"-2.5kg","-5kg")))))</f>
        <v/>
      </c>
      <c r="Q182" s="9" t="n"/>
      <c r="R182" s="12" t="n"/>
      <c r="S182" s="12" t="n"/>
      <c r="T182" s="12" t="n"/>
    </row>
    <row r="183">
      <c r="A183" s="12" t="n">
        <v>4</v>
      </c>
      <c r="B183" s="9" t="n"/>
      <c r="C183" s="9" t="n"/>
      <c r="D183" s="9" t="n"/>
      <c r="E183" s="9" t="n"/>
      <c r="F183" s="9" t="n"/>
      <c r="G183" s="9" t="n"/>
      <c r="H183" s="9" t="n"/>
      <c r="I183" s="10">
        <f>IFERROR(INDEX(C183:H183,MATCH(TRUE,INDEX(C183:H183&lt;&gt;"",0),0)),"")</f>
        <v/>
      </c>
      <c r="J183" s="10">
        <f>IFERROR(MIN(IF(C183:H183&lt;&gt;"",C183:H183)),"")</f>
        <v/>
      </c>
      <c r="K183" s="10">
        <f>IFERROR(MATCH(I183,C183:H183,0),"")</f>
        <v/>
      </c>
      <c r="L183" s="10">
        <f>IF(OR(I183="",J183=""),"",ROUND((I183-J183)/I183*100,1))</f>
        <v/>
      </c>
      <c r="M183" s="10">
        <f>IF(L183="","",IF(L183&gt;=22,"是","否"))</f>
        <v/>
      </c>
      <c r="N183" s="10">
        <f>IF(J183="","",IF(J183&lt;0.15,"是","否"))</f>
        <v/>
      </c>
      <c r="O183" s="10">
        <f>IF(I183="","",IF(J183&lt;0.15,"SAFETY_STOP",IF(L183&gt;=22,"VL_THRESHOLD","PLANNED_END")))</f>
        <v/>
      </c>
      <c r="P183" s="10">
        <f>IF(I183="","",IF(I183&gt;($D$2+0.05),"+5kg",IF(I183&gt;($D$2+0.02),"+2.5kg",IF(I183&gt;=($D$2-0.05),"保持",IF(I183&gt;=($D$2-0.08),"-2.5kg","-5kg")))))</f>
        <v/>
      </c>
      <c r="Q183" s="9" t="n"/>
      <c r="R183" s="12" t="n"/>
      <c r="S183" s="12" t="n"/>
      <c r="T183" s="12" t="n"/>
    </row>
    <row r="184">
      <c r="A184" s="12" t="n">
        <v>5</v>
      </c>
      <c r="B184" s="9" t="n"/>
      <c r="C184" s="9" t="n"/>
      <c r="D184" s="9" t="n"/>
      <c r="E184" s="9" t="n"/>
      <c r="F184" s="9" t="n"/>
      <c r="G184" s="9" t="n"/>
      <c r="H184" s="9" t="n"/>
      <c r="I184" s="10">
        <f>IFERROR(INDEX(C184:H184,MATCH(TRUE,INDEX(C184:H184&lt;&gt;"",0),0)),"")</f>
        <v/>
      </c>
      <c r="J184" s="10">
        <f>IFERROR(MIN(IF(C184:H184&lt;&gt;"",C184:H184)),"")</f>
        <v/>
      </c>
      <c r="K184" s="10">
        <f>IFERROR(MATCH(I184,C184:H184,0),"")</f>
        <v/>
      </c>
      <c r="L184" s="10">
        <f>IF(OR(I184="",J184=""),"",ROUND((I184-J184)/I184*100,1))</f>
        <v/>
      </c>
      <c r="M184" s="10">
        <f>IF(L184="","",IF(L184&gt;=22,"是","否"))</f>
        <v/>
      </c>
      <c r="N184" s="10">
        <f>IF(J184="","",IF(J184&lt;0.15,"是","否"))</f>
        <v/>
      </c>
      <c r="O184" s="10">
        <f>IF(I184="","",IF(J184&lt;0.15,"SAFETY_STOP",IF(L184&gt;=22,"VL_THRESHOLD","PLANNED_END")))</f>
        <v/>
      </c>
      <c r="P184" s="10">
        <f>IF(I184="","",IF(I184&gt;($D$2+0.05),"+5kg",IF(I184&gt;($D$2+0.02),"+2.5kg",IF(I184&gt;=($D$2-0.05),"保持",IF(I184&gt;=($D$2-0.08),"-2.5kg","-5kg")))))</f>
        <v/>
      </c>
      <c r="Q184" s="9" t="n"/>
      <c r="R184" s="12" t="n"/>
      <c r="S184" s="12" t="n"/>
      <c r="T184" s="12" t="n"/>
    </row>
    <row r="185">
      <c r="A185" s="12" t="n">
        <v>6</v>
      </c>
      <c r="B185" s="9" t="n"/>
      <c r="C185" s="9" t="n"/>
      <c r="D185" s="9" t="n"/>
      <c r="E185" s="9" t="n"/>
      <c r="F185" s="9" t="n"/>
      <c r="G185" s="9" t="n"/>
      <c r="H185" s="9" t="n"/>
      <c r="I185" s="10">
        <f>IFERROR(INDEX(C185:H185,MATCH(TRUE,INDEX(C185:H185&lt;&gt;"",0),0)),"")</f>
        <v/>
      </c>
      <c r="J185" s="10">
        <f>IFERROR(MIN(IF(C185:H185&lt;&gt;"",C185:H185)),"")</f>
        <v/>
      </c>
      <c r="K185" s="10">
        <f>IFERROR(MATCH(I185,C185:H185,0),"")</f>
        <v/>
      </c>
      <c r="L185" s="10">
        <f>IF(OR(I185="",J185=""),"",ROUND((I185-J185)/I185*100,1))</f>
        <v/>
      </c>
      <c r="M185" s="10">
        <f>IF(L185="","",IF(L185&gt;=22,"是","否"))</f>
        <v/>
      </c>
      <c r="N185" s="10">
        <f>IF(J185="","",IF(J185&lt;0.15,"是","否"))</f>
        <v/>
      </c>
      <c r="O185" s="10">
        <f>IF(I185="","",IF(J185&lt;0.15,"SAFETY_STOP",IF(L185&gt;=22,"VL_THRESHOLD","PLANNED_END")))</f>
        <v/>
      </c>
      <c r="P185" s="10">
        <f>IF(I185="","",IF(I185&gt;($D$2+0.05),"+5kg",IF(I185&gt;($D$2+0.02),"+2.5kg",IF(I185&gt;=($D$2-0.05),"保持",IF(I185&gt;=($D$2-0.08),"-2.5kg","-5kg")))))</f>
        <v/>
      </c>
      <c r="Q185" s="9" t="n"/>
      <c r="R185" s="12" t="n"/>
      <c r="S185" s="12" t="n"/>
      <c r="T185" s="12" t="n"/>
    </row>
    <row r="186">
      <c r="A186" s="8" t="inlineStr">
        <is>
          <t>辅助动作</t>
        </is>
      </c>
      <c r="B186" s="8" t="inlineStr">
        <is>
          <t>动作名称</t>
        </is>
      </c>
      <c r="C186" s="8" t="inlineStr">
        <is>
          <t>负荷kg</t>
        </is>
      </c>
      <c r="D186" s="8" t="inlineStr">
        <is>
          <t>完成(组×次)</t>
        </is>
      </c>
    </row>
    <row r="187">
      <c r="A187" s="9" t="inlineStr"/>
      <c r="B187" s="9" t="n"/>
      <c r="C187" s="9" t="n"/>
      <c r="D187" s="9" t="n"/>
    </row>
    <row r="188">
      <c r="A188" s="8" t="inlineStr">
        <is>
          <t>训练后</t>
        </is>
      </c>
      <c r="B188" s="8" t="inlineStr">
        <is>
          <t>开始时间</t>
        </is>
      </c>
      <c r="C188" s="8" t="inlineStr">
        <is>
          <t>结束时间</t>
        </is>
      </c>
      <c r="D188" s="8" t="inlineStr">
        <is>
          <t>总时长min</t>
        </is>
      </c>
      <c r="E188" s="8" t="inlineStr">
        <is>
          <t>sRPE</t>
        </is>
      </c>
      <c r="F188" s="8" t="inlineStr">
        <is>
          <t>session_load</t>
        </is>
      </c>
      <c r="G188" s="8" t="inlineStr">
        <is>
          <t>有无不适</t>
        </is>
      </c>
      <c r="H188" s="8" t="inlineStr">
        <is>
          <t>备注</t>
        </is>
      </c>
      <c r="I188" s="8" t="inlineStr">
        <is>
          <t>研究员签名</t>
        </is>
      </c>
    </row>
    <row r="189">
      <c r="A189" s="13" t="inlineStr"/>
      <c r="B189" s="13" t="n"/>
      <c r="C189" s="13" t="n"/>
      <c r="D189" s="10">
        <f>IF(OR(B189="",C189=""),"",(C189-B189)*1440)</f>
        <v/>
      </c>
      <c r="E189" s="13" t="n"/>
      <c r="F189" s="10">
        <f>IF(OR(D189="",E189=""),"",D189*E189)</f>
        <v/>
      </c>
      <c r="G189" s="13" t="n"/>
      <c r="H189" s="13" t="n"/>
      <c r="I189" s="13" t="n"/>
    </row>
    <row r="191">
      <c r="A191" s="5" t="inlineStr">
        <is>
          <t>── P009 王宏池 ──────────────────────────────────────────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7" t="n"/>
    </row>
    <row r="192">
      <c r="A192" s="8" t="inlineStr">
        <is>
          <t>编号</t>
        </is>
      </c>
      <c r="B192" s="8" t="inlineStr">
        <is>
          <t>姓名</t>
        </is>
      </c>
      <c r="C192" s="8" t="inlineStr">
        <is>
          <t>身高</t>
        </is>
      </c>
      <c r="D192" s="8" t="inlineStr">
        <is>
          <t>1RM</t>
        </is>
      </c>
      <c r="E192" s="8" t="inlineStr">
        <is>
          <t>睡眠</t>
        </is>
      </c>
      <c r="F192" s="8" t="inlineStr">
        <is>
          <t>压力</t>
        </is>
      </c>
      <c r="G192" s="8" t="inlineStr">
        <is>
          <t>疲劳</t>
        </is>
      </c>
      <c r="H192" s="8" t="inlineStr">
        <is>
          <t>酸痛</t>
        </is>
      </c>
      <c r="I192" s="8" t="inlineStr">
        <is>
          <t>Hooper总</t>
        </is>
      </c>
      <c r="J192" s="8" t="inlineStr">
        <is>
          <t>CMJ1</t>
        </is>
      </c>
      <c r="K192" s="8" t="inlineStr">
        <is>
          <t>CMJ2</t>
        </is>
      </c>
      <c r="L192" s="8" t="inlineStr">
        <is>
          <t>CMJ3</t>
        </is>
      </c>
      <c r="M192" s="8" t="inlineStr">
        <is>
          <t>CMJ均值</t>
        </is>
      </c>
      <c r="N192" s="8" t="inlineStr">
        <is>
          <t>&lt;95%?</t>
        </is>
      </c>
      <c r="O192" s="8" t="inlineStr">
        <is>
          <t>减组?</t>
        </is>
      </c>
      <c r="P192" s="8" t="inlineStr">
        <is>
          <t>实做组数</t>
        </is>
      </c>
      <c r="Q192" s="8" t="inlineStr">
        <is>
          <t>LVP_a</t>
        </is>
      </c>
      <c r="R192" s="8" t="inlineStr">
        <is>
          <t>LVP_b</t>
        </is>
      </c>
      <c r="S192" s="8" t="inlineStr">
        <is>
          <t>等级</t>
        </is>
      </c>
      <c r="T192" s="8" t="inlineStr">
        <is>
          <t>预测起始</t>
        </is>
      </c>
    </row>
    <row r="193">
      <c r="A193" s="9" t="inlineStr">
        <is>
          <t>P009</t>
        </is>
      </c>
      <c r="B193" s="9" t="inlineStr">
        <is>
          <t>王宏池</t>
        </is>
      </c>
      <c r="C193" s="9" t="n">
        <v>185</v>
      </c>
      <c r="D193" s="9" t="n">
        <v>135</v>
      </c>
      <c r="E193" s="9" t="n"/>
      <c r="F193" s="9" t="n"/>
      <c r="G193" s="9" t="n"/>
      <c r="H193" s="9" t="n"/>
      <c r="I193" s="10">
        <f>IFERROR(SUM(E193:H193),"")</f>
        <v/>
      </c>
      <c r="J193" s="9" t="n"/>
      <c r="K193" s="9" t="n"/>
      <c r="L193" s="9" t="n"/>
      <c r="M193" s="10">
        <f>IFERROR(AVERAGE(J193:L193),"")</f>
        <v/>
      </c>
      <c r="N193" s="10">
        <f>IF(M193="","",IF(M193&lt;54.27,"是⚠","否"))</f>
        <v/>
      </c>
      <c r="O193" s="10">
        <f>IF(M193="","",IF(M193&lt;54.27,"减1组","正常"))</f>
        <v/>
      </c>
      <c r="P193" s="10">
        <f>IF(M193="","",IF(M193&lt;54.27,5-1,5))</f>
        <v/>
      </c>
      <c r="Q193" s="9" t="n">
        <v>1.5667</v>
      </c>
      <c r="R193" s="9" t="n">
        <v>-0.008500000000000001</v>
      </c>
      <c r="S193" s="9" t="inlineStr">
        <is>
          <t>B</t>
        </is>
      </c>
      <c r="T193" s="10">
        <f>IFERROR(ROUND((0.55-1.5667)/-0.0085,0.5),"")</f>
        <v/>
      </c>
    </row>
    <row r="194">
      <c r="A194" s="8" t="inlineStr">
        <is>
          <t>热身校准</t>
        </is>
      </c>
      <c r="B194" s="8" t="inlineStr">
        <is>
          <t>LVP_a</t>
        </is>
      </c>
      <c r="C194" s="8" t="inlineStr">
        <is>
          <t>LVP_b</t>
        </is>
      </c>
      <c r="D194" s="8" t="inlineStr">
        <is>
          <t>50%热身kg</t>
        </is>
      </c>
      <c r="E194" s="8" t="inlineStr">
        <is>
          <t>70%热身kg</t>
        </is>
      </c>
      <c r="F194" s="8" t="inlineStr">
        <is>
          <t>热身负荷kg</t>
        </is>
      </c>
      <c r="G194" s="8" t="inlineStr">
        <is>
          <t>实测MCV</t>
        </is>
      </c>
      <c r="H194" s="8" t="inlineStr">
        <is>
          <t>预测MCV</t>
        </is>
      </c>
      <c r="I194" s="8" t="inlineStr">
        <is>
          <t>Δv</t>
        </is>
      </c>
      <c r="J194" s="8" t="inlineStr">
        <is>
          <t>调整量kg</t>
        </is>
      </c>
      <c r="K194" s="8" t="inlineStr">
        <is>
          <t>校准后第1组kg</t>
        </is>
      </c>
    </row>
    <row r="195">
      <c r="A195" s="11" t="inlineStr"/>
      <c r="B195" s="11" t="n">
        <v>1.5667</v>
      </c>
      <c r="C195" s="11" t="n">
        <v>-0.008500000000000001</v>
      </c>
      <c r="D195" s="10">
        <f>IFERROR(ROUND(T193*0.5,2.5),"")</f>
        <v/>
      </c>
      <c r="E195" s="10">
        <f>IFERROR(ROUND(T193*0.7,2.5),"")</f>
        <v/>
      </c>
      <c r="F195" s="10">
        <f>E195</f>
        <v/>
      </c>
      <c r="G195" s="9" t="n"/>
      <c r="H195" s="10">
        <f>IF(F195="","",B195+C195*F195)</f>
        <v/>
      </c>
      <c r="I195" s="10">
        <f>IF(OR(G195="",H195=""),"",G195-H195)</f>
        <v/>
      </c>
      <c r="J195" s="10">
        <f>IF(I195="","",IF(I195&gt;0.08,5,IF(I195&gt;0.04,2.5,IF(I195&gt;=-0.04,0,IF(I195&gt;=-0.08,-2.5,-5)))))</f>
        <v/>
      </c>
      <c r="K195" s="10">
        <f>IFERROR(ROUND(T193+J195,2.5),"")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8" t="inlineStr">
        <is>
          <t>组次</t>
        </is>
      </c>
      <c r="B196" s="8" t="inlineStr">
        <is>
          <t>负荷kg</t>
        </is>
      </c>
      <c r="C196" s="8" t="inlineStr">
        <is>
          <t>rep1</t>
        </is>
      </c>
      <c r="D196" s="8" t="inlineStr">
        <is>
          <t>rep2</t>
        </is>
      </c>
      <c r="E196" s="8" t="inlineStr">
        <is>
          <t>rep3</t>
        </is>
      </c>
      <c r="F196" s="8" t="inlineStr">
        <is>
          <t>rep4</t>
        </is>
      </c>
      <c r="G196" s="8" t="inlineStr">
        <is>
          <t>rep5</t>
        </is>
      </c>
      <c r="H196" s="8" t="inlineStr">
        <is>
          <t>rep6</t>
        </is>
      </c>
      <c r="I196" s="8" t="inlineStr">
        <is>
          <t>首rep</t>
        </is>
      </c>
      <c r="J196" s="8" t="inlineStr">
        <is>
          <t>最低速</t>
        </is>
      </c>
      <c r="K196" s="8" t="inlineStr">
        <is>
          <t>最低rep#</t>
        </is>
      </c>
      <c r="L196" s="8" t="inlineStr">
        <is>
          <t>VL%</t>
        </is>
      </c>
      <c r="M196" s="8" t="inlineStr">
        <is>
          <t>VL达标?</t>
        </is>
      </c>
      <c r="N196" s="8" t="inlineStr">
        <is>
          <t>安全停止?</t>
        </is>
      </c>
      <c r="O196" s="8" t="inlineStr">
        <is>
          <t>停组原因</t>
        </is>
      </c>
      <c r="P196" s="8" t="inlineStr">
        <is>
          <t>下组建议</t>
        </is>
      </c>
      <c r="Q196" s="8" t="inlineStr">
        <is>
          <t>实做次数</t>
        </is>
      </c>
    </row>
    <row r="197">
      <c r="A197" s="12" t="n">
        <v>1</v>
      </c>
      <c r="B197" s="10">
        <f>IF(K195="","",K195)</f>
        <v/>
      </c>
      <c r="C197" s="9" t="n"/>
      <c r="D197" s="9" t="n"/>
      <c r="E197" s="9" t="n"/>
      <c r="F197" s="9" t="n"/>
      <c r="G197" s="9" t="n"/>
      <c r="H197" s="9" t="n"/>
      <c r="I197" s="10">
        <f>IFERROR(INDEX(C197:H197,MATCH(TRUE,INDEX(C197:H197&lt;&gt;"",0),0)),"")</f>
        <v/>
      </c>
      <c r="J197" s="10">
        <f>IFERROR(MIN(IF(C197:H197&lt;&gt;"",C197:H197)),"")</f>
        <v/>
      </c>
      <c r="K197" s="10">
        <f>IFERROR(MATCH(I197,C197:H197,0),"")</f>
        <v/>
      </c>
      <c r="L197" s="10">
        <f>IF(OR(I197="",J197=""),"",ROUND((I197-J197)/I197*100,1))</f>
        <v/>
      </c>
      <c r="M197" s="10">
        <f>IF(L197="","",IF(L197&gt;=22,"是","否"))</f>
        <v/>
      </c>
      <c r="N197" s="10">
        <f>IF(J197="","",IF(J197&lt;0.15,"是","否"))</f>
        <v/>
      </c>
      <c r="O197" s="10">
        <f>IF(I197="","",IF(J197&lt;0.15,"SAFETY_STOP",IF(L197&gt;=22,"VL_THRESHOLD","PLANNED_END")))</f>
        <v/>
      </c>
      <c r="P197" s="10">
        <f>IF(I197="","",IF(I197&gt;($D$2+0.05),"+5kg",IF(I197&gt;($D$2+0.02),"+2.5kg",IF(I197&gt;=($D$2-0.05),"保持",IF(I197&gt;=($D$2-0.08),"-2.5kg","-5kg")))))</f>
        <v/>
      </c>
      <c r="Q197" s="9" t="n"/>
      <c r="R197" s="12" t="n"/>
      <c r="S197" s="12" t="n"/>
      <c r="T197" s="12" t="n"/>
    </row>
    <row r="198">
      <c r="A198" s="12" t="n">
        <v>2</v>
      </c>
      <c r="B198" s="9" t="n"/>
      <c r="C198" s="9" t="n"/>
      <c r="D198" s="9" t="n"/>
      <c r="E198" s="9" t="n"/>
      <c r="F198" s="9" t="n"/>
      <c r="G198" s="9" t="n"/>
      <c r="H198" s="9" t="n"/>
      <c r="I198" s="10">
        <f>IFERROR(INDEX(C198:H198,MATCH(TRUE,INDEX(C198:H198&lt;&gt;"",0),0)),"")</f>
        <v/>
      </c>
      <c r="J198" s="10">
        <f>IFERROR(MIN(IF(C198:H198&lt;&gt;"",C198:H198)),"")</f>
        <v/>
      </c>
      <c r="K198" s="10">
        <f>IFERROR(MATCH(I198,C198:H198,0),"")</f>
        <v/>
      </c>
      <c r="L198" s="10">
        <f>IF(OR(I198="",J198=""),"",ROUND((I198-J198)/I198*100,1))</f>
        <v/>
      </c>
      <c r="M198" s="10">
        <f>IF(L198="","",IF(L198&gt;=22,"是","否"))</f>
        <v/>
      </c>
      <c r="N198" s="10">
        <f>IF(J198="","",IF(J198&lt;0.15,"是","否"))</f>
        <v/>
      </c>
      <c r="O198" s="10">
        <f>IF(I198="","",IF(J198&lt;0.15,"SAFETY_STOP",IF(L198&gt;=22,"VL_THRESHOLD","PLANNED_END")))</f>
        <v/>
      </c>
      <c r="P198" s="10">
        <f>IF(I198="","",IF(I198&gt;($D$2+0.05),"+5kg",IF(I198&gt;($D$2+0.02),"+2.5kg",IF(I198&gt;=($D$2-0.05),"保持",IF(I198&gt;=($D$2-0.08),"-2.5kg","-5kg")))))</f>
        <v/>
      </c>
      <c r="Q198" s="9" t="n"/>
      <c r="R198" s="12" t="n"/>
      <c r="S198" s="12" t="n"/>
      <c r="T198" s="12" t="n"/>
    </row>
    <row r="199">
      <c r="A199" s="12" t="n">
        <v>3</v>
      </c>
      <c r="B199" s="9" t="n"/>
      <c r="C199" s="9" t="n"/>
      <c r="D199" s="9" t="n"/>
      <c r="E199" s="9" t="n"/>
      <c r="F199" s="9" t="n"/>
      <c r="G199" s="9" t="n"/>
      <c r="H199" s="9" t="n"/>
      <c r="I199" s="10">
        <f>IFERROR(INDEX(C199:H199,MATCH(TRUE,INDEX(C199:H199&lt;&gt;"",0),0)),"")</f>
        <v/>
      </c>
      <c r="J199" s="10">
        <f>IFERROR(MIN(IF(C199:H199&lt;&gt;"",C199:H199)),"")</f>
        <v/>
      </c>
      <c r="K199" s="10">
        <f>IFERROR(MATCH(I199,C199:H199,0),"")</f>
        <v/>
      </c>
      <c r="L199" s="10">
        <f>IF(OR(I199="",J199=""),"",ROUND((I199-J199)/I199*100,1))</f>
        <v/>
      </c>
      <c r="M199" s="10">
        <f>IF(L199="","",IF(L199&gt;=22,"是","否"))</f>
        <v/>
      </c>
      <c r="N199" s="10">
        <f>IF(J199="","",IF(J199&lt;0.15,"是","否"))</f>
        <v/>
      </c>
      <c r="O199" s="10">
        <f>IF(I199="","",IF(J199&lt;0.15,"SAFETY_STOP",IF(L199&gt;=22,"VL_THRESHOLD","PLANNED_END")))</f>
        <v/>
      </c>
      <c r="P199" s="10">
        <f>IF(I199="","",IF(I199&gt;($D$2+0.05),"+5kg",IF(I199&gt;($D$2+0.02),"+2.5kg",IF(I199&gt;=($D$2-0.05),"保持",IF(I199&gt;=($D$2-0.08),"-2.5kg","-5kg")))))</f>
        <v/>
      </c>
      <c r="Q199" s="9" t="n"/>
      <c r="R199" s="12" t="n"/>
      <c r="S199" s="12" t="n"/>
      <c r="T199" s="12" t="n"/>
    </row>
    <row r="200">
      <c r="A200" s="12" t="n">
        <v>4</v>
      </c>
      <c r="B200" s="9" t="n"/>
      <c r="C200" s="9" t="n"/>
      <c r="D200" s="9" t="n"/>
      <c r="E200" s="9" t="n"/>
      <c r="F200" s="9" t="n"/>
      <c r="G200" s="9" t="n"/>
      <c r="H200" s="9" t="n"/>
      <c r="I200" s="10">
        <f>IFERROR(INDEX(C200:H200,MATCH(TRUE,INDEX(C200:H200&lt;&gt;"",0),0)),"")</f>
        <v/>
      </c>
      <c r="J200" s="10">
        <f>IFERROR(MIN(IF(C200:H200&lt;&gt;"",C200:H200)),"")</f>
        <v/>
      </c>
      <c r="K200" s="10">
        <f>IFERROR(MATCH(I200,C200:H200,0),"")</f>
        <v/>
      </c>
      <c r="L200" s="10">
        <f>IF(OR(I200="",J200=""),"",ROUND((I200-J200)/I200*100,1))</f>
        <v/>
      </c>
      <c r="M200" s="10">
        <f>IF(L200="","",IF(L200&gt;=22,"是","否"))</f>
        <v/>
      </c>
      <c r="N200" s="10">
        <f>IF(J200="","",IF(J200&lt;0.15,"是","否"))</f>
        <v/>
      </c>
      <c r="O200" s="10">
        <f>IF(I200="","",IF(J200&lt;0.15,"SAFETY_STOP",IF(L200&gt;=22,"VL_THRESHOLD","PLANNED_END")))</f>
        <v/>
      </c>
      <c r="P200" s="10">
        <f>IF(I200="","",IF(I200&gt;($D$2+0.05),"+5kg",IF(I200&gt;($D$2+0.02),"+2.5kg",IF(I200&gt;=($D$2-0.05),"保持",IF(I200&gt;=($D$2-0.08),"-2.5kg","-5kg")))))</f>
        <v/>
      </c>
      <c r="Q200" s="9" t="n"/>
      <c r="R200" s="12" t="n"/>
      <c r="S200" s="12" t="n"/>
      <c r="T200" s="12" t="n"/>
    </row>
    <row r="201">
      <c r="A201" s="12" t="n">
        <v>5</v>
      </c>
      <c r="B201" s="9" t="n"/>
      <c r="C201" s="9" t="n"/>
      <c r="D201" s="9" t="n"/>
      <c r="E201" s="9" t="n"/>
      <c r="F201" s="9" t="n"/>
      <c r="G201" s="9" t="n"/>
      <c r="H201" s="9" t="n"/>
      <c r="I201" s="10">
        <f>IFERROR(INDEX(C201:H201,MATCH(TRUE,INDEX(C201:H201&lt;&gt;"",0),0)),"")</f>
        <v/>
      </c>
      <c r="J201" s="10">
        <f>IFERROR(MIN(IF(C201:H201&lt;&gt;"",C201:H201)),"")</f>
        <v/>
      </c>
      <c r="K201" s="10">
        <f>IFERROR(MATCH(I201,C201:H201,0),"")</f>
        <v/>
      </c>
      <c r="L201" s="10">
        <f>IF(OR(I201="",J201=""),"",ROUND((I201-J201)/I201*100,1))</f>
        <v/>
      </c>
      <c r="M201" s="10">
        <f>IF(L201="","",IF(L201&gt;=22,"是","否"))</f>
        <v/>
      </c>
      <c r="N201" s="10">
        <f>IF(J201="","",IF(J201&lt;0.15,"是","否"))</f>
        <v/>
      </c>
      <c r="O201" s="10">
        <f>IF(I201="","",IF(J201&lt;0.15,"SAFETY_STOP",IF(L201&gt;=22,"VL_THRESHOLD","PLANNED_END")))</f>
        <v/>
      </c>
      <c r="P201" s="10">
        <f>IF(I201="","",IF(I201&gt;($D$2+0.05),"+5kg",IF(I201&gt;($D$2+0.02),"+2.5kg",IF(I201&gt;=($D$2-0.05),"保持",IF(I201&gt;=($D$2-0.08),"-2.5kg","-5kg")))))</f>
        <v/>
      </c>
      <c r="Q201" s="9" t="n"/>
      <c r="R201" s="12" t="n"/>
      <c r="S201" s="12" t="n"/>
      <c r="T201" s="12" t="n"/>
    </row>
    <row r="202">
      <c r="A202" s="12" t="n">
        <v>6</v>
      </c>
      <c r="B202" s="9" t="n"/>
      <c r="C202" s="9" t="n"/>
      <c r="D202" s="9" t="n"/>
      <c r="E202" s="9" t="n"/>
      <c r="F202" s="9" t="n"/>
      <c r="G202" s="9" t="n"/>
      <c r="H202" s="9" t="n"/>
      <c r="I202" s="10">
        <f>IFERROR(INDEX(C202:H202,MATCH(TRUE,INDEX(C202:H202&lt;&gt;"",0),0)),"")</f>
        <v/>
      </c>
      <c r="J202" s="10">
        <f>IFERROR(MIN(IF(C202:H202&lt;&gt;"",C202:H202)),"")</f>
        <v/>
      </c>
      <c r="K202" s="10">
        <f>IFERROR(MATCH(I202,C202:H202,0),"")</f>
        <v/>
      </c>
      <c r="L202" s="10">
        <f>IF(OR(I202="",J202=""),"",ROUND((I202-J202)/I202*100,1))</f>
        <v/>
      </c>
      <c r="M202" s="10">
        <f>IF(L202="","",IF(L202&gt;=22,"是","否"))</f>
        <v/>
      </c>
      <c r="N202" s="10">
        <f>IF(J202="","",IF(J202&lt;0.15,"是","否"))</f>
        <v/>
      </c>
      <c r="O202" s="10">
        <f>IF(I202="","",IF(J202&lt;0.15,"SAFETY_STOP",IF(L202&gt;=22,"VL_THRESHOLD","PLANNED_END")))</f>
        <v/>
      </c>
      <c r="P202" s="10">
        <f>IF(I202="","",IF(I202&gt;($D$2+0.05),"+5kg",IF(I202&gt;($D$2+0.02),"+2.5kg",IF(I202&gt;=($D$2-0.05),"保持",IF(I202&gt;=($D$2-0.08),"-2.5kg","-5kg")))))</f>
        <v/>
      </c>
      <c r="Q202" s="9" t="n"/>
      <c r="R202" s="12" t="n"/>
      <c r="S202" s="12" t="n"/>
      <c r="T202" s="12" t="n"/>
    </row>
    <row r="203">
      <c r="A203" s="8" t="inlineStr">
        <is>
          <t>辅助动作</t>
        </is>
      </c>
      <c r="B203" s="8" t="inlineStr">
        <is>
          <t>动作名称</t>
        </is>
      </c>
      <c r="C203" s="8" t="inlineStr">
        <is>
          <t>负荷kg</t>
        </is>
      </c>
      <c r="D203" s="8" t="inlineStr">
        <is>
          <t>完成(组×次)</t>
        </is>
      </c>
    </row>
    <row r="204">
      <c r="A204" s="9" t="inlineStr"/>
      <c r="B204" s="9" t="n"/>
      <c r="C204" s="9" t="n"/>
      <c r="D204" s="9" t="n"/>
    </row>
    <row r="205">
      <c r="A205" s="8" t="inlineStr">
        <is>
          <t>训练后</t>
        </is>
      </c>
      <c r="B205" s="8" t="inlineStr">
        <is>
          <t>开始时间</t>
        </is>
      </c>
      <c r="C205" s="8" t="inlineStr">
        <is>
          <t>结束时间</t>
        </is>
      </c>
      <c r="D205" s="8" t="inlineStr">
        <is>
          <t>总时长min</t>
        </is>
      </c>
      <c r="E205" s="8" t="inlineStr">
        <is>
          <t>sRPE</t>
        </is>
      </c>
      <c r="F205" s="8" t="inlineStr">
        <is>
          <t>session_load</t>
        </is>
      </c>
      <c r="G205" s="8" t="inlineStr">
        <is>
          <t>有无不适</t>
        </is>
      </c>
      <c r="H205" s="8" t="inlineStr">
        <is>
          <t>备注</t>
        </is>
      </c>
      <c r="I205" s="8" t="inlineStr">
        <is>
          <t>研究员签名</t>
        </is>
      </c>
    </row>
    <row r="206">
      <c r="A206" s="13" t="inlineStr"/>
      <c r="B206" s="13" t="n"/>
      <c r="C206" s="13" t="n"/>
      <c r="D206" s="10">
        <f>IF(OR(B206="",C206=""),"",(C206-B206)*1440)</f>
        <v/>
      </c>
      <c r="E206" s="13" t="n"/>
      <c r="F206" s="10">
        <f>IF(OR(D206="",E206=""),"",D206*E206)</f>
        <v/>
      </c>
      <c r="G206" s="13" t="n"/>
      <c r="H206" s="13" t="n"/>
      <c r="I206" s="13" t="n"/>
    </row>
  </sheetData>
  <mergeCells count="13">
    <mergeCell ref="A1:T1"/>
    <mergeCell ref="A89:T89"/>
    <mergeCell ref="A4:T4"/>
    <mergeCell ref="A106:T106"/>
    <mergeCell ref="A21:T21"/>
    <mergeCell ref="A140:T140"/>
    <mergeCell ref="A55:T55"/>
    <mergeCell ref="A38:T38"/>
    <mergeCell ref="A157:T157"/>
    <mergeCell ref="A72:T72"/>
    <mergeCell ref="A174:T174"/>
    <mergeCell ref="A191:T191"/>
    <mergeCell ref="A123:T1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6" customWidth="1" min="15" max="15"/>
    <col width="12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>
      <c r="A1" s="1" t="inlineStr">
        <is>
          <t>研究二 AI组训练执行计算表 — W2_B（Day B）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目标MCV区间</t>
        </is>
      </c>
      <c r="B2" s="4" t="inlineStr">
        <is>
          <t>0.70-0.80</t>
        </is>
      </c>
      <c r="C2" s="3" t="inlineStr">
        <is>
          <t>目标MCV中点</t>
        </is>
      </c>
      <c r="D2" s="4" t="n">
        <v>0.75</v>
      </c>
      <c r="E2" s="3" t="inlineStr">
        <is>
          <t>VL阈值%</t>
        </is>
      </c>
      <c r="F2" s="4" t="n">
        <v>12</v>
      </c>
      <c r="G2" s="3" t="inlineStr">
        <is>
          <t>安全停止(m/s)</t>
        </is>
      </c>
      <c r="H2" s="4" t="n">
        <v>0.15</v>
      </c>
      <c r="I2" s="3" t="inlineStr">
        <is>
          <t>计划组数</t>
        </is>
      </c>
      <c r="J2" s="4" t="n">
        <v>5</v>
      </c>
      <c r="K2" s="3" t="inlineStr">
        <is>
          <t>每组次数</t>
        </is>
      </c>
      <c r="L2" s="4" t="inlineStr">
        <is>
          <t>3-4</t>
        </is>
      </c>
    </row>
    <row r="4">
      <c r="A4" s="5" t="inlineStr">
        <is>
          <t>── P007 陈鑫 ──────────────────────────────────────────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7" t="n"/>
    </row>
    <row r="5">
      <c r="A5" s="8" t="inlineStr">
        <is>
          <t>编号</t>
        </is>
      </c>
      <c r="B5" s="8" t="inlineStr">
        <is>
          <t>姓名</t>
        </is>
      </c>
      <c r="C5" s="8" t="inlineStr">
        <is>
          <t>身高</t>
        </is>
      </c>
      <c r="D5" s="8" t="inlineStr">
        <is>
          <t>1RM</t>
        </is>
      </c>
      <c r="E5" s="8" t="inlineStr">
        <is>
          <t>睡眠</t>
        </is>
      </c>
      <c r="F5" s="8" t="inlineStr">
        <is>
          <t>压力</t>
        </is>
      </c>
      <c r="G5" s="8" t="inlineStr">
        <is>
          <t>疲劳</t>
        </is>
      </c>
      <c r="H5" s="8" t="inlineStr">
        <is>
          <t>酸痛</t>
        </is>
      </c>
      <c r="I5" s="8" t="inlineStr">
        <is>
          <t>Hooper总</t>
        </is>
      </c>
      <c r="J5" s="8" t="inlineStr">
        <is>
          <t>CMJ1</t>
        </is>
      </c>
      <c r="K5" s="8" t="inlineStr">
        <is>
          <t>CMJ2</t>
        </is>
      </c>
      <c r="L5" s="8" t="inlineStr">
        <is>
          <t>CMJ3</t>
        </is>
      </c>
      <c r="M5" s="8" t="inlineStr">
        <is>
          <t>CMJ均值</t>
        </is>
      </c>
      <c r="N5" s="8" t="inlineStr">
        <is>
          <t>&lt;95%?</t>
        </is>
      </c>
      <c r="O5" s="8" t="inlineStr">
        <is>
          <t>减组?</t>
        </is>
      </c>
      <c r="P5" s="8" t="inlineStr">
        <is>
          <t>实做组数</t>
        </is>
      </c>
      <c r="Q5" s="8" t="inlineStr">
        <is>
          <t>LVP_a</t>
        </is>
      </c>
      <c r="R5" s="8" t="inlineStr">
        <is>
          <t>LVP_b</t>
        </is>
      </c>
      <c r="S5" s="8" t="inlineStr">
        <is>
          <t>等级</t>
        </is>
      </c>
      <c r="T5" s="8" t="inlineStr">
        <is>
          <t>预测起始</t>
        </is>
      </c>
    </row>
    <row r="6">
      <c r="A6" s="9" t="inlineStr">
        <is>
          <t>P007</t>
        </is>
      </c>
      <c r="B6" s="9" t="inlineStr">
        <is>
          <t>陈鑫</t>
        </is>
      </c>
      <c r="C6" s="9" t="n">
        <v>173</v>
      </c>
      <c r="D6" s="9" t="n">
        <v>110</v>
      </c>
      <c r="E6" s="9" t="n"/>
      <c r="F6" s="9" t="n"/>
      <c r="G6" s="9" t="n"/>
      <c r="H6" s="9" t="n"/>
      <c r="I6" s="10">
        <f>IFERROR(SUM(E6:H6),"")</f>
        <v/>
      </c>
      <c r="J6" s="9" t="n"/>
      <c r="K6" s="9" t="n"/>
      <c r="L6" s="9" t="n"/>
      <c r="M6" s="10">
        <f>IFERROR(AVERAGE(J6:L6),"")</f>
        <v/>
      </c>
      <c r="N6" s="10">
        <f>IF(M6="","",IF(M6&lt;63.01,"是⚠","否"))</f>
        <v/>
      </c>
      <c r="O6" s="10">
        <f>IF(M6="","",IF(M6&lt;63.01,"减1组","正常"))</f>
        <v/>
      </c>
      <c r="P6" s="10">
        <f>IF(M6="","",IF(M6&lt;63.01,5-1,5))</f>
        <v/>
      </c>
      <c r="Q6" s="9" t="n">
        <v>1.65</v>
      </c>
      <c r="R6" s="9" t="n">
        <v>-0.0125</v>
      </c>
      <c r="S6" s="9" t="inlineStr">
        <is>
          <t>A</t>
        </is>
      </c>
      <c r="T6" s="10">
        <f>IFERROR(ROUND((0.75-1.65)/-0.0125,0.5),"")</f>
        <v/>
      </c>
    </row>
    <row r="7">
      <c r="A7" s="8" t="inlineStr">
        <is>
          <t>热身校准</t>
        </is>
      </c>
      <c r="B7" s="8" t="inlineStr">
        <is>
          <t>LVP_a</t>
        </is>
      </c>
      <c r="C7" s="8" t="inlineStr">
        <is>
          <t>LVP_b</t>
        </is>
      </c>
      <c r="D7" s="8" t="inlineStr">
        <is>
          <t>50%热身kg</t>
        </is>
      </c>
      <c r="E7" s="8" t="inlineStr">
        <is>
          <t>70%热身kg</t>
        </is>
      </c>
      <c r="F7" s="8" t="inlineStr">
        <is>
          <t>热身负荷kg</t>
        </is>
      </c>
      <c r="G7" s="8" t="inlineStr">
        <is>
          <t>实测MCV</t>
        </is>
      </c>
      <c r="H7" s="8" t="inlineStr">
        <is>
          <t>预测MCV</t>
        </is>
      </c>
      <c r="I7" s="8" t="inlineStr">
        <is>
          <t>Δv</t>
        </is>
      </c>
      <c r="J7" s="8" t="inlineStr">
        <is>
          <t>调整量kg</t>
        </is>
      </c>
      <c r="K7" s="8" t="inlineStr">
        <is>
          <t>校准后第1组kg</t>
        </is>
      </c>
    </row>
    <row r="8">
      <c r="A8" s="11" t="inlineStr"/>
      <c r="B8" s="11" t="n">
        <v>1.65</v>
      </c>
      <c r="C8" s="11" t="n">
        <v>-0.0125</v>
      </c>
      <c r="D8" s="10">
        <f>IFERROR(ROUND(T6*0.5,2.5),"")</f>
        <v/>
      </c>
      <c r="E8" s="10">
        <f>IFERROR(ROUND(T6*0.7,2.5),"")</f>
        <v/>
      </c>
      <c r="F8" s="10">
        <f>D8</f>
        <v/>
      </c>
      <c r="G8" s="9" t="n"/>
      <c r="H8" s="10">
        <f>IF(F8="","",B8+C8*F8)</f>
        <v/>
      </c>
      <c r="I8" s="10">
        <f>IF(OR(G8="",H8=""),"",G8-H8)</f>
        <v/>
      </c>
      <c r="J8" s="10">
        <f>IF(I8="","",IF(I8&gt;0.08,5,IF(I8&gt;0.04,2.5,IF(I8&gt;=-0.04,0,IF(I8&gt;=-0.08,-2.5,-5)))))</f>
        <v/>
      </c>
      <c r="K8" s="10">
        <f>IFERROR(ROUND(T6+J8,2.5),"")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8" t="inlineStr">
        <is>
          <t>组次</t>
        </is>
      </c>
      <c r="B9" s="8" t="inlineStr">
        <is>
          <t>负荷kg</t>
        </is>
      </c>
      <c r="C9" s="8" t="inlineStr">
        <is>
          <t>rep1</t>
        </is>
      </c>
      <c r="D9" s="8" t="inlineStr">
        <is>
          <t>rep2</t>
        </is>
      </c>
      <c r="E9" s="8" t="inlineStr">
        <is>
          <t>rep3</t>
        </is>
      </c>
      <c r="F9" s="8" t="inlineStr">
        <is>
          <t>rep4</t>
        </is>
      </c>
      <c r="G9" s="8" t="inlineStr">
        <is>
          <t>rep5</t>
        </is>
      </c>
      <c r="H9" s="8" t="inlineStr">
        <is>
          <t>rep6</t>
        </is>
      </c>
      <c r="I9" s="8" t="inlineStr">
        <is>
          <t>首rep</t>
        </is>
      </c>
      <c r="J9" s="8" t="inlineStr">
        <is>
          <t>最低速</t>
        </is>
      </c>
      <c r="K9" s="8" t="inlineStr">
        <is>
          <t>最低rep#</t>
        </is>
      </c>
      <c r="L9" s="8" t="inlineStr">
        <is>
          <t>VL%</t>
        </is>
      </c>
      <c r="M9" s="8" t="inlineStr">
        <is>
          <t>VL达标?</t>
        </is>
      </c>
      <c r="N9" s="8" t="inlineStr">
        <is>
          <t>安全停止?</t>
        </is>
      </c>
      <c r="O9" s="8" t="inlineStr">
        <is>
          <t>停组原因</t>
        </is>
      </c>
      <c r="P9" s="8" t="inlineStr">
        <is>
          <t>下组建议</t>
        </is>
      </c>
      <c r="Q9" s="8" t="inlineStr">
        <is>
          <t>实做次数</t>
        </is>
      </c>
    </row>
    <row r="10">
      <c r="A10" s="12" t="n">
        <v>1</v>
      </c>
      <c r="B10" s="10">
        <f>IF(K8="","",K8)</f>
        <v/>
      </c>
      <c r="C10" s="9" t="n"/>
      <c r="D10" s="9" t="n"/>
      <c r="E10" s="9" t="n"/>
      <c r="F10" s="9" t="n"/>
      <c r="G10" s="9" t="n"/>
      <c r="H10" s="9" t="n"/>
      <c r="I10" s="10">
        <f>IFERROR(INDEX(C10:H10,MATCH(TRUE,INDEX(C10:H10&lt;&gt;"",0),0)),"")</f>
        <v/>
      </c>
      <c r="J10" s="10">
        <f>IFERROR(MIN(IF(C10:H10&lt;&gt;"",C10:H10)),"")</f>
        <v/>
      </c>
      <c r="K10" s="10">
        <f>IFERROR(MATCH(I10,C10:H10,0),"")</f>
        <v/>
      </c>
      <c r="L10" s="10">
        <f>IF(OR(I10="",J10=""),"",ROUND((I10-J10)/I10*100,1))</f>
        <v/>
      </c>
      <c r="M10" s="10">
        <f>IF(L10="","",IF(L10&gt;=12,"是","否"))</f>
        <v/>
      </c>
      <c r="N10" s="10">
        <f>IF(J10="","",IF(J10&lt;0.15,"是","否"))</f>
        <v/>
      </c>
      <c r="O10" s="10">
        <f>IF(I10="","",IF(J10&lt;0.15,"SAFETY_STOP",IF(L10&gt;=12,"VL_THRESHOLD","PLANNED_END")))</f>
        <v/>
      </c>
      <c r="P10" s="10">
        <f>IF(I10="","",IF(I10&gt;($D$2+0.05),"+5kg",IF(I10&gt;($D$2+0.02),"+2.5kg",IF(I10&gt;=($D$2-0.05),"保持",IF(I10&gt;=($D$2-0.08),"-2.5kg","-5kg")))))</f>
        <v/>
      </c>
      <c r="Q10" s="9" t="n"/>
      <c r="R10" s="12" t="n"/>
      <c r="S10" s="12" t="n"/>
      <c r="T10" s="12" t="n"/>
    </row>
    <row r="11">
      <c r="A11" s="12" t="n">
        <v>2</v>
      </c>
      <c r="B11" s="9" t="n"/>
      <c r="C11" s="9" t="n"/>
      <c r="D11" s="9" t="n"/>
      <c r="E11" s="9" t="n"/>
      <c r="F11" s="9" t="n"/>
      <c r="G11" s="9" t="n"/>
      <c r="H11" s="9" t="n"/>
      <c r="I11" s="10">
        <f>IFERROR(INDEX(C11:H11,MATCH(TRUE,INDEX(C11:H11&lt;&gt;"",0),0)),"")</f>
        <v/>
      </c>
      <c r="J11" s="10">
        <f>IFERROR(MIN(IF(C11:H11&lt;&gt;"",C11:H11)),"")</f>
        <v/>
      </c>
      <c r="K11" s="10">
        <f>IFERROR(MATCH(I11,C11:H11,0),"")</f>
        <v/>
      </c>
      <c r="L11" s="10">
        <f>IF(OR(I11="",J11=""),"",ROUND((I11-J11)/I11*100,1))</f>
        <v/>
      </c>
      <c r="M11" s="10">
        <f>IF(L11="","",IF(L11&gt;=12,"是","否"))</f>
        <v/>
      </c>
      <c r="N11" s="10">
        <f>IF(J11="","",IF(J11&lt;0.15,"是","否"))</f>
        <v/>
      </c>
      <c r="O11" s="10">
        <f>IF(I11="","",IF(J11&lt;0.15,"SAFETY_STOP",IF(L11&gt;=12,"VL_THRESHOLD","PLANNED_END")))</f>
        <v/>
      </c>
      <c r="P11" s="10">
        <f>IF(I11="","",IF(I11&gt;($D$2+0.05),"+5kg",IF(I11&gt;($D$2+0.02),"+2.5kg",IF(I11&gt;=($D$2-0.05),"保持",IF(I11&gt;=($D$2-0.08),"-2.5kg","-5kg")))))</f>
        <v/>
      </c>
      <c r="Q11" s="9" t="n"/>
      <c r="R11" s="12" t="n"/>
      <c r="S11" s="12" t="n"/>
      <c r="T11" s="12" t="n"/>
    </row>
    <row r="12">
      <c r="A12" s="12" t="n">
        <v>3</v>
      </c>
      <c r="B12" s="9" t="n"/>
      <c r="C12" s="9" t="n"/>
      <c r="D12" s="9" t="n"/>
      <c r="E12" s="9" t="n"/>
      <c r="F12" s="9" t="n"/>
      <c r="G12" s="9" t="n"/>
      <c r="H12" s="9" t="n"/>
      <c r="I12" s="10">
        <f>IFERROR(INDEX(C12:H12,MATCH(TRUE,INDEX(C12:H12&lt;&gt;"",0),0)),"")</f>
        <v/>
      </c>
      <c r="J12" s="10">
        <f>IFERROR(MIN(IF(C12:H12&lt;&gt;"",C12:H12)),"")</f>
        <v/>
      </c>
      <c r="K12" s="10">
        <f>IFERROR(MATCH(I12,C12:H12,0),"")</f>
        <v/>
      </c>
      <c r="L12" s="10">
        <f>IF(OR(I12="",J12=""),"",ROUND((I12-J12)/I12*100,1))</f>
        <v/>
      </c>
      <c r="M12" s="10">
        <f>IF(L12="","",IF(L12&gt;=12,"是","否"))</f>
        <v/>
      </c>
      <c r="N12" s="10">
        <f>IF(J12="","",IF(J12&lt;0.15,"是","否"))</f>
        <v/>
      </c>
      <c r="O12" s="10">
        <f>IF(I12="","",IF(J12&lt;0.15,"SAFETY_STOP",IF(L12&gt;=12,"VL_THRESHOLD","PLANNED_END")))</f>
        <v/>
      </c>
      <c r="P12" s="10">
        <f>IF(I12="","",IF(I12&gt;($D$2+0.05),"+5kg",IF(I12&gt;($D$2+0.02),"+2.5kg",IF(I12&gt;=($D$2-0.05),"保持",IF(I12&gt;=($D$2-0.08),"-2.5kg","-5kg")))))</f>
        <v/>
      </c>
      <c r="Q12" s="9" t="n"/>
      <c r="R12" s="12" t="n"/>
      <c r="S12" s="12" t="n"/>
      <c r="T12" s="12" t="n"/>
    </row>
    <row r="13">
      <c r="A13" s="12" t="n">
        <v>4</v>
      </c>
      <c r="B13" s="9" t="n"/>
      <c r="C13" s="9" t="n"/>
      <c r="D13" s="9" t="n"/>
      <c r="E13" s="9" t="n"/>
      <c r="F13" s="9" t="n"/>
      <c r="G13" s="9" t="n"/>
      <c r="H13" s="9" t="n"/>
      <c r="I13" s="10">
        <f>IFERROR(INDEX(C13:H13,MATCH(TRUE,INDEX(C13:H13&lt;&gt;"",0),0)),"")</f>
        <v/>
      </c>
      <c r="J13" s="10">
        <f>IFERROR(MIN(IF(C13:H13&lt;&gt;"",C13:H13)),"")</f>
        <v/>
      </c>
      <c r="K13" s="10">
        <f>IFERROR(MATCH(I13,C13:H13,0),"")</f>
        <v/>
      </c>
      <c r="L13" s="10">
        <f>IF(OR(I13="",J13=""),"",ROUND((I13-J13)/I13*100,1))</f>
        <v/>
      </c>
      <c r="M13" s="10">
        <f>IF(L13="","",IF(L13&gt;=12,"是","否"))</f>
        <v/>
      </c>
      <c r="N13" s="10">
        <f>IF(J13="","",IF(J13&lt;0.15,"是","否"))</f>
        <v/>
      </c>
      <c r="O13" s="10">
        <f>IF(I13="","",IF(J13&lt;0.15,"SAFETY_STOP",IF(L13&gt;=12,"VL_THRESHOLD","PLANNED_END")))</f>
        <v/>
      </c>
      <c r="P13" s="10">
        <f>IF(I13="","",IF(I13&gt;($D$2+0.05),"+5kg",IF(I13&gt;($D$2+0.02),"+2.5kg",IF(I13&gt;=($D$2-0.05),"保持",IF(I13&gt;=($D$2-0.08),"-2.5kg","-5kg")))))</f>
        <v/>
      </c>
      <c r="Q13" s="9" t="n"/>
      <c r="R13" s="12" t="n"/>
      <c r="S13" s="12" t="n"/>
      <c r="T13" s="12" t="n"/>
    </row>
    <row r="14">
      <c r="A14" s="12" t="n">
        <v>5</v>
      </c>
      <c r="B14" s="9" t="n"/>
      <c r="C14" s="9" t="n"/>
      <c r="D14" s="9" t="n"/>
      <c r="E14" s="9" t="n"/>
      <c r="F14" s="9" t="n"/>
      <c r="G14" s="9" t="n"/>
      <c r="H14" s="9" t="n"/>
      <c r="I14" s="10">
        <f>IFERROR(INDEX(C14:H14,MATCH(TRUE,INDEX(C14:H14&lt;&gt;"",0),0)),"")</f>
        <v/>
      </c>
      <c r="J14" s="10">
        <f>IFERROR(MIN(IF(C14:H14&lt;&gt;"",C14:H14)),"")</f>
        <v/>
      </c>
      <c r="K14" s="10">
        <f>IFERROR(MATCH(I14,C14:H14,0),"")</f>
        <v/>
      </c>
      <c r="L14" s="10">
        <f>IF(OR(I14="",J14=""),"",ROUND((I14-J14)/I14*100,1))</f>
        <v/>
      </c>
      <c r="M14" s="10">
        <f>IF(L14="","",IF(L14&gt;=12,"是","否"))</f>
        <v/>
      </c>
      <c r="N14" s="10">
        <f>IF(J14="","",IF(J14&lt;0.15,"是","否"))</f>
        <v/>
      </c>
      <c r="O14" s="10">
        <f>IF(I14="","",IF(J14&lt;0.15,"SAFETY_STOP",IF(L14&gt;=12,"VL_THRESHOLD","PLANNED_END")))</f>
        <v/>
      </c>
      <c r="P14" s="10">
        <f>IF(I14="","",IF(I14&gt;($D$2+0.05),"+5kg",IF(I14&gt;($D$2+0.02),"+2.5kg",IF(I14&gt;=($D$2-0.05),"保持",IF(I14&gt;=($D$2-0.08),"-2.5kg","-5kg")))))</f>
        <v/>
      </c>
      <c r="Q14" s="9" t="n"/>
      <c r="R14" s="12" t="n"/>
      <c r="S14" s="12" t="n"/>
      <c r="T14" s="12" t="n"/>
    </row>
    <row r="15">
      <c r="A15" s="12" t="n">
        <v>6</v>
      </c>
      <c r="B15" s="9" t="n"/>
      <c r="C15" s="9" t="n"/>
      <c r="D15" s="9" t="n"/>
      <c r="E15" s="9" t="n"/>
      <c r="F15" s="9" t="n"/>
      <c r="G15" s="9" t="n"/>
      <c r="H15" s="9" t="n"/>
      <c r="I15" s="10">
        <f>IFERROR(INDEX(C15:H15,MATCH(TRUE,INDEX(C15:H15&lt;&gt;"",0),0)),"")</f>
        <v/>
      </c>
      <c r="J15" s="10">
        <f>IFERROR(MIN(IF(C15:H15&lt;&gt;"",C15:H15)),"")</f>
        <v/>
      </c>
      <c r="K15" s="10">
        <f>IFERROR(MATCH(I15,C15:H15,0),"")</f>
        <v/>
      </c>
      <c r="L15" s="10">
        <f>IF(OR(I15="",J15=""),"",ROUND((I15-J15)/I15*100,1))</f>
        <v/>
      </c>
      <c r="M15" s="10">
        <f>IF(L15="","",IF(L15&gt;=12,"是","否"))</f>
        <v/>
      </c>
      <c r="N15" s="10">
        <f>IF(J15="","",IF(J15&lt;0.15,"是","否"))</f>
        <v/>
      </c>
      <c r="O15" s="10">
        <f>IF(I15="","",IF(J15&lt;0.15,"SAFETY_STOP",IF(L15&gt;=12,"VL_THRESHOLD","PLANNED_END")))</f>
        <v/>
      </c>
      <c r="P15" s="10">
        <f>IF(I15="","",IF(I15&gt;($D$2+0.05),"+5kg",IF(I15&gt;($D$2+0.02),"+2.5kg",IF(I15&gt;=($D$2-0.05),"保持",IF(I15&gt;=($D$2-0.08),"-2.5kg","-5kg")))))</f>
        <v/>
      </c>
      <c r="Q15" s="9" t="n"/>
      <c r="R15" s="12" t="n"/>
      <c r="S15" s="12" t="n"/>
      <c r="T15" s="12" t="n"/>
    </row>
    <row r="16">
      <c r="A16" s="8" t="inlineStr">
        <is>
          <t>辅助动作</t>
        </is>
      </c>
      <c r="B16" s="8" t="inlineStr">
        <is>
          <t>动作名称</t>
        </is>
      </c>
      <c r="C16" s="8" t="inlineStr">
        <is>
          <t>负荷kg</t>
        </is>
      </c>
      <c r="D16" s="8" t="inlineStr">
        <is>
          <t>完成(组×次)</t>
        </is>
      </c>
    </row>
    <row r="17">
      <c r="A17" s="9" t="inlineStr"/>
      <c r="B17" s="9" t="n"/>
      <c r="C17" s="9" t="n"/>
      <c r="D17" s="9" t="n"/>
    </row>
    <row r="18">
      <c r="A18" s="8" t="inlineStr">
        <is>
          <t>训练后</t>
        </is>
      </c>
      <c r="B18" s="8" t="inlineStr">
        <is>
          <t>开始时间</t>
        </is>
      </c>
      <c r="C18" s="8" t="inlineStr">
        <is>
          <t>结束时间</t>
        </is>
      </c>
      <c r="D18" s="8" t="inlineStr">
        <is>
          <t>总时长min</t>
        </is>
      </c>
      <c r="E18" s="8" t="inlineStr">
        <is>
          <t>sRPE</t>
        </is>
      </c>
      <c r="F18" s="8" t="inlineStr">
        <is>
          <t>session_load</t>
        </is>
      </c>
      <c r="G18" s="8" t="inlineStr">
        <is>
          <t>有无不适</t>
        </is>
      </c>
      <c r="H18" s="8" t="inlineStr">
        <is>
          <t>备注</t>
        </is>
      </c>
      <c r="I18" s="8" t="inlineStr">
        <is>
          <t>研究员签名</t>
        </is>
      </c>
    </row>
    <row r="19">
      <c r="A19" s="13" t="inlineStr"/>
      <c r="B19" s="13" t="n"/>
      <c r="C19" s="13" t="n"/>
      <c r="D19" s="10">
        <f>IF(OR(B19="",C19=""),"",(C19-B19)*1440)</f>
        <v/>
      </c>
      <c r="E19" s="13" t="n"/>
      <c r="F19" s="10">
        <f>IF(OR(D19="",E19=""),"",D19*E19)</f>
        <v/>
      </c>
      <c r="G19" s="13" t="n"/>
      <c r="H19" s="13" t="n"/>
      <c r="I19" s="13" t="n"/>
    </row>
    <row r="21">
      <c r="A21" s="5" t="inlineStr">
        <is>
          <t>── P005 曾庆华 ──────────────────────────────────────────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inlineStr">
        <is>
          <t>编号</t>
        </is>
      </c>
      <c r="B22" s="8" t="inlineStr">
        <is>
          <t>姓名</t>
        </is>
      </c>
      <c r="C22" s="8" t="inlineStr">
        <is>
          <t>身高</t>
        </is>
      </c>
      <c r="D22" s="8" t="inlineStr">
        <is>
          <t>1RM</t>
        </is>
      </c>
      <c r="E22" s="8" t="inlineStr">
        <is>
          <t>睡眠</t>
        </is>
      </c>
      <c r="F22" s="8" t="inlineStr">
        <is>
          <t>压力</t>
        </is>
      </c>
      <c r="G22" s="8" t="inlineStr">
        <is>
          <t>疲劳</t>
        </is>
      </c>
      <c r="H22" s="8" t="inlineStr">
        <is>
          <t>酸痛</t>
        </is>
      </c>
      <c r="I22" s="8" t="inlineStr">
        <is>
          <t>Hooper总</t>
        </is>
      </c>
      <c r="J22" s="8" t="inlineStr">
        <is>
          <t>CMJ1</t>
        </is>
      </c>
      <c r="K22" s="8" t="inlineStr">
        <is>
          <t>CMJ2</t>
        </is>
      </c>
      <c r="L22" s="8" t="inlineStr">
        <is>
          <t>CMJ3</t>
        </is>
      </c>
      <c r="M22" s="8" t="inlineStr">
        <is>
          <t>CMJ均值</t>
        </is>
      </c>
      <c r="N22" s="8" t="inlineStr">
        <is>
          <t>&lt;95%?</t>
        </is>
      </c>
      <c r="O22" s="8" t="inlineStr">
        <is>
          <t>减组?</t>
        </is>
      </c>
      <c r="P22" s="8" t="inlineStr">
        <is>
          <t>实做组数</t>
        </is>
      </c>
      <c r="Q22" s="8" t="inlineStr">
        <is>
          <t>LVP_a</t>
        </is>
      </c>
      <c r="R22" s="8" t="inlineStr">
        <is>
          <t>LVP_b</t>
        </is>
      </c>
      <c r="S22" s="8" t="inlineStr">
        <is>
          <t>等级</t>
        </is>
      </c>
      <c r="T22" s="8" t="inlineStr">
        <is>
          <t>预测起始</t>
        </is>
      </c>
    </row>
    <row r="23">
      <c r="A23" s="9" t="inlineStr">
        <is>
          <t>P005</t>
        </is>
      </c>
      <c r="B23" s="9" t="inlineStr">
        <is>
          <t>曾庆华</t>
        </is>
      </c>
      <c r="C23" s="9" t="n">
        <v>177</v>
      </c>
      <c r="D23" s="9" t="n">
        <v>155</v>
      </c>
      <c r="E23" s="9" t="n"/>
      <c r="F23" s="9" t="n"/>
      <c r="G23" s="9" t="n"/>
      <c r="H23" s="9" t="n"/>
      <c r="I23" s="10">
        <f>IFERROR(SUM(E23:H23),"")</f>
        <v/>
      </c>
      <c r="J23" s="9" t="n"/>
      <c r="K23" s="9" t="n"/>
      <c r="L23" s="9" t="n"/>
      <c r="M23" s="10">
        <f>IFERROR(AVERAGE(J23:L23),"")</f>
        <v/>
      </c>
      <c r="N23" s="10">
        <f>IF(M23="","",IF(M23&lt;57.57,"是⚠","否"))</f>
        <v/>
      </c>
      <c r="O23" s="10">
        <f>IF(M23="","",IF(M23&lt;57.57,"减1组","正常"))</f>
        <v/>
      </c>
      <c r="P23" s="10">
        <f>IF(M23="","",IF(M23&lt;57.57,5-1,5))</f>
        <v/>
      </c>
      <c r="Q23" s="9" t="n">
        <v>1.775</v>
      </c>
      <c r="R23" s="9" t="n">
        <v>-0.008750000000000001</v>
      </c>
      <c r="S23" s="9" t="inlineStr">
        <is>
          <t>B</t>
        </is>
      </c>
      <c r="T23" s="10">
        <f>IFERROR(ROUND((0.75-1.775)/-0.00875,0.5),"")</f>
        <v/>
      </c>
    </row>
    <row r="24">
      <c r="A24" s="8" t="inlineStr">
        <is>
          <t>热身校准</t>
        </is>
      </c>
      <c r="B24" s="8" t="inlineStr">
        <is>
          <t>LVP_a</t>
        </is>
      </c>
      <c r="C24" s="8" t="inlineStr">
        <is>
          <t>LVP_b</t>
        </is>
      </c>
      <c r="D24" s="8" t="inlineStr">
        <is>
          <t>50%热身kg</t>
        </is>
      </c>
      <c r="E24" s="8" t="inlineStr">
        <is>
          <t>70%热身kg</t>
        </is>
      </c>
      <c r="F24" s="8" t="inlineStr">
        <is>
          <t>热身负荷kg</t>
        </is>
      </c>
      <c r="G24" s="8" t="inlineStr">
        <is>
          <t>实测MCV</t>
        </is>
      </c>
      <c r="H24" s="8" t="inlineStr">
        <is>
          <t>预测MCV</t>
        </is>
      </c>
      <c r="I24" s="8" t="inlineStr">
        <is>
          <t>Δv</t>
        </is>
      </c>
      <c r="J24" s="8" t="inlineStr">
        <is>
          <t>调整量kg</t>
        </is>
      </c>
      <c r="K24" s="8" t="inlineStr">
        <is>
          <t>校准后第1组kg</t>
        </is>
      </c>
    </row>
    <row r="25">
      <c r="A25" s="11" t="inlineStr"/>
      <c r="B25" s="11" t="n">
        <v>1.775</v>
      </c>
      <c r="C25" s="11" t="n">
        <v>-0.008750000000000001</v>
      </c>
      <c r="D25" s="10">
        <f>IFERROR(ROUND(T23*0.5,2.5),"")</f>
        <v/>
      </c>
      <c r="E25" s="10">
        <f>IFERROR(ROUND(T23*0.7,2.5),"")</f>
        <v/>
      </c>
      <c r="F25" s="10">
        <f>D25</f>
        <v/>
      </c>
      <c r="G25" s="9" t="n"/>
      <c r="H25" s="10">
        <f>IF(F25="","",B25+C25*F25)</f>
        <v/>
      </c>
      <c r="I25" s="10">
        <f>IF(OR(G25="",H25=""),"",G25-H25)</f>
        <v/>
      </c>
      <c r="J25" s="10">
        <f>IF(I25="","",IF(I25&gt;0.08,5,IF(I25&gt;0.04,2.5,IF(I25&gt;=-0.04,0,IF(I25&gt;=-0.08,-2.5,-5)))))</f>
        <v/>
      </c>
      <c r="K25" s="10">
        <f>IFERROR(ROUND(T23+J25,2.5),"")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8" t="inlineStr">
        <is>
          <t>组次</t>
        </is>
      </c>
      <c r="B26" s="8" t="inlineStr">
        <is>
          <t>负荷kg</t>
        </is>
      </c>
      <c r="C26" s="8" t="inlineStr">
        <is>
          <t>rep1</t>
        </is>
      </c>
      <c r="D26" s="8" t="inlineStr">
        <is>
          <t>rep2</t>
        </is>
      </c>
      <c r="E26" s="8" t="inlineStr">
        <is>
          <t>rep3</t>
        </is>
      </c>
      <c r="F26" s="8" t="inlineStr">
        <is>
          <t>rep4</t>
        </is>
      </c>
      <c r="G26" s="8" t="inlineStr">
        <is>
          <t>rep5</t>
        </is>
      </c>
      <c r="H26" s="8" t="inlineStr">
        <is>
          <t>rep6</t>
        </is>
      </c>
      <c r="I26" s="8" t="inlineStr">
        <is>
          <t>首rep</t>
        </is>
      </c>
      <c r="J26" s="8" t="inlineStr">
        <is>
          <t>最低速</t>
        </is>
      </c>
      <c r="K26" s="8" t="inlineStr">
        <is>
          <t>最低rep#</t>
        </is>
      </c>
      <c r="L26" s="8" t="inlineStr">
        <is>
          <t>VL%</t>
        </is>
      </c>
      <c r="M26" s="8" t="inlineStr">
        <is>
          <t>VL达标?</t>
        </is>
      </c>
      <c r="N26" s="8" t="inlineStr">
        <is>
          <t>安全停止?</t>
        </is>
      </c>
      <c r="O26" s="8" t="inlineStr">
        <is>
          <t>停组原因</t>
        </is>
      </c>
      <c r="P26" s="8" t="inlineStr">
        <is>
          <t>下组建议</t>
        </is>
      </c>
      <c r="Q26" s="8" t="inlineStr">
        <is>
          <t>实做次数</t>
        </is>
      </c>
    </row>
    <row r="27">
      <c r="A27" s="12" t="n">
        <v>1</v>
      </c>
      <c r="B27" s="10">
        <f>IF(K25="","",K25)</f>
        <v/>
      </c>
      <c r="C27" s="9" t="n"/>
      <c r="D27" s="9" t="n"/>
      <c r="E27" s="9" t="n"/>
      <c r="F27" s="9" t="n"/>
      <c r="G27" s="9" t="n"/>
      <c r="H27" s="9" t="n"/>
      <c r="I27" s="10">
        <f>IFERROR(INDEX(C27:H27,MATCH(TRUE,INDEX(C27:H27&lt;&gt;"",0),0)),"")</f>
        <v/>
      </c>
      <c r="J27" s="10">
        <f>IFERROR(MIN(IF(C27:H27&lt;&gt;"",C27:H27)),"")</f>
        <v/>
      </c>
      <c r="K27" s="10">
        <f>IFERROR(MATCH(I27,C27:H27,0),"")</f>
        <v/>
      </c>
      <c r="L27" s="10">
        <f>IF(OR(I27="",J27=""),"",ROUND((I27-J27)/I27*100,1))</f>
        <v/>
      </c>
      <c r="M27" s="10">
        <f>IF(L27="","",IF(L27&gt;=12,"是","否"))</f>
        <v/>
      </c>
      <c r="N27" s="10">
        <f>IF(J27="","",IF(J27&lt;0.15,"是","否"))</f>
        <v/>
      </c>
      <c r="O27" s="10">
        <f>IF(I27="","",IF(J27&lt;0.15,"SAFETY_STOP",IF(L27&gt;=12,"VL_THRESHOLD","PLANNED_END")))</f>
        <v/>
      </c>
      <c r="P27" s="10">
        <f>IF(I27="","",IF(I27&gt;($D$2+0.05),"+5kg",IF(I27&gt;($D$2+0.02),"+2.5kg",IF(I27&gt;=($D$2-0.05),"保持",IF(I27&gt;=($D$2-0.08),"-2.5kg","-5kg")))))</f>
        <v/>
      </c>
      <c r="Q27" s="9" t="n"/>
      <c r="R27" s="12" t="n"/>
      <c r="S27" s="12" t="n"/>
      <c r="T27" s="12" t="n"/>
    </row>
    <row r="28">
      <c r="A28" s="12" t="n">
        <v>2</v>
      </c>
      <c r="B28" s="9" t="n"/>
      <c r="C28" s="9" t="n"/>
      <c r="D28" s="9" t="n"/>
      <c r="E28" s="9" t="n"/>
      <c r="F28" s="9" t="n"/>
      <c r="G28" s="9" t="n"/>
      <c r="H28" s="9" t="n"/>
      <c r="I28" s="10">
        <f>IFERROR(INDEX(C28:H28,MATCH(TRUE,INDEX(C28:H28&lt;&gt;"",0),0)),"")</f>
        <v/>
      </c>
      <c r="J28" s="10">
        <f>IFERROR(MIN(IF(C28:H28&lt;&gt;"",C28:H28)),"")</f>
        <v/>
      </c>
      <c r="K28" s="10">
        <f>IFERROR(MATCH(I28,C28:H28,0),"")</f>
        <v/>
      </c>
      <c r="L28" s="10">
        <f>IF(OR(I28="",J28=""),"",ROUND((I28-J28)/I28*100,1))</f>
        <v/>
      </c>
      <c r="M28" s="10">
        <f>IF(L28="","",IF(L28&gt;=12,"是","否"))</f>
        <v/>
      </c>
      <c r="N28" s="10">
        <f>IF(J28="","",IF(J28&lt;0.15,"是","否"))</f>
        <v/>
      </c>
      <c r="O28" s="10">
        <f>IF(I28="","",IF(J28&lt;0.15,"SAFETY_STOP",IF(L28&gt;=12,"VL_THRESHOLD","PLANNED_END")))</f>
        <v/>
      </c>
      <c r="P28" s="10">
        <f>IF(I28="","",IF(I28&gt;($D$2+0.05),"+5kg",IF(I28&gt;($D$2+0.02),"+2.5kg",IF(I28&gt;=($D$2-0.05),"保持",IF(I28&gt;=($D$2-0.08),"-2.5kg","-5kg")))))</f>
        <v/>
      </c>
      <c r="Q28" s="9" t="n"/>
      <c r="R28" s="12" t="n"/>
      <c r="S28" s="12" t="n"/>
      <c r="T28" s="12" t="n"/>
    </row>
    <row r="29">
      <c r="A29" s="12" t="n">
        <v>3</v>
      </c>
      <c r="B29" s="9" t="n"/>
      <c r="C29" s="9" t="n"/>
      <c r="D29" s="9" t="n"/>
      <c r="E29" s="9" t="n"/>
      <c r="F29" s="9" t="n"/>
      <c r="G29" s="9" t="n"/>
      <c r="H29" s="9" t="n"/>
      <c r="I29" s="10">
        <f>IFERROR(INDEX(C29:H29,MATCH(TRUE,INDEX(C29:H29&lt;&gt;"",0),0)),"")</f>
        <v/>
      </c>
      <c r="J29" s="10">
        <f>IFERROR(MIN(IF(C29:H29&lt;&gt;"",C29:H29)),"")</f>
        <v/>
      </c>
      <c r="K29" s="10">
        <f>IFERROR(MATCH(I29,C29:H29,0),"")</f>
        <v/>
      </c>
      <c r="L29" s="10">
        <f>IF(OR(I29="",J29=""),"",ROUND((I29-J29)/I29*100,1))</f>
        <v/>
      </c>
      <c r="M29" s="10">
        <f>IF(L29="","",IF(L29&gt;=12,"是","否"))</f>
        <v/>
      </c>
      <c r="N29" s="10">
        <f>IF(J29="","",IF(J29&lt;0.15,"是","否"))</f>
        <v/>
      </c>
      <c r="O29" s="10">
        <f>IF(I29="","",IF(J29&lt;0.15,"SAFETY_STOP",IF(L29&gt;=12,"VL_THRESHOLD","PLANNED_END")))</f>
        <v/>
      </c>
      <c r="P29" s="10">
        <f>IF(I29="","",IF(I29&gt;($D$2+0.05),"+5kg",IF(I29&gt;($D$2+0.02),"+2.5kg",IF(I29&gt;=($D$2-0.05),"保持",IF(I29&gt;=($D$2-0.08),"-2.5kg","-5kg")))))</f>
        <v/>
      </c>
      <c r="Q29" s="9" t="n"/>
      <c r="R29" s="12" t="n"/>
      <c r="S29" s="12" t="n"/>
      <c r="T29" s="12" t="n"/>
    </row>
    <row r="30">
      <c r="A30" s="12" t="n">
        <v>4</v>
      </c>
      <c r="B30" s="9" t="n"/>
      <c r="C30" s="9" t="n"/>
      <c r="D30" s="9" t="n"/>
      <c r="E30" s="9" t="n"/>
      <c r="F30" s="9" t="n"/>
      <c r="G30" s="9" t="n"/>
      <c r="H30" s="9" t="n"/>
      <c r="I30" s="10">
        <f>IFERROR(INDEX(C30:H30,MATCH(TRUE,INDEX(C30:H30&lt;&gt;"",0),0)),"")</f>
        <v/>
      </c>
      <c r="J30" s="10">
        <f>IFERROR(MIN(IF(C30:H30&lt;&gt;"",C30:H30)),"")</f>
        <v/>
      </c>
      <c r="K30" s="10">
        <f>IFERROR(MATCH(I30,C30:H30,0),"")</f>
        <v/>
      </c>
      <c r="L30" s="10">
        <f>IF(OR(I30="",J30=""),"",ROUND((I30-J30)/I30*100,1))</f>
        <v/>
      </c>
      <c r="M30" s="10">
        <f>IF(L30="","",IF(L30&gt;=12,"是","否"))</f>
        <v/>
      </c>
      <c r="N30" s="10">
        <f>IF(J30="","",IF(J30&lt;0.15,"是","否"))</f>
        <v/>
      </c>
      <c r="O30" s="10">
        <f>IF(I30="","",IF(J30&lt;0.15,"SAFETY_STOP",IF(L30&gt;=12,"VL_THRESHOLD","PLANNED_END")))</f>
        <v/>
      </c>
      <c r="P30" s="10">
        <f>IF(I30="","",IF(I30&gt;($D$2+0.05),"+5kg",IF(I30&gt;($D$2+0.02),"+2.5kg",IF(I30&gt;=($D$2-0.05),"保持",IF(I30&gt;=($D$2-0.08),"-2.5kg","-5kg")))))</f>
        <v/>
      </c>
      <c r="Q30" s="9" t="n"/>
      <c r="R30" s="12" t="n"/>
      <c r="S30" s="12" t="n"/>
      <c r="T30" s="12" t="n"/>
    </row>
    <row r="31">
      <c r="A31" s="12" t="n">
        <v>5</v>
      </c>
      <c r="B31" s="9" t="n"/>
      <c r="C31" s="9" t="n"/>
      <c r="D31" s="9" t="n"/>
      <c r="E31" s="9" t="n"/>
      <c r="F31" s="9" t="n"/>
      <c r="G31" s="9" t="n"/>
      <c r="H31" s="9" t="n"/>
      <c r="I31" s="10">
        <f>IFERROR(INDEX(C31:H31,MATCH(TRUE,INDEX(C31:H31&lt;&gt;"",0),0)),"")</f>
        <v/>
      </c>
      <c r="J31" s="10">
        <f>IFERROR(MIN(IF(C31:H31&lt;&gt;"",C31:H31)),"")</f>
        <v/>
      </c>
      <c r="K31" s="10">
        <f>IFERROR(MATCH(I31,C31:H31,0),"")</f>
        <v/>
      </c>
      <c r="L31" s="10">
        <f>IF(OR(I31="",J31=""),"",ROUND((I31-J31)/I31*100,1))</f>
        <v/>
      </c>
      <c r="M31" s="10">
        <f>IF(L31="","",IF(L31&gt;=12,"是","否"))</f>
        <v/>
      </c>
      <c r="N31" s="10">
        <f>IF(J31="","",IF(J31&lt;0.15,"是","否"))</f>
        <v/>
      </c>
      <c r="O31" s="10">
        <f>IF(I31="","",IF(J31&lt;0.15,"SAFETY_STOP",IF(L31&gt;=12,"VL_THRESHOLD","PLANNED_END")))</f>
        <v/>
      </c>
      <c r="P31" s="10">
        <f>IF(I31="","",IF(I31&gt;($D$2+0.05),"+5kg",IF(I31&gt;($D$2+0.02),"+2.5kg",IF(I31&gt;=($D$2-0.05),"保持",IF(I31&gt;=($D$2-0.08),"-2.5kg","-5kg")))))</f>
        <v/>
      </c>
      <c r="Q31" s="9" t="n"/>
      <c r="R31" s="12" t="n"/>
      <c r="S31" s="12" t="n"/>
      <c r="T31" s="12" t="n"/>
    </row>
    <row r="32">
      <c r="A32" s="12" t="n">
        <v>6</v>
      </c>
      <c r="B32" s="9" t="n"/>
      <c r="C32" s="9" t="n"/>
      <c r="D32" s="9" t="n"/>
      <c r="E32" s="9" t="n"/>
      <c r="F32" s="9" t="n"/>
      <c r="G32" s="9" t="n"/>
      <c r="H32" s="9" t="n"/>
      <c r="I32" s="10">
        <f>IFERROR(INDEX(C32:H32,MATCH(TRUE,INDEX(C32:H32&lt;&gt;"",0),0)),"")</f>
        <v/>
      </c>
      <c r="J32" s="10">
        <f>IFERROR(MIN(IF(C32:H32&lt;&gt;"",C32:H32)),"")</f>
        <v/>
      </c>
      <c r="K32" s="10">
        <f>IFERROR(MATCH(I32,C32:H32,0),"")</f>
        <v/>
      </c>
      <c r="L32" s="10">
        <f>IF(OR(I32="",J32=""),"",ROUND((I32-J32)/I32*100,1))</f>
        <v/>
      </c>
      <c r="M32" s="10">
        <f>IF(L32="","",IF(L32&gt;=12,"是","否"))</f>
        <v/>
      </c>
      <c r="N32" s="10">
        <f>IF(J32="","",IF(J32&lt;0.15,"是","否"))</f>
        <v/>
      </c>
      <c r="O32" s="10">
        <f>IF(I32="","",IF(J32&lt;0.15,"SAFETY_STOP",IF(L32&gt;=12,"VL_THRESHOLD","PLANNED_END")))</f>
        <v/>
      </c>
      <c r="P32" s="10">
        <f>IF(I32="","",IF(I32&gt;($D$2+0.05),"+5kg",IF(I32&gt;($D$2+0.02),"+2.5kg",IF(I32&gt;=($D$2-0.05),"保持",IF(I32&gt;=($D$2-0.08),"-2.5kg","-5kg")))))</f>
        <v/>
      </c>
      <c r="Q32" s="9" t="n"/>
      <c r="R32" s="12" t="n"/>
      <c r="S32" s="12" t="n"/>
      <c r="T32" s="12" t="n"/>
    </row>
    <row r="33">
      <c r="A33" s="8" t="inlineStr">
        <is>
          <t>辅助动作</t>
        </is>
      </c>
      <c r="B33" s="8" t="inlineStr">
        <is>
          <t>动作名称</t>
        </is>
      </c>
      <c r="C33" s="8" t="inlineStr">
        <is>
          <t>负荷kg</t>
        </is>
      </c>
      <c r="D33" s="8" t="inlineStr">
        <is>
          <t>完成(组×次)</t>
        </is>
      </c>
    </row>
    <row r="34">
      <c r="A34" s="9" t="inlineStr"/>
      <c r="B34" s="9" t="n"/>
      <c r="C34" s="9" t="n"/>
      <c r="D34" s="9" t="n"/>
    </row>
    <row r="35">
      <c r="A35" s="8" t="inlineStr">
        <is>
          <t>训练后</t>
        </is>
      </c>
      <c r="B35" s="8" t="inlineStr">
        <is>
          <t>开始时间</t>
        </is>
      </c>
      <c r="C35" s="8" t="inlineStr">
        <is>
          <t>结束时间</t>
        </is>
      </c>
      <c r="D35" s="8" t="inlineStr">
        <is>
          <t>总时长min</t>
        </is>
      </c>
      <c r="E35" s="8" t="inlineStr">
        <is>
          <t>sRPE</t>
        </is>
      </c>
      <c r="F35" s="8" t="inlineStr">
        <is>
          <t>session_load</t>
        </is>
      </c>
      <c r="G35" s="8" t="inlineStr">
        <is>
          <t>有无不适</t>
        </is>
      </c>
      <c r="H35" s="8" t="inlineStr">
        <is>
          <t>备注</t>
        </is>
      </c>
      <c r="I35" s="8" t="inlineStr">
        <is>
          <t>研究员签名</t>
        </is>
      </c>
    </row>
    <row r="36">
      <c r="A36" s="13" t="inlineStr"/>
      <c r="B36" s="13" t="n"/>
      <c r="C36" s="13" t="n"/>
      <c r="D36" s="10">
        <f>IF(OR(B36="",C36=""),"",(C36-B36)*1440)</f>
        <v/>
      </c>
      <c r="E36" s="13" t="n"/>
      <c r="F36" s="10">
        <f>IF(OR(D36="",E36=""),"",D36*E36)</f>
        <v/>
      </c>
      <c r="G36" s="13" t="n"/>
      <c r="H36" s="13" t="n"/>
      <c r="I36" s="13" t="n"/>
    </row>
    <row r="38">
      <c r="A38" s="5" t="inlineStr">
        <is>
          <t>── P002 何天元 ──────────────────────────────────────────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</row>
    <row r="39">
      <c r="A39" s="8" t="inlineStr">
        <is>
          <t>编号</t>
        </is>
      </c>
      <c r="B39" s="8" t="inlineStr">
        <is>
          <t>姓名</t>
        </is>
      </c>
      <c r="C39" s="8" t="inlineStr">
        <is>
          <t>身高</t>
        </is>
      </c>
      <c r="D39" s="8" t="inlineStr">
        <is>
          <t>1RM</t>
        </is>
      </c>
      <c r="E39" s="8" t="inlineStr">
        <is>
          <t>睡眠</t>
        </is>
      </c>
      <c r="F39" s="8" t="inlineStr">
        <is>
          <t>压力</t>
        </is>
      </c>
      <c r="G39" s="8" t="inlineStr">
        <is>
          <t>疲劳</t>
        </is>
      </c>
      <c r="H39" s="8" t="inlineStr">
        <is>
          <t>酸痛</t>
        </is>
      </c>
      <c r="I39" s="8" t="inlineStr">
        <is>
          <t>Hooper总</t>
        </is>
      </c>
      <c r="J39" s="8" t="inlineStr">
        <is>
          <t>CMJ1</t>
        </is>
      </c>
      <c r="K39" s="8" t="inlineStr">
        <is>
          <t>CMJ2</t>
        </is>
      </c>
      <c r="L39" s="8" t="inlineStr">
        <is>
          <t>CMJ3</t>
        </is>
      </c>
      <c r="M39" s="8" t="inlineStr">
        <is>
          <t>CMJ均值</t>
        </is>
      </c>
      <c r="N39" s="8" t="inlineStr">
        <is>
          <t>&lt;95%?</t>
        </is>
      </c>
      <c r="O39" s="8" t="inlineStr">
        <is>
          <t>减组?</t>
        </is>
      </c>
      <c r="P39" s="8" t="inlineStr">
        <is>
          <t>实做组数</t>
        </is>
      </c>
      <c r="Q39" s="8" t="inlineStr">
        <is>
          <t>LVP_a</t>
        </is>
      </c>
      <c r="R39" s="8" t="inlineStr">
        <is>
          <t>LVP_b</t>
        </is>
      </c>
      <c r="S39" s="8" t="inlineStr">
        <is>
          <t>等级</t>
        </is>
      </c>
      <c r="T39" s="8" t="inlineStr">
        <is>
          <t>预测起始</t>
        </is>
      </c>
    </row>
    <row r="40">
      <c r="A40" s="9" t="inlineStr">
        <is>
          <t>P002</t>
        </is>
      </c>
      <c r="B40" s="9" t="inlineStr">
        <is>
          <t>何天元</t>
        </is>
      </c>
      <c r="C40" s="9" t="n">
        <v>178</v>
      </c>
      <c r="D40" s="9" t="n">
        <v>150</v>
      </c>
      <c r="E40" s="9" t="n"/>
      <c r="F40" s="9" t="n"/>
      <c r="G40" s="9" t="n"/>
      <c r="H40" s="9" t="n"/>
      <c r="I40" s="10">
        <f>IFERROR(SUM(E40:H40),"")</f>
        <v/>
      </c>
      <c r="J40" s="9" t="n"/>
      <c r="K40" s="9" t="n"/>
      <c r="L40" s="9" t="n"/>
      <c r="M40" s="10">
        <f>IFERROR(AVERAGE(J40:L40),"")</f>
        <v/>
      </c>
      <c r="N40" s="10">
        <f>IF(M40="","",IF(M40&lt;60.54,"是⚠","否"))</f>
        <v/>
      </c>
      <c r="O40" s="10">
        <f>IF(M40="","",IF(M40&lt;60.54,"减1组","正常"))</f>
        <v/>
      </c>
      <c r="P40" s="10">
        <f>IF(M40="","",IF(M40&lt;60.54,5-1,5))</f>
        <v/>
      </c>
      <c r="Q40" s="9" t="n">
        <v>1.291</v>
      </c>
      <c r="R40" s="9" t="n">
        <v>-0.0054</v>
      </c>
      <c r="S40" s="9" t="inlineStr">
        <is>
          <t>B</t>
        </is>
      </c>
      <c r="T40" s="10">
        <f>IFERROR(ROUND((0.75-1.291)/-0.0054,0.5),"")</f>
        <v/>
      </c>
    </row>
    <row r="41">
      <c r="A41" s="8" t="inlineStr">
        <is>
          <t>热身校准</t>
        </is>
      </c>
      <c r="B41" s="8" t="inlineStr">
        <is>
          <t>LVP_a</t>
        </is>
      </c>
      <c r="C41" s="8" t="inlineStr">
        <is>
          <t>LVP_b</t>
        </is>
      </c>
      <c r="D41" s="8" t="inlineStr">
        <is>
          <t>50%热身kg</t>
        </is>
      </c>
      <c r="E41" s="8" t="inlineStr">
        <is>
          <t>70%热身kg</t>
        </is>
      </c>
      <c r="F41" s="8" t="inlineStr">
        <is>
          <t>热身负荷kg</t>
        </is>
      </c>
      <c r="G41" s="8" t="inlineStr">
        <is>
          <t>实测MCV</t>
        </is>
      </c>
      <c r="H41" s="8" t="inlineStr">
        <is>
          <t>预测MCV</t>
        </is>
      </c>
      <c r="I41" s="8" t="inlineStr">
        <is>
          <t>Δv</t>
        </is>
      </c>
      <c r="J41" s="8" t="inlineStr">
        <is>
          <t>调整量kg</t>
        </is>
      </c>
      <c r="K41" s="8" t="inlineStr">
        <is>
          <t>校准后第1组kg</t>
        </is>
      </c>
    </row>
    <row r="42">
      <c r="A42" s="11" t="inlineStr"/>
      <c r="B42" s="11" t="n">
        <v>1.291</v>
      </c>
      <c r="C42" s="11" t="n">
        <v>-0.0054</v>
      </c>
      <c r="D42" s="10">
        <f>IFERROR(ROUND(T40*0.5,2.5),"")</f>
        <v/>
      </c>
      <c r="E42" s="10">
        <f>IFERROR(ROUND(T40*0.7,2.5),"")</f>
        <v/>
      </c>
      <c r="F42" s="10">
        <f>D42</f>
        <v/>
      </c>
      <c r="G42" s="9" t="n"/>
      <c r="H42" s="10">
        <f>IF(F42="","",B42+C42*F42)</f>
        <v/>
      </c>
      <c r="I42" s="10">
        <f>IF(OR(G42="",H42=""),"",G42-H42)</f>
        <v/>
      </c>
      <c r="J42" s="10">
        <f>IF(I42="","",IF(I42&gt;0.08,5,IF(I42&gt;0.04,2.5,IF(I42&gt;=-0.04,0,IF(I42&gt;=-0.08,-2.5,-5)))))</f>
        <v/>
      </c>
      <c r="K42" s="10">
        <f>IFERROR(ROUND(T40+J42,2.5),"")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8" t="inlineStr">
        <is>
          <t>组次</t>
        </is>
      </c>
      <c r="B43" s="8" t="inlineStr">
        <is>
          <t>负荷kg</t>
        </is>
      </c>
      <c r="C43" s="8" t="inlineStr">
        <is>
          <t>rep1</t>
        </is>
      </c>
      <c r="D43" s="8" t="inlineStr">
        <is>
          <t>rep2</t>
        </is>
      </c>
      <c r="E43" s="8" t="inlineStr">
        <is>
          <t>rep3</t>
        </is>
      </c>
      <c r="F43" s="8" t="inlineStr">
        <is>
          <t>rep4</t>
        </is>
      </c>
      <c r="G43" s="8" t="inlineStr">
        <is>
          <t>rep5</t>
        </is>
      </c>
      <c r="H43" s="8" t="inlineStr">
        <is>
          <t>rep6</t>
        </is>
      </c>
      <c r="I43" s="8" t="inlineStr">
        <is>
          <t>首rep</t>
        </is>
      </c>
      <c r="J43" s="8" t="inlineStr">
        <is>
          <t>最低速</t>
        </is>
      </c>
      <c r="K43" s="8" t="inlineStr">
        <is>
          <t>最低rep#</t>
        </is>
      </c>
      <c r="L43" s="8" t="inlineStr">
        <is>
          <t>VL%</t>
        </is>
      </c>
      <c r="M43" s="8" t="inlineStr">
        <is>
          <t>VL达标?</t>
        </is>
      </c>
      <c r="N43" s="8" t="inlineStr">
        <is>
          <t>安全停止?</t>
        </is>
      </c>
      <c r="O43" s="8" t="inlineStr">
        <is>
          <t>停组原因</t>
        </is>
      </c>
      <c r="P43" s="8" t="inlineStr">
        <is>
          <t>下组建议</t>
        </is>
      </c>
      <c r="Q43" s="8" t="inlineStr">
        <is>
          <t>实做次数</t>
        </is>
      </c>
    </row>
    <row r="44">
      <c r="A44" s="12" t="n">
        <v>1</v>
      </c>
      <c r="B44" s="10">
        <f>IF(K42="","",K42)</f>
        <v/>
      </c>
      <c r="C44" s="9" t="n"/>
      <c r="D44" s="9" t="n"/>
      <c r="E44" s="9" t="n"/>
      <c r="F44" s="9" t="n"/>
      <c r="G44" s="9" t="n"/>
      <c r="H44" s="9" t="n"/>
      <c r="I44" s="10">
        <f>IFERROR(INDEX(C44:H44,MATCH(TRUE,INDEX(C44:H44&lt;&gt;"",0),0)),"")</f>
        <v/>
      </c>
      <c r="J44" s="10">
        <f>IFERROR(MIN(IF(C44:H44&lt;&gt;"",C44:H44)),"")</f>
        <v/>
      </c>
      <c r="K44" s="10">
        <f>IFERROR(MATCH(I44,C44:H44,0),"")</f>
        <v/>
      </c>
      <c r="L44" s="10">
        <f>IF(OR(I44="",J44=""),"",ROUND((I44-J44)/I44*100,1))</f>
        <v/>
      </c>
      <c r="M44" s="10">
        <f>IF(L44="","",IF(L44&gt;=12,"是","否"))</f>
        <v/>
      </c>
      <c r="N44" s="10">
        <f>IF(J44="","",IF(J44&lt;0.15,"是","否"))</f>
        <v/>
      </c>
      <c r="O44" s="10">
        <f>IF(I44="","",IF(J44&lt;0.15,"SAFETY_STOP",IF(L44&gt;=12,"VL_THRESHOLD","PLANNED_END")))</f>
        <v/>
      </c>
      <c r="P44" s="10">
        <f>IF(I44="","",IF(I44&gt;($D$2+0.05),"+5kg",IF(I44&gt;($D$2+0.02),"+2.5kg",IF(I44&gt;=($D$2-0.05),"保持",IF(I44&gt;=($D$2-0.08),"-2.5kg","-5kg")))))</f>
        <v/>
      </c>
      <c r="Q44" s="9" t="n"/>
      <c r="R44" s="12" t="n"/>
      <c r="S44" s="12" t="n"/>
      <c r="T44" s="12" t="n"/>
    </row>
    <row r="45">
      <c r="A45" s="12" t="n">
        <v>2</v>
      </c>
      <c r="B45" s="9" t="n"/>
      <c r="C45" s="9" t="n"/>
      <c r="D45" s="9" t="n"/>
      <c r="E45" s="9" t="n"/>
      <c r="F45" s="9" t="n"/>
      <c r="G45" s="9" t="n"/>
      <c r="H45" s="9" t="n"/>
      <c r="I45" s="10">
        <f>IFERROR(INDEX(C45:H45,MATCH(TRUE,INDEX(C45:H45&lt;&gt;"",0),0)),"")</f>
        <v/>
      </c>
      <c r="J45" s="10">
        <f>IFERROR(MIN(IF(C45:H45&lt;&gt;"",C45:H45)),"")</f>
        <v/>
      </c>
      <c r="K45" s="10">
        <f>IFERROR(MATCH(I45,C45:H45,0),"")</f>
        <v/>
      </c>
      <c r="L45" s="10">
        <f>IF(OR(I45="",J45=""),"",ROUND((I45-J45)/I45*100,1))</f>
        <v/>
      </c>
      <c r="M45" s="10">
        <f>IF(L45="","",IF(L45&gt;=12,"是","否"))</f>
        <v/>
      </c>
      <c r="N45" s="10">
        <f>IF(J45="","",IF(J45&lt;0.15,"是","否"))</f>
        <v/>
      </c>
      <c r="O45" s="10">
        <f>IF(I45="","",IF(J45&lt;0.15,"SAFETY_STOP",IF(L45&gt;=12,"VL_THRESHOLD","PLANNED_END")))</f>
        <v/>
      </c>
      <c r="P45" s="10">
        <f>IF(I45="","",IF(I45&gt;($D$2+0.05),"+5kg",IF(I45&gt;($D$2+0.02),"+2.5kg",IF(I45&gt;=($D$2-0.05),"保持",IF(I45&gt;=($D$2-0.08),"-2.5kg","-5kg")))))</f>
        <v/>
      </c>
      <c r="Q45" s="9" t="n"/>
      <c r="R45" s="12" t="n"/>
      <c r="S45" s="12" t="n"/>
      <c r="T45" s="12" t="n"/>
    </row>
    <row r="46">
      <c r="A46" s="12" t="n">
        <v>3</v>
      </c>
      <c r="B46" s="9" t="n"/>
      <c r="C46" s="9" t="n"/>
      <c r="D46" s="9" t="n"/>
      <c r="E46" s="9" t="n"/>
      <c r="F46" s="9" t="n"/>
      <c r="G46" s="9" t="n"/>
      <c r="H46" s="9" t="n"/>
      <c r="I46" s="10">
        <f>IFERROR(INDEX(C46:H46,MATCH(TRUE,INDEX(C46:H46&lt;&gt;"",0),0)),"")</f>
        <v/>
      </c>
      <c r="J46" s="10">
        <f>IFERROR(MIN(IF(C46:H46&lt;&gt;"",C46:H46)),"")</f>
        <v/>
      </c>
      <c r="K46" s="10">
        <f>IFERROR(MATCH(I46,C46:H46,0),"")</f>
        <v/>
      </c>
      <c r="L46" s="10">
        <f>IF(OR(I46="",J46=""),"",ROUND((I46-J46)/I46*100,1))</f>
        <v/>
      </c>
      <c r="M46" s="10">
        <f>IF(L46="","",IF(L46&gt;=12,"是","否"))</f>
        <v/>
      </c>
      <c r="N46" s="10">
        <f>IF(J46="","",IF(J46&lt;0.15,"是","否"))</f>
        <v/>
      </c>
      <c r="O46" s="10">
        <f>IF(I46="","",IF(J46&lt;0.15,"SAFETY_STOP",IF(L46&gt;=12,"VL_THRESHOLD","PLANNED_END")))</f>
        <v/>
      </c>
      <c r="P46" s="10">
        <f>IF(I46="","",IF(I46&gt;($D$2+0.05),"+5kg",IF(I46&gt;($D$2+0.02),"+2.5kg",IF(I46&gt;=($D$2-0.05),"保持",IF(I46&gt;=($D$2-0.08),"-2.5kg","-5kg")))))</f>
        <v/>
      </c>
      <c r="Q46" s="9" t="n"/>
      <c r="R46" s="12" t="n"/>
      <c r="S46" s="12" t="n"/>
      <c r="T46" s="12" t="n"/>
    </row>
    <row r="47">
      <c r="A47" s="12" t="n">
        <v>4</v>
      </c>
      <c r="B47" s="9" t="n"/>
      <c r="C47" s="9" t="n"/>
      <c r="D47" s="9" t="n"/>
      <c r="E47" s="9" t="n"/>
      <c r="F47" s="9" t="n"/>
      <c r="G47" s="9" t="n"/>
      <c r="H47" s="9" t="n"/>
      <c r="I47" s="10">
        <f>IFERROR(INDEX(C47:H47,MATCH(TRUE,INDEX(C47:H47&lt;&gt;"",0),0)),"")</f>
        <v/>
      </c>
      <c r="J47" s="10">
        <f>IFERROR(MIN(IF(C47:H47&lt;&gt;"",C47:H47)),"")</f>
        <v/>
      </c>
      <c r="K47" s="10">
        <f>IFERROR(MATCH(I47,C47:H47,0),"")</f>
        <v/>
      </c>
      <c r="L47" s="10">
        <f>IF(OR(I47="",J47=""),"",ROUND((I47-J47)/I47*100,1))</f>
        <v/>
      </c>
      <c r="M47" s="10">
        <f>IF(L47="","",IF(L47&gt;=12,"是","否"))</f>
        <v/>
      </c>
      <c r="N47" s="10">
        <f>IF(J47="","",IF(J47&lt;0.15,"是","否"))</f>
        <v/>
      </c>
      <c r="O47" s="10">
        <f>IF(I47="","",IF(J47&lt;0.15,"SAFETY_STOP",IF(L47&gt;=12,"VL_THRESHOLD","PLANNED_END")))</f>
        <v/>
      </c>
      <c r="P47" s="10">
        <f>IF(I47="","",IF(I47&gt;($D$2+0.05),"+5kg",IF(I47&gt;($D$2+0.02),"+2.5kg",IF(I47&gt;=($D$2-0.05),"保持",IF(I47&gt;=($D$2-0.08),"-2.5kg","-5kg")))))</f>
        <v/>
      </c>
      <c r="Q47" s="9" t="n"/>
      <c r="R47" s="12" t="n"/>
      <c r="S47" s="12" t="n"/>
      <c r="T47" s="12" t="n"/>
    </row>
    <row r="48">
      <c r="A48" s="12" t="n">
        <v>5</v>
      </c>
      <c r="B48" s="9" t="n"/>
      <c r="C48" s="9" t="n"/>
      <c r="D48" s="9" t="n"/>
      <c r="E48" s="9" t="n"/>
      <c r="F48" s="9" t="n"/>
      <c r="G48" s="9" t="n"/>
      <c r="H48" s="9" t="n"/>
      <c r="I48" s="10">
        <f>IFERROR(INDEX(C48:H48,MATCH(TRUE,INDEX(C48:H48&lt;&gt;"",0),0)),"")</f>
        <v/>
      </c>
      <c r="J48" s="10">
        <f>IFERROR(MIN(IF(C48:H48&lt;&gt;"",C48:H48)),"")</f>
        <v/>
      </c>
      <c r="K48" s="10">
        <f>IFERROR(MATCH(I48,C48:H48,0),"")</f>
        <v/>
      </c>
      <c r="L48" s="10">
        <f>IF(OR(I48="",J48=""),"",ROUND((I48-J48)/I48*100,1))</f>
        <v/>
      </c>
      <c r="M48" s="10">
        <f>IF(L48="","",IF(L48&gt;=12,"是","否"))</f>
        <v/>
      </c>
      <c r="N48" s="10">
        <f>IF(J48="","",IF(J48&lt;0.15,"是","否"))</f>
        <v/>
      </c>
      <c r="O48" s="10">
        <f>IF(I48="","",IF(J48&lt;0.15,"SAFETY_STOP",IF(L48&gt;=12,"VL_THRESHOLD","PLANNED_END")))</f>
        <v/>
      </c>
      <c r="P48" s="10">
        <f>IF(I48="","",IF(I48&gt;($D$2+0.05),"+5kg",IF(I48&gt;($D$2+0.02),"+2.5kg",IF(I48&gt;=($D$2-0.05),"保持",IF(I48&gt;=($D$2-0.08),"-2.5kg","-5kg")))))</f>
        <v/>
      </c>
      <c r="Q48" s="9" t="n"/>
      <c r="R48" s="12" t="n"/>
      <c r="S48" s="12" t="n"/>
      <c r="T48" s="12" t="n"/>
    </row>
    <row r="49">
      <c r="A49" s="12" t="n">
        <v>6</v>
      </c>
      <c r="B49" s="9" t="n"/>
      <c r="C49" s="9" t="n"/>
      <c r="D49" s="9" t="n"/>
      <c r="E49" s="9" t="n"/>
      <c r="F49" s="9" t="n"/>
      <c r="G49" s="9" t="n"/>
      <c r="H49" s="9" t="n"/>
      <c r="I49" s="10">
        <f>IFERROR(INDEX(C49:H49,MATCH(TRUE,INDEX(C49:H49&lt;&gt;"",0),0)),"")</f>
        <v/>
      </c>
      <c r="J49" s="10">
        <f>IFERROR(MIN(IF(C49:H49&lt;&gt;"",C49:H49)),"")</f>
        <v/>
      </c>
      <c r="K49" s="10">
        <f>IFERROR(MATCH(I49,C49:H49,0),"")</f>
        <v/>
      </c>
      <c r="L49" s="10">
        <f>IF(OR(I49="",J49=""),"",ROUND((I49-J49)/I49*100,1))</f>
        <v/>
      </c>
      <c r="M49" s="10">
        <f>IF(L49="","",IF(L49&gt;=12,"是","否"))</f>
        <v/>
      </c>
      <c r="N49" s="10">
        <f>IF(J49="","",IF(J49&lt;0.15,"是","否"))</f>
        <v/>
      </c>
      <c r="O49" s="10">
        <f>IF(I49="","",IF(J49&lt;0.15,"SAFETY_STOP",IF(L49&gt;=12,"VL_THRESHOLD","PLANNED_END")))</f>
        <v/>
      </c>
      <c r="P49" s="10">
        <f>IF(I49="","",IF(I49&gt;($D$2+0.05),"+5kg",IF(I49&gt;($D$2+0.02),"+2.5kg",IF(I49&gt;=($D$2-0.05),"保持",IF(I49&gt;=($D$2-0.08),"-2.5kg","-5kg")))))</f>
        <v/>
      </c>
      <c r="Q49" s="9" t="n"/>
      <c r="R49" s="12" t="n"/>
      <c r="S49" s="12" t="n"/>
      <c r="T49" s="12" t="n"/>
    </row>
    <row r="50">
      <c r="A50" s="8" t="inlineStr">
        <is>
          <t>辅助动作</t>
        </is>
      </c>
      <c r="B50" s="8" t="inlineStr">
        <is>
          <t>动作名称</t>
        </is>
      </c>
      <c r="C50" s="8" t="inlineStr">
        <is>
          <t>负荷kg</t>
        </is>
      </c>
      <c r="D50" s="8" t="inlineStr">
        <is>
          <t>完成(组×次)</t>
        </is>
      </c>
    </row>
    <row r="51">
      <c r="A51" s="9" t="inlineStr"/>
      <c r="B51" s="9" t="n"/>
      <c r="C51" s="9" t="n"/>
      <c r="D51" s="9" t="n"/>
    </row>
    <row r="52">
      <c r="A52" s="8" t="inlineStr">
        <is>
          <t>训练后</t>
        </is>
      </c>
      <c r="B52" s="8" t="inlineStr">
        <is>
          <t>开始时间</t>
        </is>
      </c>
      <c r="C52" s="8" t="inlineStr">
        <is>
          <t>结束时间</t>
        </is>
      </c>
      <c r="D52" s="8" t="inlineStr">
        <is>
          <t>总时长min</t>
        </is>
      </c>
      <c r="E52" s="8" t="inlineStr">
        <is>
          <t>sRPE</t>
        </is>
      </c>
      <c r="F52" s="8" t="inlineStr">
        <is>
          <t>session_load</t>
        </is>
      </c>
      <c r="G52" s="8" t="inlineStr">
        <is>
          <t>有无不适</t>
        </is>
      </c>
      <c r="H52" s="8" t="inlineStr">
        <is>
          <t>备注</t>
        </is>
      </c>
      <c r="I52" s="8" t="inlineStr">
        <is>
          <t>研究员签名</t>
        </is>
      </c>
    </row>
    <row r="53">
      <c r="A53" s="13" t="inlineStr"/>
      <c r="B53" s="13" t="n"/>
      <c r="C53" s="13" t="n"/>
      <c r="D53" s="10">
        <f>IF(OR(B53="",C53=""),"",(C53-B53)*1440)</f>
        <v/>
      </c>
      <c r="E53" s="13" t="n"/>
      <c r="F53" s="10">
        <f>IF(OR(D53="",E53=""),"",D53*E53)</f>
        <v/>
      </c>
      <c r="G53" s="13" t="n"/>
      <c r="H53" s="13" t="n"/>
      <c r="I53" s="13" t="n"/>
    </row>
    <row r="55">
      <c r="A55" s="5" t="inlineStr">
        <is>
          <t>── P006 陈镕垚 ──────────────────────────────────────────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</row>
    <row r="56">
      <c r="A56" s="8" t="inlineStr">
        <is>
          <t>编号</t>
        </is>
      </c>
      <c r="B56" s="8" t="inlineStr">
        <is>
          <t>姓名</t>
        </is>
      </c>
      <c r="C56" s="8" t="inlineStr">
        <is>
          <t>身高</t>
        </is>
      </c>
      <c r="D56" s="8" t="inlineStr">
        <is>
          <t>1RM</t>
        </is>
      </c>
      <c r="E56" s="8" t="inlineStr">
        <is>
          <t>睡眠</t>
        </is>
      </c>
      <c r="F56" s="8" t="inlineStr">
        <is>
          <t>压力</t>
        </is>
      </c>
      <c r="G56" s="8" t="inlineStr">
        <is>
          <t>疲劳</t>
        </is>
      </c>
      <c r="H56" s="8" t="inlineStr">
        <is>
          <t>酸痛</t>
        </is>
      </c>
      <c r="I56" s="8" t="inlineStr">
        <is>
          <t>Hooper总</t>
        </is>
      </c>
      <c r="J56" s="8" t="inlineStr">
        <is>
          <t>CMJ1</t>
        </is>
      </c>
      <c r="K56" s="8" t="inlineStr">
        <is>
          <t>CMJ2</t>
        </is>
      </c>
      <c r="L56" s="8" t="inlineStr">
        <is>
          <t>CMJ3</t>
        </is>
      </c>
      <c r="M56" s="8" t="inlineStr">
        <is>
          <t>CMJ均值</t>
        </is>
      </c>
      <c r="N56" s="8" t="inlineStr">
        <is>
          <t>&lt;95%?</t>
        </is>
      </c>
      <c r="O56" s="8" t="inlineStr">
        <is>
          <t>减组?</t>
        </is>
      </c>
      <c r="P56" s="8" t="inlineStr">
        <is>
          <t>实做组数</t>
        </is>
      </c>
      <c r="Q56" s="8" t="inlineStr">
        <is>
          <t>LVP_a</t>
        </is>
      </c>
      <c r="R56" s="8" t="inlineStr">
        <is>
          <t>LVP_b</t>
        </is>
      </c>
      <c r="S56" s="8" t="inlineStr">
        <is>
          <t>等级</t>
        </is>
      </c>
      <c r="T56" s="8" t="inlineStr">
        <is>
          <t>预测起始</t>
        </is>
      </c>
    </row>
    <row r="57">
      <c r="A57" s="9" t="inlineStr">
        <is>
          <t>P006</t>
        </is>
      </c>
      <c r="B57" s="9" t="inlineStr">
        <is>
          <t>陈镕垚</t>
        </is>
      </c>
      <c r="C57" s="9" t="n">
        <v>181</v>
      </c>
      <c r="D57" s="9" t="n">
        <v>145</v>
      </c>
      <c r="E57" s="9" t="n"/>
      <c r="F57" s="9" t="n"/>
      <c r="G57" s="9" t="n"/>
      <c r="H57" s="9" t="n"/>
      <c r="I57" s="10">
        <f>IFERROR(SUM(E57:H57),"")</f>
        <v/>
      </c>
      <c r="J57" s="9" t="n"/>
      <c r="K57" s="9" t="n"/>
      <c r="L57" s="9" t="n"/>
      <c r="M57" s="10">
        <f>IFERROR(AVERAGE(J57:L57),"")</f>
        <v/>
      </c>
      <c r="N57" s="10">
        <f>IF(M57="","",IF(M57&lt;59.06,"是⚠","否"))</f>
        <v/>
      </c>
      <c r="O57" s="10">
        <f>IF(M57="","",IF(M57&lt;59.06,"减1组","正常"))</f>
        <v/>
      </c>
      <c r="P57" s="10">
        <f>IF(M57="","",IF(M57&lt;59.06,5-1,5))</f>
        <v/>
      </c>
      <c r="Q57" s="9" t="n">
        <v>1.45</v>
      </c>
      <c r="R57" s="9" t="n">
        <v>-0.00675</v>
      </c>
      <c r="S57" s="9" t="inlineStr">
        <is>
          <t>B</t>
        </is>
      </c>
      <c r="T57" s="10">
        <f>IFERROR(ROUND((0.75-1.45)/-0.00675,0.5),"")</f>
        <v/>
      </c>
    </row>
    <row r="58">
      <c r="A58" s="8" t="inlineStr">
        <is>
          <t>热身校准</t>
        </is>
      </c>
      <c r="B58" s="8" t="inlineStr">
        <is>
          <t>LVP_a</t>
        </is>
      </c>
      <c r="C58" s="8" t="inlineStr">
        <is>
          <t>LVP_b</t>
        </is>
      </c>
      <c r="D58" s="8" t="inlineStr">
        <is>
          <t>50%热身kg</t>
        </is>
      </c>
      <c r="E58" s="8" t="inlineStr">
        <is>
          <t>70%热身kg</t>
        </is>
      </c>
      <c r="F58" s="8" t="inlineStr">
        <is>
          <t>热身负荷kg</t>
        </is>
      </c>
      <c r="G58" s="8" t="inlineStr">
        <is>
          <t>实测MCV</t>
        </is>
      </c>
      <c r="H58" s="8" t="inlineStr">
        <is>
          <t>预测MCV</t>
        </is>
      </c>
      <c r="I58" s="8" t="inlineStr">
        <is>
          <t>Δv</t>
        </is>
      </c>
      <c r="J58" s="8" t="inlineStr">
        <is>
          <t>调整量kg</t>
        </is>
      </c>
      <c r="K58" s="8" t="inlineStr">
        <is>
          <t>校准后第1组kg</t>
        </is>
      </c>
    </row>
    <row r="59">
      <c r="A59" s="11" t="inlineStr"/>
      <c r="B59" s="11" t="n">
        <v>1.45</v>
      </c>
      <c r="C59" s="11" t="n">
        <v>-0.00675</v>
      </c>
      <c r="D59" s="10">
        <f>IFERROR(ROUND(T57*0.5,2.5),"")</f>
        <v/>
      </c>
      <c r="E59" s="10">
        <f>IFERROR(ROUND(T57*0.7,2.5),"")</f>
        <v/>
      </c>
      <c r="F59" s="10">
        <f>D59</f>
        <v/>
      </c>
      <c r="G59" s="9" t="n"/>
      <c r="H59" s="10">
        <f>IF(F59="","",B59+C59*F59)</f>
        <v/>
      </c>
      <c r="I59" s="10">
        <f>IF(OR(G59="",H59=""),"",G59-H59)</f>
        <v/>
      </c>
      <c r="J59" s="10">
        <f>IF(I59="","",IF(I59&gt;0.08,5,IF(I59&gt;0.04,2.5,IF(I59&gt;=-0.04,0,IF(I59&gt;=-0.08,-2.5,-5)))))</f>
        <v/>
      </c>
      <c r="K59" s="10">
        <f>IFERROR(ROUND(T57+J59,2.5),"")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8" t="inlineStr">
        <is>
          <t>组次</t>
        </is>
      </c>
      <c r="B60" s="8" t="inlineStr">
        <is>
          <t>负荷kg</t>
        </is>
      </c>
      <c r="C60" s="8" t="inlineStr">
        <is>
          <t>rep1</t>
        </is>
      </c>
      <c r="D60" s="8" t="inlineStr">
        <is>
          <t>rep2</t>
        </is>
      </c>
      <c r="E60" s="8" t="inlineStr">
        <is>
          <t>rep3</t>
        </is>
      </c>
      <c r="F60" s="8" t="inlineStr">
        <is>
          <t>rep4</t>
        </is>
      </c>
      <c r="G60" s="8" t="inlineStr">
        <is>
          <t>rep5</t>
        </is>
      </c>
      <c r="H60" s="8" t="inlineStr">
        <is>
          <t>rep6</t>
        </is>
      </c>
      <c r="I60" s="8" t="inlineStr">
        <is>
          <t>首rep</t>
        </is>
      </c>
      <c r="J60" s="8" t="inlineStr">
        <is>
          <t>最低速</t>
        </is>
      </c>
      <c r="K60" s="8" t="inlineStr">
        <is>
          <t>最低rep#</t>
        </is>
      </c>
      <c r="L60" s="8" t="inlineStr">
        <is>
          <t>VL%</t>
        </is>
      </c>
      <c r="M60" s="8" t="inlineStr">
        <is>
          <t>VL达标?</t>
        </is>
      </c>
      <c r="N60" s="8" t="inlineStr">
        <is>
          <t>安全停止?</t>
        </is>
      </c>
      <c r="O60" s="8" t="inlineStr">
        <is>
          <t>停组原因</t>
        </is>
      </c>
      <c r="P60" s="8" t="inlineStr">
        <is>
          <t>下组建议</t>
        </is>
      </c>
      <c r="Q60" s="8" t="inlineStr">
        <is>
          <t>实做次数</t>
        </is>
      </c>
    </row>
    <row r="61">
      <c r="A61" s="12" t="n">
        <v>1</v>
      </c>
      <c r="B61" s="10">
        <f>IF(K59="","",K59)</f>
        <v/>
      </c>
      <c r="C61" s="9" t="n"/>
      <c r="D61" s="9" t="n"/>
      <c r="E61" s="9" t="n"/>
      <c r="F61" s="9" t="n"/>
      <c r="G61" s="9" t="n"/>
      <c r="H61" s="9" t="n"/>
      <c r="I61" s="10">
        <f>IFERROR(INDEX(C61:H61,MATCH(TRUE,INDEX(C61:H61&lt;&gt;"",0),0)),"")</f>
        <v/>
      </c>
      <c r="J61" s="10">
        <f>IFERROR(MIN(IF(C61:H61&lt;&gt;"",C61:H61)),"")</f>
        <v/>
      </c>
      <c r="K61" s="10">
        <f>IFERROR(MATCH(I61,C61:H61,0),"")</f>
        <v/>
      </c>
      <c r="L61" s="10">
        <f>IF(OR(I61="",J61=""),"",ROUND((I61-J61)/I61*100,1))</f>
        <v/>
      </c>
      <c r="M61" s="10">
        <f>IF(L61="","",IF(L61&gt;=12,"是","否"))</f>
        <v/>
      </c>
      <c r="N61" s="10">
        <f>IF(J61="","",IF(J61&lt;0.15,"是","否"))</f>
        <v/>
      </c>
      <c r="O61" s="10">
        <f>IF(I61="","",IF(J61&lt;0.15,"SAFETY_STOP",IF(L61&gt;=12,"VL_THRESHOLD","PLANNED_END")))</f>
        <v/>
      </c>
      <c r="P61" s="10">
        <f>IF(I61="","",IF(I61&gt;($D$2+0.05),"+5kg",IF(I61&gt;($D$2+0.02),"+2.5kg",IF(I61&gt;=($D$2-0.05),"保持",IF(I61&gt;=($D$2-0.08),"-2.5kg","-5kg")))))</f>
        <v/>
      </c>
      <c r="Q61" s="9" t="n"/>
      <c r="R61" s="12" t="n"/>
      <c r="S61" s="12" t="n"/>
      <c r="T61" s="12" t="n"/>
    </row>
    <row r="62">
      <c r="A62" s="12" t="n">
        <v>2</v>
      </c>
      <c r="B62" s="9" t="n"/>
      <c r="C62" s="9" t="n"/>
      <c r="D62" s="9" t="n"/>
      <c r="E62" s="9" t="n"/>
      <c r="F62" s="9" t="n"/>
      <c r="G62" s="9" t="n"/>
      <c r="H62" s="9" t="n"/>
      <c r="I62" s="10">
        <f>IFERROR(INDEX(C62:H62,MATCH(TRUE,INDEX(C62:H62&lt;&gt;"",0),0)),"")</f>
        <v/>
      </c>
      <c r="J62" s="10">
        <f>IFERROR(MIN(IF(C62:H62&lt;&gt;"",C62:H62)),"")</f>
        <v/>
      </c>
      <c r="K62" s="10">
        <f>IFERROR(MATCH(I62,C62:H62,0),"")</f>
        <v/>
      </c>
      <c r="L62" s="10">
        <f>IF(OR(I62="",J62=""),"",ROUND((I62-J62)/I62*100,1))</f>
        <v/>
      </c>
      <c r="M62" s="10">
        <f>IF(L62="","",IF(L62&gt;=12,"是","否"))</f>
        <v/>
      </c>
      <c r="N62" s="10">
        <f>IF(J62="","",IF(J62&lt;0.15,"是","否"))</f>
        <v/>
      </c>
      <c r="O62" s="10">
        <f>IF(I62="","",IF(J62&lt;0.15,"SAFETY_STOP",IF(L62&gt;=12,"VL_THRESHOLD","PLANNED_END")))</f>
        <v/>
      </c>
      <c r="P62" s="10">
        <f>IF(I62="","",IF(I62&gt;($D$2+0.05),"+5kg",IF(I62&gt;($D$2+0.02),"+2.5kg",IF(I62&gt;=($D$2-0.05),"保持",IF(I62&gt;=($D$2-0.08),"-2.5kg","-5kg")))))</f>
        <v/>
      </c>
      <c r="Q62" s="9" t="n"/>
      <c r="R62" s="12" t="n"/>
      <c r="S62" s="12" t="n"/>
      <c r="T62" s="12" t="n"/>
    </row>
    <row r="63">
      <c r="A63" s="12" t="n">
        <v>3</v>
      </c>
      <c r="B63" s="9" t="n"/>
      <c r="C63" s="9" t="n"/>
      <c r="D63" s="9" t="n"/>
      <c r="E63" s="9" t="n"/>
      <c r="F63" s="9" t="n"/>
      <c r="G63" s="9" t="n"/>
      <c r="H63" s="9" t="n"/>
      <c r="I63" s="10">
        <f>IFERROR(INDEX(C63:H63,MATCH(TRUE,INDEX(C63:H63&lt;&gt;"",0),0)),"")</f>
        <v/>
      </c>
      <c r="J63" s="10">
        <f>IFERROR(MIN(IF(C63:H63&lt;&gt;"",C63:H63)),"")</f>
        <v/>
      </c>
      <c r="K63" s="10">
        <f>IFERROR(MATCH(I63,C63:H63,0),"")</f>
        <v/>
      </c>
      <c r="L63" s="10">
        <f>IF(OR(I63="",J63=""),"",ROUND((I63-J63)/I63*100,1))</f>
        <v/>
      </c>
      <c r="M63" s="10">
        <f>IF(L63="","",IF(L63&gt;=12,"是","否"))</f>
        <v/>
      </c>
      <c r="N63" s="10">
        <f>IF(J63="","",IF(J63&lt;0.15,"是","否"))</f>
        <v/>
      </c>
      <c r="O63" s="10">
        <f>IF(I63="","",IF(J63&lt;0.15,"SAFETY_STOP",IF(L63&gt;=12,"VL_THRESHOLD","PLANNED_END")))</f>
        <v/>
      </c>
      <c r="P63" s="10">
        <f>IF(I63="","",IF(I63&gt;($D$2+0.05),"+5kg",IF(I63&gt;($D$2+0.02),"+2.5kg",IF(I63&gt;=($D$2-0.05),"保持",IF(I63&gt;=($D$2-0.08),"-2.5kg","-5kg")))))</f>
        <v/>
      </c>
      <c r="Q63" s="9" t="n"/>
      <c r="R63" s="12" t="n"/>
      <c r="S63" s="12" t="n"/>
      <c r="T63" s="12" t="n"/>
    </row>
    <row r="64">
      <c r="A64" s="12" t="n">
        <v>4</v>
      </c>
      <c r="B64" s="9" t="n"/>
      <c r="C64" s="9" t="n"/>
      <c r="D64" s="9" t="n"/>
      <c r="E64" s="9" t="n"/>
      <c r="F64" s="9" t="n"/>
      <c r="G64" s="9" t="n"/>
      <c r="H64" s="9" t="n"/>
      <c r="I64" s="10">
        <f>IFERROR(INDEX(C64:H64,MATCH(TRUE,INDEX(C64:H64&lt;&gt;"",0),0)),"")</f>
        <v/>
      </c>
      <c r="J64" s="10">
        <f>IFERROR(MIN(IF(C64:H64&lt;&gt;"",C64:H64)),"")</f>
        <v/>
      </c>
      <c r="K64" s="10">
        <f>IFERROR(MATCH(I64,C64:H64,0),"")</f>
        <v/>
      </c>
      <c r="L64" s="10">
        <f>IF(OR(I64="",J64=""),"",ROUND((I64-J64)/I64*100,1))</f>
        <v/>
      </c>
      <c r="M64" s="10">
        <f>IF(L64="","",IF(L64&gt;=12,"是","否"))</f>
        <v/>
      </c>
      <c r="N64" s="10">
        <f>IF(J64="","",IF(J64&lt;0.15,"是","否"))</f>
        <v/>
      </c>
      <c r="O64" s="10">
        <f>IF(I64="","",IF(J64&lt;0.15,"SAFETY_STOP",IF(L64&gt;=12,"VL_THRESHOLD","PLANNED_END")))</f>
        <v/>
      </c>
      <c r="P64" s="10">
        <f>IF(I64="","",IF(I64&gt;($D$2+0.05),"+5kg",IF(I64&gt;($D$2+0.02),"+2.5kg",IF(I64&gt;=($D$2-0.05),"保持",IF(I64&gt;=($D$2-0.08),"-2.5kg","-5kg")))))</f>
        <v/>
      </c>
      <c r="Q64" s="9" t="n"/>
      <c r="R64" s="12" t="n"/>
      <c r="S64" s="12" t="n"/>
      <c r="T64" s="12" t="n"/>
    </row>
    <row r="65">
      <c r="A65" s="12" t="n">
        <v>5</v>
      </c>
      <c r="B65" s="9" t="n"/>
      <c r="C65" s="9" t="n"/>
      <c r="D65" s="9" t="n"/>
      <c r="E65" s="9" t="n"/>
      <c r="F65" s="9" t="n"/>
      <c r="G65" s="9" t="n"/>
      <c r="H65" s="9" t="n"/>
      <c r="I65" s="10">
        <f>IFERROR(INDEX(C65:H65,MATCH(TRUE,INDEX(C65:H65&lt;&gt;"",0),0)),"")</f>
        <v/>
      </c>
      <c r="J65" s="10">
        <f>IFERROR(MIN(IF(C65:H65&lt;&gt;"",C65:H65)),"")</f>
        <v/>
      </c>
      <c r="K65" s="10">
        <f>IFERROR(MATCH(I65,C65:H65,0),"")</f>
        <v/>
      </c>
      <c r="L65" s="10">
        <f>IF(OR(I65="",J65=""),"",ROUND((I65-J65)/I65*100,1))</f>
        <v/>
      </c>
      <c r="M65" s="10">
        <f>IF(L65="","",IF(L65&gt;=12,"是","否"))</f>
        <v/>
      </c>
      <c r="N65" s="10">
        <f>IF(J65="","",IF(J65&lt;0.15,"是","否"))</f>
        <v/>
      </c>
      <c r="O65" s="10">
        <f>IF(I65="","",IF(J65&lt;0.15,"SAFETY_STOP",IF(L65&gt;=12,"VL_THRESHOLD","PLANNED_END")))</f>
        <v/>
      </c>
      <c r="P65" s="10">
        <f>IF(I65="","",IF(I65&gt;($D$2+0.05),"+5kg",IF(I65&gt;($D$2+0.02),"+2.5kg",IF(I65&gt;=($D$2-0.05),"保持",IF(I65&gt;=($D$2-0.08),"-2.5kg","-5kg")))))</f>
        <v/>
      </c>
      <c r="Q65" s="9" t="n"/>
      <c r="R65" s="12" t="n"/>
      <c r="S65" s="12" t="n"/>
      <c r="T65" s="12" t="n"/>
    </row>
    <row r="66">
      <c r="A66" s="12" t="n">
        <v>6</v>
      </c>
      <c r="B66" s="9" t="n"/>
      <c r="C66" s="9" t="n"/>
      <c r="D66" s="9" t="n"/>
      <c r="E66" s="9" t="n"/>
      <c r="F66" s="9" t="n"/>
      <c r="G66" s="9" t="n"/>
      <c r="H66" s="9" t="n"/>
      <c r="I66" s="10">
        <f>IFERROR(INDEX(C66:H66,MATCH(TRUE,INDEX(C66:H66&lt;&gt;"",0),0)),"")</f>
        <v/>
      </c>
      <c r="J66" s="10">
        <f>IFERROR(MIN(IF(C66:H66&lt;&gt;"",C66:H66)),"")</f>
        <v/>
      </c>
      <c r="K66" s="10">
        <f>IFERROR(MATCH(I66,C66:H66,0),"")</f>
        <v/>
      </c>
      <c r="L66" s="10">
        <f>IF(OR(I66="",J66=""),"",ROUND((I66-J66)/I66*100,1))</f>
        <v/>
      </c>
      <c r="M66" s="10">
        <f>IF(L66="","",IF(L66&gt;=12,"是","否"))</f>
        <v/>
      </c>
      <c r="N66" s="10">
        <f>IF(J66="","",IF(J66&lt;0.15,"是","否"))</f>
        <v/>
      </c>
      <c r="O66" s="10">
        <f>IF(I66="","",IF(J66&lt;0.15,"SAFETY_STOP",IF(L66&gt;=12,"VL_THRESHOLD","PLANNED_END")))</f>
        <v/>
      </c>
      <c r="P66" s="10">
        <f>IF(I66="","",IF(I66&gt;($D$2+0.05),"+5kg",IF(I66&gt;($D$2+0.02),"+2.5kg",IF(I66&gt;=($D$2-0.05),"保持",IF(I66&gt;=($D$2-0.08),"-2.5kg","-5kg")))))</f>
        <v/>
      </c>
      <c r="Q66" s="9" t="n"/>
      <c r="R66" s="12" t="n"/>
      <c r="S66" s="12" t="n"/>
      <c r="T66" s="12" t="n"/>
    </row>
    <row r="67">
      <c r="A67" s="8" t="inlineStr">
        <is>
          <t>辅助动作</t>
        </is>
      </c>
      <c r="B67" s="8" t="inlineStr">
        <is>
          <t>动作名称</t>
        </is>
      </c>
      <c r="C67" s="8" t="inlineStr">
        <is>
          <t>负荷kg</t>
        </is>
      </c>
      <c r="D67" s="8" t="inlineStr">
        <is>
          <t>完成(组×次)</t>
        </is>
      </c>
    </row>
    <row r="68">
      <c r="A68" s="9" t="inlineStr"/>
      <c r="B68" s="9" t="n"/>
      <c r="C68" s="9" t="n"/>
      <c r="D68" s="9" t="n"/>
    </row>
    <row r="69">
      <c r="A69" s="8" t="inlineStr">
        <is>
          <t>训练后</t>
        </is>
      </c>
      <c r="B69" s="8" t="inlineStr">
        <is>
          <t>开始时间</t>
        </is>
      </c>
      <c r="C69" s="8" t="inlineStr">
        <is>
          <t>结束时间</t>
        </is>
      </c>
      <c r="D69" s="8" t="inlineStr">
        <is>
          <t>总时长min</t>
        </is>
      </c>
      <c r="E69" s="8" t="inlineStr">
        <is>
          <t>sRPE</t>
        </is>
      </c>
      <c r="F69" s="8" t="inlineStr">
        <is>
          <t>session_load</t>
        </is>
      </c>
      <c r="G69" s="8" t="inlineStr">
        <is>
          <t>有无不适</t>
        </is>
      </c>
      <c r="H69" s="8" t="inlineStr">
        <is>
          <t>备注</t>
        </is>
      </c>
      <c r="I69" s="8" t="inlineStr">
        <is>
          <t>研究员签名</t>
        </is>
      </c>
    </row>
    <row r="70">
      <c r="A70" s="13" t="inlineStr"/>
      <c r="B70" s="13" t="n"/>
      <c r="C70" s="13" t="n"/>
      <c r="D70" s="10">
        <f>IF(OR(B70="",C70=""),"",(C70-B70)*1440)</f>
        <v/>
      </c>
      <c r="E70" s="13" t="n"/>
      <c r="F70" s="10">
        <f>IF(OR(D70="",E70=""),"",D70*E70)</f>
        <v/>
      </c>
      <c r="G70" s="13" t="n"/>
      <c r="H70" s="13" t="n"/>
      <c r="I70" s="13" t="n"/>
    </row>
    <row r="72">
      <c r="A72" s="5" t="inlineStr">
        <is>
          <t>── P015 陈先栋 ──────────────────────────────────────────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7" t="n"/>
    </row>
    <row r="73">
      <c r="A73" s="8" t="inlineStr">
        <is>
          <t>编号</t>
        </is>
      </c>
      <c r="B73" s="8" t="inlineStr">
        <is>
          <t>姓名</t>
        </is>
      </c>
      <c r="C73" s="8" t="inlineStr">
        <is>
          <t>身高</t>
        </is>
      </c>
      <c r="D73" s="8" t="inlineStr">
        <is>
          <t>1RM</t>
        </is>
      </c>
      <c r="E73" s="8" t="inlineStr">
        <is>
          <t>睡眠</t>
        </is>
      </c>
      <c r="F73" s="8" t="inlineStr">
        <is>
          <t>压力</t>
        </is>
      </c>
      <c r="G73" s="8" t="inlineStr">
        <is>
          <t>疲劳</t>
        </is>
      </c>
      <c r="H73" s="8" t="inlineStr">
        <is>
          <t>酸痛</t>
        </is>
      </c>
      <c r="I73" s="8" t="inlineStr">
        <is>
          <t>Hooper总</t>
        </is>
      </c>
      <c r="J73" s="8" t="inlineStr">
        <is>
          <t>CMJ1</t>
        </is>
      </c>
      <c r="K73" s="8" t="inlineStr">
        <is>
          <t>CMJ2</t>
        </is>
      </c>
      <c r="L73" s="8" t="inlineStr">
        <is>
          <t>CMJ3</t>
        </is>
      </c>
      <c r="M73" s="8" t="inlineStr">
        <is>
          <t>CMJ均值</t>
        </is>
      </c>
      <c r="N73" s="8" t="inlineStr">
        <is>
          <t>&lt;95%?</t>
        </is>
      </c>
      <c r="O73" s="8" t="inlineStr">
        <is>
          <t>减组?</t>
        </is>
      </c>
      <c r="P73" s="8" t="inlineStr">
        <is>
          <t>实做组数</t>
        </is>
      </c>
      <c r="Q73" s="8" t="inlineStr">
        <is>
          <t>LVP_a</t>
        </is>
      </c>
      <c r="R73" s="8" t="inlineStr">
        <is>
          <t>LVP_b</t>
        </is>
      </c>
      <c r="S73" s="8" t="inlineStr">
        <is>
          <t>等级</t>
        </is>
      </c>
      <c r="T73" s="8" t="inlineStr">
        <is>
          <t>预测起始</t>
        </is>
      </c>
    </row>
    <row r="74">
      <c r="A74" s="9" t="inlineStr">
        <is>
          <t>P015</t>
        </is>
      </c>
      <c r="B74" s="9" t="inlineStr">
        <is>
          <t>陈先栋</t>
        </is>
      </c>
      <c r="C74" s="9" t="n">
        <v>175</v>
      </c>
      <c r="D74" s="9" t="n">
        <v>135</v>
      </c>
      <c r="E74" s="9" t="n"/>
      <c r="F74" s="9" t="n"/>
      <c r="G74" s="9" t="n"/>
      <c r="H74" s="9" t="n"/>
      <c r="I74" s="10">
        <f>IFERROR(SUM(E74:H74),"")</f>
        <v/>
      </c>
      <c r="J74" s="9" t="n"/>
      <c r="K74" s="9" t="n"/>
      <c r="L74" s="9" t="n"/>
      <c r="M74" s="10">
        <f>IFERROR(AVERAGE(J74:L74),"")</f>
        <v/>
      </c>
      <c r="N74" s="10">
        <f>IF(M74="","",IF(M74&lt;54.25,"是⚠","否"))</f>
        <v/>
      </c>
      <c r="O74" s="10">
        <f>IF(M74="","",IF(M74&lt;54.25,"减1组","正常"))</f>
        <v/>
      </c>
      <c r="P74" s="10">
        <f>IF(M74="","",IF(M74&lt;54.25,5-1,5))</f>
        <v/>
      </c>
      <c r="Q74" s="9" t="n">
        <v>1.77</v>
      </c>
      <c r="R74" s="9" t="n">
        <v>-0.01025</v>
      </c>
      <c r="S74" s="9" t="inlineStr">
        <is>
          <t>C</t>
        </is>
      </c>
      <c r="T74" s="10">
        <f>IFERROR(ROUND((0.75-1.77)/-0.01025,0.5),"")</f>
        <v/>
      </c>
    </row>
    <row r="75">
      <c r="A75" s="8" t="inlineStr">
        <is>
          <t>热身校准</t>
        </is>
      </c>
      <c r="B75" s="8" t="inlineStr">
        <is>
          <t>LVP_a</t>
        </is>
      </c>
      <c r="C75" s="8" t="inlineStr">
        <is>
          <t>LVP_b</t>
        </is>
      </c>
      <c r="D75" s="8" t="inlineStr">
        <is>
          <t>50%热身kg</t>
        </is>
      </c>
      <c r="E75" s="8" t="inlineStr">
        <is>
          <t>70%热身kg</t>
        </is>
      </c>
      <c r="F75" s="8" t="inlineStr">
        <is>
          <t>热身负荷kg</t>
        </is>
      </c>
      <c r="G75" s="8" t="inlineStr">
        <is>
          <t>实测MCV</t>
        </is>
      </c>
      <c r="H75" s="8" t="inlineStr">
        <is>
          <t>预测MCV</t>
        </is>
      </c>
      <c r="I75" s="8" t="inlineStr">
        <is>
          <t>Δv</t>
        </is>
      </c>
      <c r="J75" s="8" t="inlineStr">
        <is>
          <t>调整量kg</t>
        </is>
      </c>
      <c r="K75" s="8" t="inlineStr">
        <is>
          <t>校准后第1组kg</t>
        </is>
      </c>
    </row>
    <row r="76">
      <c r="A76" s="11" t="inlineStr"/>
      <c r="B76" s="11" t="n">
        <v>1.77</v>
      </c>
      <c r="C76" s="11" t="n">
        <v>-0.01025</v>
      </c>
      <c r="D76" s="10">
        <f>IFERROR(ROUND(T74*0.5,2.5),"")</f>
        <v/>
      </c>
      <c r="E76" s="10">
        <f>IFERROR(ROUND(T74*0.7,2.5),"")</f>
        <v/>
      </c>
      <c r="F76" s="10">
        <f>D76</f>
        <v/>
      </c>
      <c r="G76" s="9" t="n"/>
      <c r="H76" s="10">
        <f>IF(F76="","",B76+C76*F76)</f>
        <v/>
      </c>
      <c r="I76" s="10">
        <f>IF(OR(G76="",H76=""),"",G76-H76)</f>
        <v/>
      </c>
      <c r="J76" s="10">
        <f>IF(I76="","",IF(I76&gt;0.08,5,IF(I76&gt;0.04,2.5,IF(I76&gt;=-0.04,0,IF(I76&gt;=-0.08,-2.5,-5)))))</f>
        <v/>
      </c>
      <c r="K76" s="10">
        <f>IFERROR(ROUND(T74+J76,2.5),"")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8" t="inlineStr">
        <is>
          <t>组次</t>
        </is>
      </c>
      <c r="B77" s="8" t="inlineStr">
        <is>
          <t>负荷kg</t>
        </is>
      </c>
      <c r="C77" s="8" t="inlineStr">
        <is>
          <t>rep1</t>
        </is>
      </c>
      <c r="D77" s="8" t="inlineStr">
        <is>
          <t>rep2</t>
        </is>
      </c>
      <c r="E77" s="8" t="inlineStr">
        <is>
          <t>rep3</t>
        </is>
      </c>
      <c r="F77" s="8" t="inlineStr">
        <is>
          <t>rep4</t>
        </is>
      </c>
      <c r="G77" s="8" t="inlineStr">
        <is>
          <t>rep5</t>
        </is>
      </c>
      <c r="H77" s="8" t="inlineStr">
        <is>
          <t>rep6</t>
        </is>
      </c>
      <c r="I77" s="8" t="inlineStr">
        <is>
          <t>首rep</t>
        </is>
      </c>
      <c r="J77" s="8" t="inlineStr">
        <is>
          <t>最低速</t>
        </is>
      </c>
      <c r="K77" s="8" t="inlineStr">
        <is>
          <t>最低rep#</t>
        </is>
      </c>
      <c r="L77" s="8" t="inlineStr">
        <is>
          <t>VL%</t>
        </is>
      </c>
      <c r="M77" s="8" t="inlineStr">
        <is>
          <t>VL达标?</t>
        </is>
      </c>
      <c r="N77" s="8" t="inlineStr">
        <is>
          <t>安全停止?</t>
        </is>
      </c>
      <c r="O77" s="8" t="inlineStr">
        <is>
          <t>停组原因</t>
        </is>
      </c>
      <c r="P77" s="8" t="inlineStr">
        <is>
          <t>下组建议</t>
        </is>
      </c>
      <c r="Q77" s="8" t="inlineStr">
        <is>
          <t>实做次数</t>
        </is>
      </c>
    </row>
    <row r="78">
      <c r="A78" s="12" t="n">
        <v>1</v>
      </c>
      <c r="B78" s="10">
        <f>IF(K76="","",K76)</f>
        <v/>
      </c>
      <c r="C78" s="9" t="n"/>
      <c r="D78" s="9" t="n"/>
      <c r="E78" s="9" t="n"/>
      <c r="F78" s="9" t="n"/>
      <c r="G78" s="9" t="n"/>
      <c r="H78" s="9" t="n"/>
      <c r="I78" s="10">
        <f>IFERROR(INDEX(C78:H78,MATCH(TRUE,INDEX(C78:H78&lt;&gt;"",0),0)),"")</f>
        <v/>
      </c>
      <c r="J78" s="10">
        <f>IFERROR(MIN(IF(C78:H78&lt;&gt;"",C78:H78)),"")</f>
        <v/>
      </c>
      <c r="K78" s="10">
        <f>IFERROR(MATCH(I78,C78:H78,0),"")</f>
        <v/>
      </c>
      <c r="L78" s="10">
        <f>IF(OR(I78="",J78=""),"",ROUND((I78-J78)/I78*100,1))</f>
        <v/>
      </c>
      <c r="M78" s="10">
        <f>IF(L78="","",IF(L78&gt;=12,"是","否"))</f>
        <v/>
      </c>
      <c r="N78" s="10">
        <f>IF(J78="","",IF(J78&lt;0.15,"是","否"))</f>
        <v/>
      </c>
      <c r="O78" s="10">
        <f>IF(I78="","",IF(J78&lt;0.15,"SAFETY_STOP",IF(L78&gt;=12,"VL_THRESHOLD","PLANNED_END")))</f>
        <v/>
      </c>
      <c r="P78" s="10">
        <f>IF(I78="","",IF(I78&gt;($D$2+0.05),"+5kg",IF(I78&gt;($D$2+0.02),"+2.5kg",IF(I78&gt;=($D$2-0.05),"保持",IF(I78&gt;=($D$2-0.08),"-2.5kg","-5kg")))))</f>
        <v/>
      </c>
      <c r="Q78" s="9" t="n"/>
      <c r="R78" s="12" t="n"/>
      <c r="S78" s="12" t="n"/>
      <c r="T78" s="12" t="n"/>
    </row>
    <row r="79">
      <c r="A79" s="12" t="n">
        <v>2</v>
      </c>
      <c r="B79" s="9" t="n"/>
      <c r="C79" s="9" t="n"/>
      <c r="D79" s="9" t="n"/>
      <c r="E79" s="9" t="n"/>
      <c r="F79" s="9" t="n"/>
      <c r="G79" s="9" t="n"/>
      <c r="H79" s="9" t="n"/>
      <c r="I79" s="10">
        <f>IFERROR(INDEX(C79:H79,MATCH(TRUE,INDEX(C79:H79&lt;&gt;"",0),0)),"")</f>
        <v/>
      </c>
      <c r="J79" s="10">
        <f>IFERROR(MIN(IF(C79:H79&lt;&gt;"",C79:H79)),"")</f>
        <v/>
      </c>
      <c r="K79" s="10">
        <f>IFERROR(MATCH(I79,C79:H79,0),"")</f>
        <v/>
      </c>
      <c r="L79" s="10">
        <f>IF(OR(I79="",J79=""),"",ROUND((I79-J79)/I79*100,1))</f>
        <v/>
      </c>
      <c r="M79" s="10">
        <f>IF(L79="","",IF(L79&gt;=12,"是","否"))</f>
        <v/>
      </c>
      <c r="N79" s="10">
        <f>IF(J79="","",IF(J79&lt;0.15,"是","否"))</f>
        <v/>
      </c>
      <c r="O79" s="10">
        <f>IF(I79="","",IF(J79&lt;0.15,"SAFETY_STOP",IF(L79&gt;=12,"VL_THRESHOLD","PLANNED_END")))</f>
        <v/>
      </c>
      <c r="P79" s="10">
        <f>IF(I79="","",IF(I79&gt;($D$2+0.05),"+5kg",IF(I79&gt;($D$2+0.02),"+2.5kg",IF(I79&gt;=($D$2-0.05),"保持",IF(I79&gt;=($D$2-0.08),"-2.5kg","-5kg")))))</f>
        <v/>
      </c>
      <c r="Q79" s="9" t="n"/>
      <c r="R79" s="12" t="n"/>
      <c r="S79" s="12" t="n"/>
      <c r="T79" s="12" t="n"/>
    </row>
    <row r="80">
      <c r="A80" s="12" t="n">
        <v>3</v>
      </c>
      <c r="B80" s="9" t="n"/>
      <c r="C80" s="9" t="n"/>
      <c r="D80" s="9" t="n"/>
      <c r="E80" s="9" t="n"/>
      <c r="F80" s="9" t="n"/>
      <c r="G80" s="9" t="n"/>
      <c r="H80" s="9" t="n"/>
      <c r="I80" s="10">
        <f>IFERROR(INDEX(C80:H80,MATCH(TRUE,INDEX(C80:H80&lt;&gt;"",0),0)),"")</f>
        <v/>
      </c>
      <c r="J80" s="10">
        <f>IFERROR(MIN(IF(C80:H80&lt;&gt;"",C80:H80)),"")</f>
        <v/>
      </c>
      <c r="K80" s="10">
        <f>IFERROR(MATCH(I80,C80:H80,0),"")</f>
        <v/>
      </c>
      <c r="L80" s="10">
        <f>IF(OR(I80="",J80=""),"",ROUND((I80-J80)/I80*100,1))</f>
        <v/>
      </c>
      <c r="M80" s="10">
        <f>IF(L80="","",IF(L80&gt;=12,"是","否"))</f>
        <v/>
      </c>
      <c r="N80" s="10">
        <f>IF(J80="","",IF(J80&lt;0.15,"是","否"))</f>
        <v/>
      </c>
      <c r="O80" s="10">
        <f>IF(I80="","",IF(J80&lt;0.15,"SAFETY_STOP",IF(L80&gt;=12,"VL_THRESHOLD","PLANNED_END")))</f>
        <v/>
      </c>
      <c r="P80" s="10">
        <f>IF(I80="","",IF(I80&gt;($D$2+0.05),"+5kg",IF(I80&gt;($D$2+0.02),"+2.5kg",IF(I80&gt;=($D$2-0.05),"保持",IF(I80&gt;=($D$2-0.08),"-2.5kg","-5kg")))))</f>
        <v/>
      </c>
      <c r="Q80" s="9" t="n"/>
      <c r="R80" s="12" t="n"/>
      <c r="S80" s="12" t="n"/>
      <c r="T80" s="12" t="n"/>
    </row>
    <row r="81">
      <c r="A81" s="12" t="n">
        <v>4</v>
      </c>
      <c r="B81" s="9" t="n"/>
      <c r="C81" s="9" t="n"/>
      <c r="D81" s="9" t="n"/>
      <c r="E81" s="9" t="n"/>
      <c r="F81" s="9" t="n"/>
      <c r="G81" s="9" t="n"/>
      <c r="H81" s="9" t="n"/>
      <c r="I81" s="10">
        <f>IFERROR(INDEX(C81:H81,MATCH(TRUE,INDEX(C81:H81&lt;&gt;"",0),0)),"")</f>
        <v/>
      </c>
      <c r="J81" s="10">
        <f>IFERROR(MIN(IF(C81:H81&lt;&gt;"",C81:H81)),"")</f>
        <v/>
      </c>
      <c r="K81" s="10">
        <f>IFERROR(MATCH(I81,C81:H81,0),"")</f>
        <v/>
      </c>
      <c r="L81" s="10">
        <f>IF(OR(I81="",J81=""),"",ROUND((I81-J81)/I81*100,1))</f>
        <v/>
      </c>
      <c r="M81" s="10">
        <f>IF(L81="","",IF(L81&gt;=12,"是","否"))</f>
        <v/>
      </c>
      <c r="N81" s="10">
        <f>IF(J81="","",IF(J81&lt;0.15,"是","否"))</f>
        <v/>
      </c>
      <c r="O81" s="10">
        <f>IF(I81="","",IF(J81&lt;0.15,"SAFETY_STOP",IF(L81&gt;=12,"VL_THRESHOLD","PLANNED_END")))</f>
        <v/>
      </c>
      <c r="P81" s="10">
        <f>IF(I81="","",IF(I81&gt;($D$2+0.05),"+5kg",IF(I81&gt;($D$2+0.02),"+2.5kg",IF(I81&gt;=($D$2-0.05),"保持",IF(I81&gt;=($D$2-0.08),"-2.5kg","-5kg")))))</f>
        <v/>
      </c>
      <c r="Q81" s="9" t="n"/>
      <c r="R81" s="12" t="n"/>
      <c r="S81" s="12" t="n"/>
      <c r="T81" s="12" t="n"/>
    </row>
    <row r="82">
      <c r="A82" s="12" t="n">
        <v>5</v>
      </c>
      <c r="B82" s="9" t="n"/>
      <c r="C82" s="9" t="n"/>
      <c r="D82" s="9" t="n"/>
      <c r="E82" s="9" t="n"/>
      <c r="F82" s="9" t="n"/>
      <c r="G82" s="9" t="n"/>
      <c r="H82" s="9" t="n"/>
      <c r="I82" s="10">
        <f>IFERROR(INDEX(C82:H82,MATCH(TRUE,INDEX(C82:H82&lt;&gt;"",0),0)),"")</f>
        <v/>
      </c>
      <c r="J82" s="10">
        <f>IFERROR(MIN(IF(C82:H82&lt;&gt;"",C82:H82)),"")</f>
        <v/>
      </c>
      <c r="K82" s="10">
        <f>IFERROR(MATCH(I82,C82:H82,0),"")</f>
        <v/>
      </c>
      <c r="L82" s="10">
        <f>IF(OR(I82="",J82=""),"",ROUND((I82-J82)/I82*100,1))</f>
        <v/>
      </c>
      <c r="M82" s="10">
        <f>IF(L82="","",IF(L82&gt;=12,"是","否"))</f>
        <v/>
      </c>
      <c r="N82" s="10">
        <f>IF(J82="","",IF(J82&lt;0.15,"是","否"))</f>
        <v/>
      </c>
      <c r="O82" s="10">
        <f>IF(I82="","",IF(J82&lt;0.15,"SAFETY_STOP",IF(L82&gt;=12,"VL_THRESHOLD","PLANNED_END")))</f>
        <v/>
      </c>
      <c r="P82" s="10">
        <f>IF(I82="","",IF(I82&gt;($D$2+0.05),"+5kg",IF(I82&gt;($D$2+0.02),"+2.5kg",IF(I82&gt;=($D$2-0.05),"保持",IF(I82&gt;=($D$2-0.08),"-2.5kg","-5kg")))))</f>
        <v/>
      </c>
      <c r="Q82" s="9" t="n"/>
      <c r="R82" s="12" t="n"/>
      <c r="S82" s="12" t="n"/>
      <c r="T82" s="12" t="n"/>
    </row>
    <row r="83">
      <c r="A83" s="12" t="n">
        <v>6</v>
      </c>
      <c r="B83" s="9" t="n"/>
      <c r="C83" s="9" t="n"/>
      <c r="D83" s="9" t="n"/>
      <c r="E83" s="9" t="n"/>
      <c r="F83" s="9" t="n"/>
      <c r="G83" s="9" t="n"/>
      <c r="H83" s="9" t="n"/>
      <c r="I83" s="10">
        <f>IFERROR(INDEX(C83:H83,MATCH(TRUE,INDEX(C83:H83&lt;&gt;"",0),0)),"")</f>
        <v/>
      </c>
      <c r="J83" s="10">
        <f>IFERROR(MIN(IF(C83:H83&lt;&gt;"",C83:H83)),"")</f>
        <v/>
      </c>
      <c r="K83" s="10">
        <f>IFERROR(MATCH(I83,C83:H83,0),"")</f>
        <v/>
      </c>
      <c r="L83" s="10">
        <f>IF(OR(I83="",J83=""),"",ROUND((I83-J83)/I83*100,1))</f>
        <v/>
      </c>
      <c r="M83" s="10">
        <f>IF(L83="","",IF(L83&gt;=12,"是","否"))</f>
        <v/>
      </c>
      <c r="N83" s="10">
        <f>IF(J83="","",IF(J83&lt;0.15,"是","否"))</f>
        <v/>
      </c>
      <c r="O83" s="10">
        <f>IF(I83="","",IF(J83&lt;0.15,"SAFETY_STOP",IF(L83&gt;=12,"VL_THRESHOLD","PLANNED_END")))</f>
        <v/>
      </c>
      <c r="P83" s="10">
        <f>IF(I83="","",IF(I83&gt;($D$2+0.05),"+5kg",IF(I83&gt;($D$2+0.02),"+2.5kg",IF(I83&gt;=($D$2-0.05),"保持",IF(I83&gt;=($D$2-0.08),"-2.5kg","-5kg")))))</f>
        <v/>
      </c>
      <c r="Q83" s="9" t="n"/>
      <c r="R83" s="12" t="n"/>
      <c r="S83" s="12" t="n"/>
      <c r="T83" s="12" t="n"/>
    </row>
    <row r="84">
      <c r="A84" s="8" t="inlineStr">
        <is>
          <t>辅助动作</t>
        </is>
      </c>
      <c r="B84" s="8" t="inlineStr">
        <is>
          <t>动作名称</t>
        </is>
      </c>
      <c r="C84" s="8" t="inlineStr">
        <is>
          <t>负荷kg</t>
        </is>
      </c>
      <c r="D84" s="8" t="inlineStr">
        <is>
          <t>完成(组×次)</t>
        </is>
      </c>
    </row>
    <row r="85">
      <c r="A85" s="9" t="inlineStr"/>
      <c r="B85" s="9" t="n"/>
      <c r="C85" s="9" t="n"/>
      <c r="D85" s="9" t="n"/>
    </row>
    <row r="86">
      <c r="A86" s="8" t="inlineStr">
        <is>
          <t>训练后</t>
        </is>
      </c>
      <c r="B86" s="8" t="inlineStr">
        <is>
          <t>开始时间</t>
        </is>
      </c>
      <c r="C86" s="8" t="inlineStr">
        <is>
          <t>结束时间</t>
        </is>
      </c>
      <c r="D86" s="8" t="inlineStr">
        <is>
          <t>总时长min</t>
        </is>
      </c>
      <c r="E86" s="8" t="inlineStr">
        <is>
          <t>sRPE</t>
        </is>
      </c>
      <c r="F86" s="8" t="inlineStr">
        <is>
          <t>session_load</t>
        </is>
      </c>
      <c r="G86" s="8" t="inlineStr">
        <is>
          <t>有无不适</t>
        </is>
      </c>
      <c r="H86" s="8" t="inlineStr">
        <is>
          <t>备注</t>
        </is>
      </c>
      <c r="I86" s="8" t="inlineStr">
        <is>
          <t>研究员签名</t>
        </is>
      </c>
    </row>
    <row r="87">
      <c r="A87" s="13" t="inlineStr"/>
      <c r="B87" s="13" t="n"/>
      <c r="C87" s="13" t="n"/>
      <c r="D87" s="10">
        <f>IF(OR(B87="",C87=""),"",(C87-B87)*1440)</f>
        <v/>
      </c>
      <c r="E87" s="13" t="n"/>
      <c r="F87" s="10">
        <f>IF(OR(D87="",E87=""),"",D87*E87)</f>
        <v/>
      </c>
      <c r="G87" s="13" t="n"/>
      <c r="H87" s="13" t="n"/>
      <c r="I87" s="13" t="n"/>
    </row>
    <row r="89">
      <c r="A89" s="5" t="inlineStr">
        <is>
          <t>── P011 朱怀远 ──────────────────────────────────────────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" t="n"/>
    </row>
    <row r="90">
      <c r="A90" s="8" t="inlineStr">
        <is>
          <t>编号</t>
        </is>
      </c>
      <c r="B90" s="8" t="inlineStr">
        <is>
          <t>姓名</t>
        </is>
      </c>
      <c r="C90" s="8" t="inlineStr">
        <is>
          <t>身高</t>
        </is>
      </c>
      <c r="D90" s="8" t="inlineStr">
        <is>
          <t>1RM</t>
        </is>
      </c>
      <c r="E90" s="8" t="inlineStr">
        <is>
          <t>睡眠</t>
        </is>
      </c>
      <c r="F90" s="8" t="inlineStr">
        <is>
          <t>压力</t>
        </is>
      </c>
      <c r="G90" s="8" t="inlineStr">
        <is>
          <t>疲劳</t>
        </is>
      </c>
      <c r="H90" s="8" t="inlineStr">
        <is>
          <t>酸痛</t>
        </is>
      </c>
      <c r="I90" s="8" t="inlineStr">
        <is>
          <t>Hooper总</t>
        </is>
      </c>
      <c r="J90" s="8" t="inlineStr">
        <is>
          <t>CMJ1</t>
        </is>
      </c>
      <c r="K90" s="8" t="inlineStr">
        <is>
          <t>CMJ2</t>
        </is>
      </c>
      <c r="L90" s="8" t="inlineStr">
        <is>
          <t>CMJ3</t>
        </is>
      </c>
      <c r="M90" s="8" t="inlineStr">
        <is>
          <t>CMJ均值</t>
        </is>
      </c>
      <c r="N90" s="8" t="inlineStr">
        <is>
          <t>&lt;95%?</t>
        </is>
      </c>
      <c r="O90" s="8" t="inlineStr">
        <is>
          <t>减组?</t>
        </is>
      </c>
      <c r="P90" s="8" t="inlineStr">
        <is>
          <t>实做组数</t>
        </is>
      </c>
      <c r="Q90" s="8" t="inlineStr">
        <is>
          <t>LVP_a</t>
        </is>
      </c>
      <c r="R90" s="8" t="inlineStr">
        <is>
          <t>LVP_b</t>
        </is>
      </c>
      <c r="S90" s="8" t="inlineStr">
        <is>
          <t>等级</t>
        </is>
      </c>
      <c r="T90" s="8" t="inlineStr">
        <is>
          <t>预测起始</t>
        </is>
      </c>
    </row>
    <row r="91">
      <c r="A91" s="9" t="inlineStr">
        <is>
          <t>P011</t>
        </is>
      </c>
      <c r="B91" s="9" t="inlineStr">
        <is>
          <t>朱怀远</t>
        </is>
      </c>
      <c r="C91" s="9" t="n">
        <v>165</v>
      </c>
      <c r="D91" s="9" t="n">
        <v>125</v>
      </c>
      <c r="E91" s="9" t="n"/>
      <c r="F91" s="9" t="n"/>
      <c r="G91" s="9" t="n"/>
      <c r="H91" s="9" t="n"/>
      <c r="I91" s="10">
        <f>IFERROR(SUM(E91:H91),"")</f>
        <v/>
      </c>
      <c r="J91" s="9" t="n"/>
      <c r="K91" s="9" t="n"/>
      <c r="L91" s="9" t="n"/>
      <c r="M91" s="10">
        <f>IFERROR(AVERAGE(J91:L91),"")</f>
        <v/>
      </c>
      <c r="N91" s="10">
        <f>IF(M91="","",IF(M91&lt;64.98,"是⚠","否"))</f>
        <v/>
      </c>
      <c r="O91" s="10">
        <f>IF(M91="","",IF(M91&lt;64.98,"减1组","正常"))</f>
        <v/>
      </c>
      <c r="P91" s="10">
        <f>IF(M91="","",IF(M91&lt;64.98,5-1,5))</f>
        <v/>
      </c>
      <c r="Q91" s="9" t="n">
        <v>1.2583</v>
      </c>
      <c r="R91" s="9" t="n">
        <v>-0.006125</v>
      </c>
      <c r="S91" s="9" t="inlineStr">
        <is>
          <t>D</t>
        </is>
      </c>
      <c r="T91" s="10">
        <f>IFERROR(ROUND((0.75-1.2583)/-0.006125,0.5),"")</f>
        <v/>
      </c>
    </row>
    <row r="92">
      <c r="A92" s="8" t="inlineStr">
        <is>
          <t>热身校准</t>
        </is>
      </c>
      <c r="B92" s="8" t="inlineStr">
        <is>
          <t>LVP_a</t>
        </is>
      </c>
      <c r="C92" s="8" t="inlineStr">
        <is>
          <t>LVP_b</t>
        </is>
      </c>
      <c r="D92" s="8" t="inlineStr">
        <is>
          <t>50%热身kg</t>
        </is>
      </c>
      <c r="E92" s="8" t="inlineStr">
        <is>
          <t>70%热身kg</t>
        </is>
      </c>
      <c r="F92" s="8" t="inlineStr">
        <is>
          <t>热身负荷kg</t>
        </is>
      </c>
      <c r="G92" s="8" t="inlineStr">
        <is>
          <t>实测MCV</t>
        </is>
      </c>
      <c r="H92" s="8" t="inlineStr">
        <is>
          <t>预测MCV</t>
        </is>
      </c>
      <c r="I92" s="8" t="inlineStr">
        <is>
          <t>Δv</t>
        </is>
      </c>
      <c r="J92" s="8" t="inlineStr">
        <is>
          <t>调整量kg</t>
        </is>
      </c>
      <c r="K92" s="8" t="inlineStr">
        <is>
          <t>校准后第1组kg</t>
        </is>
      </c>
    </row>
    <row r="93">
      <c r="A93" s="11" t="inlineStr"/>
      <c r="B93" s="11" t="n">
        <v>1.2583</v>
      </c>
      <c r="C93" s="11" t="n">
        <v>-0.006125</v>
      </c>
      <c r="D93" s="10">
        <f>IFERROR(ROUND(T91*0.5,2.5),"")</f>
        <v/>
      </c>
      <c r="E93" s="10">
        <f>IFERROR(ROUND(T91*0.7,2.5),"")</f>
        <v/>
      </c>
      <c r="F93" s="10">
        <f>D93</f>
        <v/>
      </c>
      <c r="G93" s="9" t="n"/>
      <c r="H93" s="10">
        <f>IF(F93="","",B93+C93*F93)</f>
        <v/>
      </c>
      <c r="I93" s="10">
        <f>IF(OR(G93="",H93=""),"",G93-H93)</f>
        <v/>
      </c>
      <c r="J93" s="10">
        <f>IF(I93="","",IF(I93&gt;0.08,5,IF(I93&gt;0.04,2.5,IF(I93&gt;=-0.04,0,IF(I93&gt;=-0.08,-2.5,-5)))))</f>
        <v/>
      </c>
      <c r="K93" s="10">
        <f>IFERROR(ROUND(T91+J93,2.5),"")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8" t="inlineStr">
        <is>
          <t>组次</t>
        </is>
      </c>
      <c r="B94" s="8" t="inlineStr">
        <is>
          <t>负荷kg</t>
        </is>
      </c>
      <c r="C94" s="8" t="inlineStr">
        <is>
          <t>rep1</t>
        </is>
      </c>
      <c r="D94" s="8" t="inlineStr">
        <is>
          <t>rep2</t>
        </is>
      </c>
      <c r="E94" s="8" t="inlineStr">
        <is>
          <t>rep3</t>
        </is>
      </c>
      <c r="F94" s="8" t="inlineStr">
        <is>
          <t>rep4</t>
        </is>
      </c>
      <c r="G94" s="8" t="inlineStr">
        <is>
          <t>rep5</t>
        </is>
      </c>
      <c r="H94" s="8" t="inlineStr">
        <is>
          <t>rep6</t>
        </is>
      </c>
      <c r="I94" s="8" t="inlineStr">
        <is>
          <t>首rep</t>
        </is>
      </c>
      <c r="J94" s="8" t="inlineStr">
        <is>
          <t>最低速</t>
        </is>
      </c>
      <c r="K94" s="8" t="inlineStr">
        <is>
          <t>最低rep#</t>
        </is>
      </c>
      <c r="L94" s="8" t="inlineStr">
        <is>
          <t>VL%</t>
        </is>
      </c>
      <c r="M94" s="8" t="inlineStr">
        <is>
          <t>VL达标?</t>
        </is>
      </c>
      <c r="N94" s="8" t="inlineStr">
        <is>
          <t>安全停止?</t>
        </is>
      </c>
      <c r="O94" s="8" t="inlineStr">
        <is>
          <t>停组原因</t>
        </is>
      </c>
      <c r="P94" s="8" t="inlineStr">
        <is>
          <t>下组建议</t>
        </is>
      </c>
      <c r="Q94" s="8" t="inlineStr">
        <is>
          <t>实做次数</t>
        </is>
      </c>
    </row>
    <row r="95">
      <c r="A95" s="12" t="n">
        <v>1</v>
      </c>
      <c r="B95" s="10">
        <f>IF(K93="","",K93)</f>
        <v/>
      </c>
      <c r="C95" s="9" t="n"/>
      <c r="D95" s="9" t="n"/>
      <c r="E95" s="9" t="n"/>
      <c r="F95" s="9" t="n"/>
      <c r="G95" s="9" t="n"/>
      <c r="H95" s="9" t="n"/>
      <c r="I95" s="10">
        <f>IFERROR(INDEX(C95:H95,MATCH(TRUE,INDEX(C95:H95&lt;&gt;"",0),0)),"")</f>
        <v/>
      </c>
      <c r="J95" s="10">
        <f>IFERROR(MIN(IF(C95:H95&lt;&gt;"",C95:H95)),"")</f>
        <v/>
      </c>
      <c r="K95" s="10">
        <f>IFERROR(MATCH(I95,C95:H95,0),"")</f>
        <v/>
      </c>
      <c r="L95" s="10">
        <f>IF(OR(I95="",J95=""),"",ROUND((I95-J95)/I95*100,1))</f>
        <v/>
      </c>
      <c r="M95" s="10">
        <f>IF(L95="","",IF(L95&gt;=12,"是","否"))</f>
        <v/>
      </c>
      <c r="N95" s="10">
        <f>IF(J95="","",IF(J95&lt;0.15,"是","否"))</f>
        <v/>
      </c>
      <c r="O95" s="10">
        <f>IF(I95="","",IF(J95&lt;0.15,"SAFETY_STOP",IF(L95&gt;=12,"VL_THRESHOLD","PLANNED_END")))</f>
        <v/>
      </c>
      <c r="P95" s="10">
        <f>IF(I95="","",IF(I95&gt;($D$2+0.05),"+5kg",IF(I95&gt;($D$2+0.02),"+2.5kg",IF(I95&gt;=($D$2-0.05),"保持",IF(I95&gt;=($D$2-0.08),"-2.5kg","-5kg")))))</f>
        <v/>
      </c>
      <c r="Q95" s="9" t="n"/>
      <c r="R95" s="12" t="n"/>
      <c r="S95" s="12" t="n"/>
      <c r="T95" s="12" t="n"/>
    </row>
    <row r="96">
      <c r="A96" s="12" t="n">
        <v>2</v>
      </c>
      <c r="B96" s="9" t="n"/>
      <c r="C96" s="9" t="n"/>
      <c r="D96" s="9" t="n"/>
      <c r="E96" s="9" t="n"/>
      <c r="F96" s="9" t="n"/>
      <c r="G96" s="9" t="n"/>
      <c r="H96" s="9" t="n"/>
      <c r="I96" s="10">
        <f>IFERROR(INDEX(C96:H96,MATCH(TRUE,INDEX(C96:H96&lt;&gt;"",0),0)),"")</f>
        <v/>
      </c>
      <c r="J96" s="10">
        <f>IFERROR(MIN(IF(C96:H96&lt;&gt;"",C96:H96)),"")</f>
        <v/>
      </c>
      <c r="K96" s="10">
        <f>IFERROR(MATCH(I96,C96:H96,0),"")</f>
        <v/>
      </c>
      <c r="L96" s="10">
        <f>IF(OR(I96="",J96=""),"",ROUND((I96-J96)/I96*100,1))</f>
        <v/>
      </c>
      <c r="M96" s="10">
        <f>IF(L96="","",IF(L96&gt;=12,"是","否"))</f>
        <v/>
      </c>
      <c r="N96" s="10">
        <f>IF(J96="","",IF(J96&lt;0.15,"是","否"))</f>
        <v/>
      </c>
      <c r="O96" s="10">
        <f>IF(I96="","",IF(J96&lt;0.15,"SAFETY_STOP",IF(L96&gt;=12,"VL_THRESHOLD","PLANNED_END")))</f>
        <v/>
      </c>
      <c r="P96" s="10">
        <f>IF(I96="","",IF(I96&gt;($D$2+0.05),"+5kg",IF(I96&gt;($D$2+0.02),"+2.5kg",IF(I96&gt;=($D$2-0.05),"保持",IF(I96&gt;=($D$2-0.08),"-2.5kg","-5kg")))))</f>
        <v/>
      </c>
      <c r="Q96" s="9" t="n"/>
      <c r="R96" s="12" t="n"/>
      <c r="S96" s="12" t="n"/>
      <c r="T96" s="12" t="n"/>
    </row>
    <row r="97">
      <c r="A97" s="12" t="n">
        <v>3</v>
      </c>
      <c r="B97" s="9" t="n"/>
      <c r="C97" s="9" t="n"/>
      <c r="D97" s="9" t="n"/>
      <c r="E97" s="9" t="n"/>
      <c r="F97" s="9" t="n"/>
      <c r="G97" s="9" t="n"/>
      <c r="H97" s="9" t="n"/>
      <c r="I97" s="10">
        <f>IFERROR(INDEX(C97:H97,MATCH(TRUE,INDEX(C97:H97&lt;&gt;"",0),0)),"")</f>
        <v/>
      </c>
      <c r="J97" s="10">
        <f>IFERROR(MIN(IF(C97:H97&lt;&gt;"",C97:H97)),"")</f>
        <v/>
      </c>
      <c r="K97" s="10">
        <f>IFERROR(MATCH(I97,C97:H97,0),"")</f>
        <v/>
      </c>
      <c r="L97" s="10">
        <f>IF(OR(I97="",J97=""),"",ROUND((I97-J97)/I97*100,1))</f>
        <v/>
      </c>
      <c r="M97" s="10">
        <f>IF(L97="","",IF(L97&gt;=12,"是","否"))</f>
        <v/>
      </c>
      <c r="N97" s="10">
        <f>IF(J97="","",IF(J97&lt;0.15,"是","否"))</f>
        <v/>
      </c>
      <c r="O97" s="10">
        <f>IF(I97="","",IF(J97&lt;0.15,"SAFETY_STOP",IF(L97&gt;=12,"VL_THRESHOLD","PLANNED_END")))</f>
        <v/>
      </c>
      <c r="P97" s="10">
        <f>IF(I97="","",IF(I97&gt;($D$2+0.05),"+5kg",IF(I97&gt;($D$2+0.02),"+2.5kg",IF(I97&gt;=($D$2-0.05),"保持",IF(I97&gt;=($D$2-0.08),"-2.5kg","-5kg")))))</f>
        <v/>
      </c>
      <c r="Q97" s="9" t="n"/>
      <c r="R97" s="12" t="n"/>
      <c r="S97" s="12" t="n"/>
      <c r="T97" s="12" t="n"/>
    </row>
    <row r="98">
      <c r="A98" s="12" t="n">
        <v>4</v>
      </c>
      <c r="B98" s="9" t="n"/>
      <c r="C98" s="9" t="n"/>
      <c r="D98" s="9" t="n"/>
      <c r="E98" s="9" t="n"/>
      <c r="F98" s="9" t="n"/>
      <c r="G98" s="9" t="n"/>
      <c r="H98" s="9" t="n"/>
      <c r="I98" s="10">
        <f>IFERROR(INDEX(C98:H98,MATCH(TRUE,INDEX(C98:H98&lt;&gt;"",0),0)),"")</f>
        <v/>
      </c>
      <c r="J98" s="10">
        <f>IFERROR(MIN(IF(C98:H98&lt;&gt;"",C98:H98)),"")</f>
        <v/>
      </c>
      <c r="K98" s="10">
        <f>IFERROR(MATCH(I98,C98:H98,0),"")</f>
        <v/>
      </c>
      <c r="L98" s="10">
        <f>IF(OR(I98="",J98=""),"",ROUND((I98-J98)/I98*100,1))</f>
        <v/>
      </c>
      <c r="M98" s="10">
        <f>IF(L98="","",IF(L98&gt;=12,"是","否"))</f>
        <v/>
      </c>
      <c r="N98" s="10">
        <f>IF(J98="","",IF(J98&lt;0.15,"是","否"))</f>
        <v/>
      </c>
      <c r="O98" s="10">
        <f>IF(I98="","",IF(J98&lt;0.15,"SAFETY_STOP",IF(L98&gt;=12,"VL_THRESHOLD","PLANNED_END")))</f>
        <v/>
      </c>
      <c r="P98" s="10">
        <f>IF(I98="","",IF(I98&gt;($D$2+0.05),"+5kg",IF(I98&gt;($D$2+0.02),"+2.5kg",IF(I98&gt;=($D$2-0.05),"保持",IF(I98&gt;=($D$2-0.08),"-2.5kg","-5kg")))))</f>
        <v/>
      </c>
      <c r="Q98" s="9" t="n"/>
      <c r="R98" s="12" t="n"/>
      <c r="S98" s="12" t="n"/>
      <c r="T98" s="12" t="n"/>
    </row>
    <row r="99">
      <c r="A99" s="12" t="n">
        <v>5</v>
      </c>
      <c r="B99" s="9" t="n"/>
      <c r="C99" s="9" t="n"/>
      <c r="D99" s="9" t="n"/>
      <c r="E99" s="9" t="n"/>
      <c r="F99" s="9" t="n"/>
      <c r="G99" s="9" t="n"/>
      <c r="H99" s="9" t="n"/>
      <c r="I99" s="10">
        <f>IFERROR(INDEX(C99:H99,MATCH(TRUE,INDEX(C99:H99&lt;&gt;"",0),0)),"")</f>
        <v/>
      </c>
      <c r="J99" s="10">
        <f>IFERROR(MIN(IF(C99:H99&lt;&gt;"",C99:H99)),"")</f>
        <v/>
      </c>
      <c r="K99" s="10">
        <f>IFERROR(MATCH(I99,C99:H99,0),"")</f>
        <v/>
      </c>
      <c r="L99" s="10">
        <f>IF(OR(I99="",J99=""),"",ROUND((I99-J99)/I99*100,1))</f>
        <v/>
      </c>
      <c r="M99" s="10">
        <f>IF(L99="","",IF(L99&gt;=12,"是","否"))</f>
        <v/>
      </c>
      <c r="N99" s="10">
        <f>IF(J99="","",IF(J99&lt;0.15,"是","否"))</f>
        <v/>
      </c>
      <c r="O99" s="10">
        <f>IF(I99="","",IF(J99&lt;0.15,"SAFETY_STOP",IF(L99&gt;=12,"VL_THRESHOLD","PLANNED_END")))</f>
        <v/>
      </c>
      <c r="P99" s="10">
        <f>IF(I99="","",IF(I99&gt;($D$2+0.05),"+5kg",IF(I99&gt;($D$2+0.02),"+2.5kg",IF(I99&gt;=($D$2-0.05),"保持",IF(I99&gt;=($D$2-0.08),"-2.5kg","-5kg")))))</f>
        <v/>
      </c>
      <c r="Q99" s="9" t="n"/>
      <c r="R99" s="12" t="n"/>
      <c r="S99" s="12" t="n"/>
      <c r="T99" s="12" t="n"/>
    </row>
    <row r="100">
      <c r="A100" s="12" t="n">
        <v>6</v>
      </c>
      <c r="B100" s="9" t="n"/>
      <c r="C100" s="9" t="n"/>
      <c r="D100" s="9" t="n"/>
      <c r="E100" s="9" t="n"/>
      <c r="F100" s="9" t="n"/>
      <c r="G100" s="9" t="n"/>
      <c r="H100" s="9" t="n"/>
      <c r="I100" s="10">
        <f>IFERROR(INDEX(C100:H100,MATCH(TRUE,INDEX(C100:H100&lt;&gt;"",0),0)),"")</f>
        <v/>
      </c>
      <c r="J100" s="10">
        <f>IFERROR(MIN(IF(C100:H100&lt;&gt;"",C100:H100)),"")</f>
        <v/>
      </c>
      <c r="K100" s="10">
        <f>IFERROR(MATCH(I100,C100:H100,0),"")</f>
        <v/>
      </c>
      <c r="L100" s="10">
        <f>IF(OR(I100="",J100=""),"",ROUND((I100-J100)/I100*100,1))</f>
        <v/>
      </c>
      <c r="M100" s="10">
        <f>IF(L100="","",IF(L100&gt;=12,"是","否"))</f>
        <v/>
      </c>
      <c r="N100" s="10">
        <f>IF(J100="","",IF(J100&lt;0.15,"是","否"))</f>
        <v/>
      </c>
      <c r="O100" s="10">
        <f>IF(I100="","",IF(J100&lt;0.15,"SAFETY_STOP",IF(L100&gt;=12,"VL_THRESHOLD","PLANNED_END")))</f>
        <v/>
      </c>
      <c r="P100" s="10">
        <f>IF(I100="","",IF(I100&gt;($D$2+0.05),"+5kg",IF(I100&gt;($D$2+0.02),"+2.5kg",IF(I100&gt;=($D$2-0.05),"保持",IF(I100&gt;=($D$2-0.08),"-2.5kg","-5kg")))))</f>
        <v/>
      </c>
      <c r="Q100" s="9" t="n"/>
      <c r="R100" s="12" t="n"/>
      <c r="S100" s="12" t="n"/>
      <c r="T100" s="12" t="n"/>
    </row>
    <row r="101">
      <c r="A101" s="8" t="inlineStr">
        <is>
          <t>辅助动作</t>
        </is>
      </c>
      <c r="B101" s="8" t="inlineStr">
        <is>
          <t>动作名称</t>
        </is>
      </c>
      <c r="C101" s="8" t="inlineStr">
        <is>
          <t>负荷kg</t>
        </is>
      </c>
      <c r="D101" s="8" t="inlineStr">
        <is>
          <t>完成(组×次)</t>
        </is>
      </c>
    </row>
    <row r="102">
      <c r="A102" s="9" t="inlineStr"/>
      <c r="B102" s="9" t="n"/>
      <c r="C102" s="9" t="n"/>
      <c r="D102" s="9" t="n"/>
    </row>
    <row r="103">
      <c r="A103" s="8" t="inlineStr">
        <is>
          <t>训练后</t>
        </is>
      </c>
      <c r="B103" s="8" t="inlineStr">
        <is>
          <t>开始时间</t>
        </is>
      </c>
      <c r="C103" s="8" t="inlineStr">
        <is>
          <t>结束时间</t>
        </is>
      </c>
      <c r="D103" s="8" t="inlineStr">
        <is>
          <t>总时长min</t>
        </is>
      </c>
      <c r="E103" s="8" t="inlineStr">
        <is>
          <t>sRPE</t>
        </is>
      </c>
      <c r="F103" s="8" t="inlineStr">
        <is>
          <t>session_load</t>
        </is>
      </c>
      <c r="G103" s="8" t="inlineStr">
        <is>
          <t>有无不适</t>
        </is>
      </c>
      <c r="H103" s="8" t="inlineStr">
        <is>
          <t>备注</t>
        </is>
      </c>
      <c r="I103" s="8" t="inlineStr">
        <is>
          <t>研究员签名</t>
        </is>
      </c>
    </row>
    <row r="104">
      <c r="A104" s="13" t="inlineStr"/>
      <c r="B104" s="13" t="n"/>
      <c r="C104" s="13" t="n"/>
      <c r="D104" s="10">
        <f>IF(OR(B104="",C104=""),"",(C104-B104)*1440)</f>
        <v/>
      </c>
      <c r="E104" s="13" t="n"/>
      <c r="F104" s="10">
        <f>IF(OR(D104="",E104=""),"",D104*E104)</f>
        <v/>
      </c>
      <c r="G104" s="13" t="n"/>
      <c r="H104" s="13" t="n"/>
      <c r="I104" s="13" t="n"/>
    </row>
    <row r="106">
      <c r="A106" s="5" t="inlineStr">
        <is>
          <t>── P016 杜遥 ──────────────────────────────────────────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7" t="n"/>
    </row>
    <row r="107">
      <c r="A107" s="8" t="inlineStr">
        <is>
          <t>编号</t>
        </is>
      </c>
      <c r="B107" s="8" t="inlineStr">
        <is>
          <t>姓名</t>
        </is>
      </c>
      <c r="C107" s="8" t="inlineStr">
        <is>
          <t>身高</t>
        </is>
      </c>
      <c r="D107" s="8" t="inlineStr">
        <is>
          <t>1RM</t>
        </is>
      </c>
      <c r="E107" s="8" t="inlineStr">
        <is>
          <t>睡眠</t>
        </is>
      </c>
      <c r="F107" s="8" t="inlineStr">
        <is>
          <t>压力</t>
        </is>
      </c>
      <c r="G107" s="8" t="inlineStr">
        <is>
          <t>疲劳</t>
        </is>
      </c>
      <c r="H107" s="8" t="inlineStr">
        <is>
          <t>酸痛</t>
        </is>
      </c>
      <c r="I107" s="8" t="inlineStr">
        <is>
          <t>Hooper总</t>
        </is>
      </c>
      <c r="J107" s="8" t="inlineStr">
        <is>
          <t>CMJ1</t>
        </is>
      </c>
      <c r="K107" s="8" t="inlineStr">
        <is>
          <t>CMJ2</t>
        </is>
      </c>
      <c r="L107" s="8" t="inlineStr">
        <is>
          <t>CMJ3</t>
        </is>
      </c>
      <c r="M107" s="8" t="inlineStr">
        <is>
          <t>CMJ均值</t>
        </is>
      </c>
      <c r="N107" s="8" t="inlineStr">
        <is>
          <t>&lt;95%?</t>
        </is>
      </c>
      <c r="O107" s="8" t="inlineStr">
        <is>
          <t>减组?</t>
        </is>
      </c>
      <c r="P107" s="8" t="inlineStr">
        <is>
          <t>实做组数</t>
        </is>
      </c>
      <c r="Q107" s="8" t="inlineStr">
        <is>
          <t>LVP_a</t>
        </is>
      </c>
      <c r="R107" s="8" t="inlineStr">
        <is>
          <t>LVP_b</t>
        </is>
      </c>
      <c r="S107" s="8" t="inlineStr">
        <is>
          <t>等级</t>
        </is>
      </c>
      <c r="T107" s="8" t="inlineStr">
        <is>
          <t>预测起始</t>
        </is>
      </c>
    </row>
    <row r="108">
      <c r="A108" s="9" t="inlineStr">
        <is>
          <t>P016</t>
        </is>
      </c>
      <c r="B108" s="9" t="inlineStr">
        <is>
          <t>杜遥</t>
        </is>
      </c>
      <c r="C108" s="9" t="n">
        <v>180</v>
      </c>
      <c r="D108" s="9" t="n">
        <v>135</v>
      </c>
      <c r="E108" s="9" t="n"/>
      <c r="F108" s="9" t="n"/>
      <c r="G108" s="9" t="n"/>
      <c r="H108" s="9" t="n"/>
      <c r="I108" s="10">
        <f>IFERROR(SUM(E108:H108),"")</f>
        <v/>
      </c>
      <c r="J108" s="9" t="n"/>
      <c r="K108" s="9" t="n"/>
      <c r="L108" s="9" t="n"/>
      <c r="M108" s="10">
        <f>IFERROR(AVERAGE(J108:L108),"")</f>
        <v/>
      </c>
      <c r="N108" s="10">
        <f>IF(M108="","",IF(M108&lt;49.75,"是⚠","否"))</f>
        <v/>
      </c>
      <c r="O108" s="10">
        <f>IF(M108="","",IF(M108&lt;49.75,"减1组","正常"))</f>
        <v/>
      </c>
      <c r="P108" s="10">
        <f>IF(M108="","",IF(M108&lt;49.75,5-1,5))</f>
        <v/>
      </c>
      <c r="Q108" s="9" t="n">
        <v>1.54</v>
      </c>
      <c r="R108" s="9" t="n">
        <v>-0.008500000000000001</v>
      </c>
      <c r="S108" s="9" t="inlineStr">
        <is>
          <t>B</t>
        </is>
      </c>
      <c r="T108" s="10">
        <f>IFERROR(ROUND((0.75-1.54)/-0.0085,0.5),"")</f>
        <v/>
      </c>
    </row>
    <row r="109">
      <c r="A109" s="8" t="inlineStr">
        <is>
          <t>热身校准</t>
        </is>
      </c>
      <c r="B109" s="8" t="inlineStr">
        <is>
          <t>LVP_a</t>
        </is>
      </c>
      <c r="C109" s="8" t="inlineStr">
        <is>
          <t>LVP_b</t>
        </is>
      </c>
      <c r="D109" s="8" t="inlineStr">
        <is>
          <t>50%热身kg</t>
        </is>
      </c>
      <c r="E109" s="8" t="inlineStr">
        <is>
          <t>70%热身kg</t>
        </is>
      </c>
      <c r="F109" s="8" t="inlineStr">
        <is>
          <t>热身负荷kg</t>
        </is>
      </c>
      <c r="G109" s="8" t="inlineStr">
        <is>
          <t>实测MCV</t>
        </is>
      </c>
      <c r="H109" s="8" t="inlineStr">
        <is>
          <t>预测MCV</t>
        </is>
      </c>
      <c r="I109" s="8" t="inlineStr">
        <is>
          <t>Δv</t>
        </is>
      </c>
      <c r="J109" s="8" t="inlineStr">
        <is>
          <t>调整量kg</t>
        </is>
      </c>
      <c r="K109" s="8" t="inlineStr">
        <is>
          <t>校准后第1组kg</t>
        </is>
      </c>
    </row>
    <row r="110">
      <c r="A110" s="11" t="inlineStr"/>
      <c r="B110" s="11" t="n">
        <v>1.54</v>
      </c>
      <c r="C110" s="11" t="n">
        <v>-0.008500000000000001</v>
      </c>
      <c r="D110" s="10">
        <f>IFERROR(ROUND(T108*0.5,2.5),"")</f>
        <v/>
      </c>
      <c r="E110" s="10">
        <f>IFERROR(ROUND(T108*0.7,2.5),"")</f>
        <v/>
      </c>
      <c r="F110" s="10">
        <f>D110</f>
        <v/>
      </c>
      <c r="G110" s="9" t="n"/>
      <c r="H110" s="10">
        <f>IF(F110="","",B110+C110*F110)</f>
        <v/>
      </c>
      <c r="I110" s="10">
        <f>IF(OR(G110="",H110=""),"",G110-H110)</f>
        <v/>
      </c>
      <c r="J110" s="10">
        <f>IF(I110="","",IF(I110&gt;0.08,5,IF(I110&gt;0.04,2.5,IF(I110&gt;=-0.04,0,IF(I110&gt;=-0.08,-2.5,-5)))))</f>
        <v/>
      </c>
      <c r="K110" s="10">
        <f>IFERROR(ROUND(T108+J110,2.5),"")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8" t="inlineStr">
        <is>
          <t>组次</t>
        </is>
      </c>
      <c r="B111" s="8" t="inlineStr">
        <is>
          <t>负荷kg</t>
        </is>
      </c>
      <c r="C111" s="8" t="inlineStr">
        <is>
          <t>rep1</t>
        </is>
      </c>
      <c r="D111" s="8" t="inlineStr">
        <is>
          <t>rep2</t>
        </is>
      </c>
      <c r="E111" s="8" t="inlineStr">
        <is>
          <t>rep3</t>
        </is>
      </c>
      <c r="F111" s="8" t="inlineStr">
        <is>
          <t>rep4</t>
        </is>
      </c>
      <c r="G111" s="8" t="inlineStr">
        <is>
          <t>rep5</t>
        </is>
      </c>
      <c r="H111" s="8" t="inlineStr">
        <is>
          <t>rep6</t>
        </is>
      </c>
      <c r="I111" s="8" t="inlineStr">
        <is>
          <t>首rep</t>
        </is>
      </c>
      <c r="J111" s="8" t="inlineStr">
        <is>
          <t>最低速</t>
        </is>
      </c>
      <c r="K111" s="8" t="inlineStr">
        <is>
          <t>最低rep#</t>
        </is>
      </c>
      <c r="L111" s="8" t="inlineStr">
        <is>
          <t>VL%</t>
        </is>
      </c>
      <c r="M111" s="8" t="inlineStr">
        <is>
          <t>VL达标?</t>
        </is>
      </c>
      <c r="N111" s="8" t="inlineStr">
        <is>
          <t>安全停止?</t>
        </is>
      </c>
      <c r="O111" s="8" t="inlineStr">
        <is>
          <t>停组原因</t>
        </is>
      </c>
      <c r="P111" s="8" t="inlineStr">
        <is>
          <t>下组建议</t>
        </is>
      </c>
      <c r="Q111" s="8" t="inlineStr">
        <is>
          <t>实做次数</t>
        </is>
      </c>
    </row>
    <row r="112">
      <c r="A112" s="12" t="n">
        <v>1</v>
      </c>
      <c r="B112" s="10">
        <f>IF(K110="","",K110)</f>
        <v/>
      </c>
      <c r="C112" s="9" t="n"/>
      <c r="D112" s="9" t="n"/>
      <c r="E112" s="9" t="n"/>
      <c r="F112" s="9" t="n"/>
      <c r="G112" s="9" t="n"/>
      <c r="H112" s="9" t="n"/>
      <c r="I112" s="10">
        <f>IFERROR(INDEX(C112:H112,MATCH(TRUE,INDEX(C112:H112&lt;&gt;"",0),0)),"")</f>
        <v/>
      </c>
      <c r="J112" s="10">
        <f>IFERROR(MIN(IF(C112:H112&lt;&gt;"",C112:H112)),"")</f>
        <v/>
      </c>
      <c r="K112" s="10">
        <f>IFERROR(MATCH(I112,C112:H112,0),"")</f>
        <v/>
      </c>
      <c r="L112" s="10">
        <f>IF(OR(I112="",J112=""),"",ROUND((I112-J112)/I112*100,1))</f>
        <v/>
      </c>
      <c r="M112" s="10">
        <f>IF(L112="","",IF(L112&gt;=12,"是","否"))</f>
        <v/>
      </c>
      <c r="N112" s="10">
        <f>IF(J112="","",IF(J112&lt;0.15,"是","否"))</f>
        <v/>
      </c>
      <c r="O112" s="10">
        <f>IF(I112="","",IF(J112&lt;0.15,"SAFETY_STOP",IF(L112&gt;=12,"VL_THRESHOLD","PLANNED_END")))</f>
        <v/>
      </c>
      <c r="P112" s="10">
        <f>IF(I112="","",IF(I112&gt;($D$2+0.05),"+5kg",IF(I112&gt;($D$2+0.02),"+2.5kg",IF(I112&gt;=($D$2-0.05),"保持",IF(I112&gt;=($D$2-0.08),"-2.5kg","-5kg")))))</f>
        <v/>
      </c>
      <c r="Q112" s="9" t="n"/>
      <c r="R112" s="12" t="n"/>
      <c r="S112" s="12" t="n"/>
      <c r="T112" s="12" t="n"/>
    </row>
    <row r="113">
      <c r="A113" s="12" t="n">
        <v>2</v>
      </c>
      <c r="B113" s="9" t="n"/>
      <c r="C113" s="9" t="n"/>
      <c r="D113" s="9" t="n"/>
      <c r="E113" s="9" t="n"/>
      <c r="F113" s="9" t="n"/>
      <c r="G113" s="9" t="n"/>
      <c r="H113" s="9" t="n"/>
      <c r="I113" s="10">
        <f>IFERROR(INDEX(C113:H113,MATCH(TRUE,INDEX(C113:H113&lt;&gt;"",0),0)),"")</f>
        <v/>
      </c>
      <c r="J113" s="10">
        <f>IFERROR(MIN(IF(C113:H113&lt;&gt;"",C113:H113)),"")</f>
        <v/>
      </c>
      <c r="K113" s="10">
        <f>IFERROR(MATCH(I113,C113:H113,0),"")</f>
        <v/>
      </c>
      <c r="L113" s="10">
        <f>IF(OR(I113="",J113=""),"",ROUND((I113-J113)/I113*100,1))</f>
        <v/>
      </c>
      <c r="M113" s="10">
        <f>IF(L113="","",IF(L113&gt;=12,"是","否"))</f>
        <v/>
      </c>
      <c r="N113" s="10">
        <f>IF(J113="","",IF(J113&lt;0.15,"是","否"))</f>
        <v/>
      </c>
      <c r="O113" s="10">
        <f>IF(I113="","",IF(J113&lt;0.15,"SAFETY_STOP",IF(L113&gt;=12,"VL_THRESHOLD","PLANNED_END")))</f>
        <v/>
      </c>
      <c r="P113" s="10">
        <f>IF(I113="","",IF(I113&gt;($D$2+0.05),"+5kg",IF(I113&gt;($D$2+0.02),"+2.5kg",IF(I113&gt;=($D$2-0.05),"保持",IF(I113&gt;=($D$2-0.08),"-2.5kg","-5kg")))))</f>
        <v/>
      </c>
      <c r="Q113" s="9" t="n"/>
      <c r="R113" s="12" t="n"/>
      <c r="S113" s="12" t="n"/>
      <c r="T113" s="12" t="n"/>
    </row>
    <row r="114">
      <c r="A114" s="12" t="n">
        <v>3</v>
      </c>
      <c r="B114" s="9" t="n"/>
      <c r="C114" s="9" t="n"/>
      <c r="D114" s="9" t="n"/>
      <c r="E114" s="9" t="n"/>
      <c r="F114" s="9" t="n"/>
      <c r="G114" s="9" t="n"/>
      <c r="H114" s="9" t="n"/>
      <c r="I114" s="10">
        <f>IFERROR(INDEX(C114:H114,MATCH(TRUE,INDEX(C114:H114&lt;&gt;"",0),0)),"")</f>
        <v/>
      </c>
      <c r="J114" s="10">
        <f>IFERROR(MIN(IF(C114:H114&lt;&gt;"",C114:H114)),"")</f>
        <v/>
      </c>
      <c r="K114" s="10">
        <f>IFERROR(MATCH(I114,C114:H114,0),"")</f>
        <v/>
      </c>
      <c r="L114" s="10">
        <f>IF(OR(I114="",J114=""),"",ROUND((I114-J114)/I114*100,1))</f>
        <v/>
      </c>
      <c r="M114" s="10">
        <f>IF(L114="","",IF(L114&gt;=12,"是","否"))</f>
        <v/>
      </c>
      <c r="N114" s="10">
        <f>IF(J114="","",IF(J114&lt;0.15,"是","否"))</f>
        <v/>
      </c>
      <c r="O114" s="10">
        <f>IF(I114="","",IF(J114&lt;0.15,"SAFETY_STOP",IF(L114&gt;=12,"VL_THRESHOLD","PLANNED_END")))</f>
        <v/>
      </c>
      <c r="P114" s="10">
        <f>IF(I114="","",IF(I114&gt;($D$2+0.05),"+5kg",IF(I114&gt;($D$2+0.02),"+2.5kg",IF(I114&gt;=($D$2-0.05),"保持",IF(I114&gt;=($D$2-0.08),"-2.5kg","-5kg")))))</f>
        <v/>
      </c>
      <c r="Q114" s="9" t="n"/>
      <c r="R114" s="12" t="n"/>
      <c r="S114" s="12" t="n"/>
      <c r="T114" s="12" t="n"/>
    </row>
    <row r="115">
      <c r="A115" s="12" t="n">
        <v>4</v>
      </c>
      <c r="B115" s="9" t="n"/>
      <c r="C115" s="9" t="n"/>
      <c r="D115" s="9" t="n"/>
      <c r="E115" s="9" t="n"/>
      <c r="F115" s="9" t="n"/>
      <c r="G115" s="9" t="n"/>
      <c r="H115" s="9" t="n"/>
      <c r="I115" s="10">
        <f>IFERROR(INDEX(C115:H115,MATCH(TRUE,INDEX(C115:H115&lt;&gt;"",0),0)),"")</f>
        <v/>
      </c>
      <c r="J115" s="10">
        <f>IFERROR(MIN(IF(C115:H115&lt;&gt;"",C115:H115)),"")</f>
        <v/>
      </c>
      <c r="K115" s="10">
        <f>IFERROR(MATCH(I115,C115:H115,0),"")</f>
        <v/>
      </c>
      <c r="L115" s="10">
        <f>IF(OR(I115="",J115=""),"",ROUND((I115-J115)/I115*100,1))</f>
        <v/>
      </c>
      <c r="M115" s="10">
        <f>IF(L115="","",IF(L115&gt;=12,"是","否"))</f>
        <v/>
      </c>
      <c r="N115" s="10">
        <f>IF(J115="","",IF(J115&lt;0.15,"是","否"))</f>
        <v/>
      </c>
      <c r="O115" s="10">
        <f>IF(I115="","",IF(J115&lt;0.15,"SAFETY_STOP",IF(L115&gt;=12,"VL_THRESHOLD","PLANNED_END")))</f>
        <v/>
      </c>
      <c r="P115" s="10">
        <f>IF(I115="","",IF(I115&gt;($D$2+0.05),"+5kg",IF(I115&gt;($D$2+0.02),"+2.5kg",IF(I115&gt;=($D$2-0.05),"保持",IF(I115&gt;=($D$2-0.08),"-2.5kg","-5kg")))))</f>
        <v/>
      </c>
      <c r="Q115" s="9" t="n"/>
      <c r="R115" s="12" t="n"/>
      <c r="S115" s="12" t="n"/>
      <c r="T115" s="12" t="n"/>
    </row>
    <row r="116">
      <c r="A116" s="12" t="n">
        <v>5</v>
      </c>
      <c r="B116" s="9" t="n"/>
      <c r="C116" s="9" t="n"/>
      <c r="D116" s="9" t="n"/>
      <c r="E116" s="9" t="n"/>
      <c r="F116" s="9" t="n"/>
      <c r="G116" s="9" t="n"/>
      <c r="H116" s="9" t="n"/>
      <c r="I116" s="10">
        <f>IFERROR(INDEX(C116:H116,MATCH(TRUE,INDEX(C116:H116&lt;&gt;"",0),0)),"")</f>
        <v/>
      </c>
      <c r="J116" s="10">
        <f>IFERROR(MIN(IF(C116:H116&lt;&gt;"",C116:H116)),"")</f>
        <v/>
      </c>
      <c r="K116" s="10">
        <f>IFERROR(MATCH(I116,C116:H116,0),"")</f>
        <v/>
      </c>
      <c r="L116" s="10">
        <f>IF(OR(I116="",J116=""),"",ROUND((I116-J116)/I116*100,1))</f>
        <v/>
      </c>
      <c r="M116" s="10">
        <f>IF(L116="","",IF(L116&gt;=12,"是","否"))</f>
        <v/>
      </c>
      <c r="N116" s="10">
        <f>IF(J116="","",IF(J116&lt;0.15,"是","否"))</f>
        <v/>
      </c>
      <c r="O116" s="10">
        <f>IF(I116="","",IF(J116&lt;0.15,"SAFETY_STOP",IF(L116&gt;=12,"VL_THRESHOLD","PLANNED_END")))</f>
        <v/>
      </c>
      <c r="P116" s="10">
        <f>IF(I116="","",IF(I116&gt;($D$2+0.05),"+5kg",IF(I116&gt;($D$2+0.02),"+2.5kg",IF(I116&gt;=($D$2-0.05),"保持",IF(I116&gt;=($D$2-0.08),"-2.5kg","-5kg")))))</f>
        <v/>
      </c>
      <c r="Q116" s="9" t="n"/>
      <c r="R116" s="12" t="n"/>
      <c r="S116" s="12" t="n"/>
      <c r="T116" s="12" t="n"/>
    </row>
    <row r="117">
      <c r="A117" s="12" t="n">
        <v>6</v>
      </c>
      <c r="B117" s="9" t="n"/>
      <c r="C117" s="9" t="n"/>
      <c r="D117" s="9" t="n"/>
      <c r="E117" s="9" t="n"/>
      <c r="F117" s="9" t="n"/>
      <c r="G117" s="9" t="n"/>
      <c r="H117" s="9" t="n"/>
      <c r="I117" s="10">
        <f>IFERROR(INDEX(C117:H117,MATCH(TRUE,INDEX(C117:H117&lt;&gt;"",0),0)),"")</f>
        <v/>
      </c>
      <c r="J117" s="10">
        <f>IFERROR(MIN(IF(C117:H117&lt;&gt;"",C117:H117)),"")</f>
        <v/>
      </c>
      <c r="K117" s="10">
        <f>IFERROR(MATCH(I117,C117:H117,0),"")</f>
        <v/>
      </c>
      <c r="L117" s="10">
        <f>IF(OR(I117="",J117=""),"",ROUND((I117-J117)/I117*100,1))</f>
        <v/>
      </c>
      <c r="M117" s="10">
        <f>IF(L117="","",IF(L117&gt;=12,"是","否"))</f>
        <v/>
      </c>
      <c r="N117" s="10">
        <f>IF(J117="","",IF(J117&lt;0.15,"是","否"))</f>
        <v/>
      </c>
      <c r="O117" s="10">
        <f>IF(I117="","",IF(J117&lt;0.15,"SAFETY_STOP",IF(L117&gt;=12,"VL_THRESHOLD","PLANNED_END")))</f>
        <v/>
      </c>
      <c r="P117" s="10">
        <f>IF(I117="","",IF(I117&gt;($D$2+0.05),"+5kg",IF(I117&gt;($D$2+0.02),"+2.5kg",IF(I117&gt;=($D$2-0.05),"保持",IF(I117&gt;=($D$2-0.08),"-2.5kg","-5kg")))))</f>
        <v/>
      </c>
      <c r="Q117" s="9" t="n"/>
      <c r="R117" s="12" t="n"/>
      <c r="S117" s="12" t="n"/>
      <c r="T117" s="12" t="n"/>
    </row>
    <row r="118">
      <c r="A118" s="8" t="inlineStr">
        <is>
          <t>辅助动作</t>
        </is>
      </c>
      <c r="B118" s="8" t="inlineStr">
        <is>
          <t>动作名称</t>
        </is>
      </c>
      <c r="C118" s="8" t="inlineStr">
        <is>
          <t>负荷kg</t>
        </is>
      </c>
      <c r="D118" s="8" t="inlineStr">
        <is>
          <t>完成(组×次)</t>
        </is>
      </c>
    </row>
    <row r="119">
      <c r="A119" s="9" t="inlineStr"/>
      <c r="B119" s="9" t="n"/>
      <c r="C119" s="9" t="n"/>
      <c r="D119" s="9" t="n"/>
    </row>
    <row r="120">
      <c r="A120" s="8" t="inlineStr">
        <is>
          <t>训练后</t>
        </is>
      </c>
      <c r="B120" s="8" t="inlineStr">
        <is>
          <t>开始时间</t>
        </is>
      </c>
      <c r="C120" s="8" t="inlineStr">
        <is>
          <t>结束时间</t>
        </is>
      </c>
      <c r="D120" s="8" t="inlineStr">
        <is>
          <t>总时长min</t>
        </is>
      </c>
      <c r="E120" s="8" t="inlineStr">
        <is>
          <t>sRPE</t>
        </is>
      </c>
      <c r="F120" s="8" t="inlineStr">
        <is>
          <t>session_load</t>
        </is>
      </c>
      <c r="G120" s="8" t="inlineStr">
        <is>
          <t>有无不适</t>
        </is>
      </c>
      <c r="H120" s="8" t="inlineStr">
        <is>
          <t>备注</t>
        </is>
      </c>
      <c r="I120" s="8" t="inlineStr">
        <is>
          <t>研究员签名</t>
        </is>
      </c>
    </row>
    <row r="121">
      <c r="A121" s="13" t="inlineStr"/>
      <c r="B121" s="13" t="n"/>
      <c r="C121" s="13" t="n"/>
      <c r="D121" s="10">
        <f>IF(OR(B121="",C121=""),"",(C121-B121)*1440)</f>
        <v/>
      </c>
      <c r="E121" s="13" t="n"/>
      <c r="F121" s="10">
        <f>IF(OR(D121="",E121=""),"",D121*E121)</f>
        <v/>
      </c>
      <c r="G121" s="13" t="n"/>
      <c r="H121" s="13" t="n"/>
      <c r="I121" s="13" t="n"/>
    </row>
    <row r="123">
      <c r="A123" s="5" t="inlineStr">
        <is>
          <t>── P025 范芳忠 ──────────────────────────────────────────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7" t="n"/>
    </row>
    <row r="124">
      <c r="A124" s="8" t="inlineStr">
        <is>
          <t>编号</t>
        </is>
      </c>
      <c r="B124" s="8" t="inlineStr">
        <is>
          <t>姓名</t>
        </is>
      </c>
      <c r="C124" s="8" t="inlineStr">
        <is>
          <t>身高</t>
        </is>
      </c>
      <c r="D124" s="8" t="inlineStr">
        <is>
          <t>1RM</t>
        </is>
      </c>
      <c r="E124" s="8" t="inlineStr">
        <is>
          <t>睡眠</t>
        </is>
      </c>
      <c r="F124" s="8" t="inlineStr">
        <is>
          <t>压力</t>
        </is>
      </c>
      <c r="G124" s="8" t="inlineStr">
        <is>
          <t>疲劳</t>
        </is>
      </c>
      <c r="H124" s="8" t="inlineStr">
        <is>
          <t>酸痛</t>
        </is>
      </c>
      <c r="I124" s="8" t="inlineStr">
        <is>
          <t>Hooper总</t>
        </is>
      </c>
      <c r="J124" s="8" t="inlineStr">
        <is>
          <t>CMJ1</t>
        </is>
      </c>
      <c r="K124" s="8" t="inlineStr">
        <is>
          <t>CMJ2</t>
        </is>
      </c>
      <c r="L124" s="8" t="inlineStr">
        <is>
          <t>CMJ3</t>
        </is>
      </c>
      <c r="M124" s="8" t="inlineStr">
        <is>
          <t>CMJ均值</t>
        </is>
      </c>
      <c r="N124" s="8" t="inlineStr">
        <is>
          <t>&lt;95%?</t>
        </is>
      </c>
      <c r="O124" s="8" t="inlineStr">
        <is>
          <t>减组?</t>
        </is>
      </c>
      <c r="P124" s="8" t="inlineStr">
        <is>
          <t>实做组数</t>
        </is>
      </c>
      <c r="Q124" s="8" t="inlineStr">
        <is>
          <t>LVP_a</t>
        </is>
      </c>
      <c r="R124" s="8" t="inlineStr">
        <is>
          <t>LVP_b</t>
        </is>
      </c>
      <c r="S124" s="8" t="inlineStr">
        <is>
          <t>等级</t>
        </is>
      </c>
      <c r="T124" s="8" t="inlineStr">
        <is>
          <t>预测起始</t>
        </is>
      </c>
    </row>
    <row r="125">
      <c r="A125" s="9" t="inlineStr">
        <is>
          <t>P025</t>
        </is>
      </c>
      <c r="B125" s="9" t="inlineStr">
        <is>
          <t>范芳忠</t>
        </is>
      </c>
      <c r="C125" s="9" t="n">
        <v>178</v>
      </c>
      <c r="D125" s="9" t="n">
        <v>135</v>
      </c>
      <c r="E125" s="9" t="n"/>
      <c r="F125" s="9" t="n"/>
      <c r="G125" s="9" t="n"/>
      <c r="H125" s="9" t="n"/>
      <c r="I125" s="10">
        <f>IFERROR(SUM(E125:H125),"")</f>
        <v/>
      </c>
      <c r="J125" s="9" t="n"/>
      <c r="K125" s="9" t="n"/>
      <c r="L125" s="9" t="n"/>
      <c r="M125" s="10">
        <f>IFERROR(AVERAGE(J125:L125),"")</f>
        <v/>
      </c>
      <c r="N125" s="10">
        <f>IF(M125="","",IF(M125&lt;58.43,"是⚠","否"))</f>
        <v/>
      </c>
      <c r="O125" s="10">
        <f>IF(M125="","",IF(M125&lt;58.43,"减1组","正常"))</f>
        <v/>
      </c>
      <c r="P125" s="10">
        <f>IF(M125="","",IF(M125&lt;58.43,5-1,5))</f>
        <v/>
      </c>
      <c r="Q125" s="9" t="n">
        <v>1.77</v>
      </c>
      <c r="R125" s="9" t="n">
        <v>-0.0105</v>
      </c>
      <c r="S125" s="9" t="inlineStr">
        <is>
          <t>A</t>
        </is>
      </c>
      <c r="T125" s="10">
        <f>IFERROR(ROUND((0.75-1.77)/-0.0105,0.5),"")</f>
        <v/>
      </c>
    </row>
    <row r="126">
      <c r="A126" s="8" t="inlineStr">
        <is>
          <t>热身校准</t>
        </is>
      </c>
      <c r="B126" s="8" t="inlineStr">
        <is>
          <t>LVP_a</t>
        </is>
      </c>
      <c r="C126" s="8" t="inlineStr">
        <is>
          <t>LVP_b</t>
        </is>
      </c>
      <c r="D126" s="8" t="inlineStr">
        <is>
          <t>50%热身kg</t>
        </is>
      </c>
      <c r="E126" s="8" t="inlineStr">
        <is>
          <t>70%热身kg</t>
        </is>
      </c>
      <c r="F126" s="8" t="inlineStr">
        <is>
          <t>热身负荷kg</t>
        </is>
      </c>
      <c r="G126" s="8" t="inlineStr">
        <is>
          <t>实测MCV</t>
        </is>
      </c>
      <c r="H126" s="8" t="inlineStr">
        <is>
          <t>预测MCV</t>
        </is>
      </c>
      <c r="I126" s="8" t="inlineStr">
        <is>
          <t>Δv</t>
        </is>
      </c>
      <c r="J126" s="8" t="inlineStr">
        <is>
          <t>调整量kg</t>
        </is>
      </c>
      <c r="K126" s="8" t="inlineStr">
        <is>
          <t>校准后第1组kg</t>
        </is>
      </c>
    </row>
    <row r="127">
      <c r="A127" s="11" t="inlineStr"/>
      <c r="B127" s="11" t="n">
        <v>1.77</v>
      </c>
      <c r="C127" s="11" t="n">
        <v>-0.0105</v>
      </c>
      <c r="D127" s="10">
        <f>IFERROR(ROUND(T125*0.5,2.5),"")</f>
        <v/>
      </c>
      <c r="E127" s="10">
        <f>IFERROR(ROUND(T125*0.7,2.5),"")</f>
        <v/>
      </c>
      <c r="F127" s="10">
        <f>D127</f>
        <v/>
      </c>
      <c r="G127" s="9" t="n"/>
      <c r="H127" s="10">
        <f>IF(F127="","",B127+C127*F127)</f>
        <v/>
      </c>
      <c r="I127" s="10">
        <f>IF(OR(G127="",H127=""),"",G127-H127)</f>
        <v/>
      </c>
      <c r="J127" s="10">
        <f>IF(I127="","",IF(I127&gt;0.08,5,IF(I127&gt;0.04,2.5,IF(I127&gt;=-0.04,0,IF(I127&gt;=-0.08,-2.5,-5)))))</f>
        <v/>
      </c>
      <c r="K127" s="10">
        <f>IFERROR(ROUND(T125+J127,2.5),"")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8" t="inlineStr">
        <is>
          <t>组次</t>
        </is>
      </c>
      <c r="B128" s="8" t="inlineStr">
        <is>
          <t>负荷kg</t>
        </is>
      </c>
      <c r="C128" s="8" t="inlineStr">
        <is>
          <t>rep1</t>
        </is>
      </c>
      <c r="D128" s="8" t="inlineStr">
        <is>
          <t>rep2</t>
        </is>
      </c>
      <c r="E128" s="8" t="inlineStr">
        <is>
          <t>rep3</t>
        </is>
      </c>
      <c r="F128" s="8" t="inlineStr">
        <is>
          <t>rep4</t>
        </is>
      </c>
      <c r="G128" s="8" t="inlineStr">
        <is>
          <t>rep5</t>
        </is>
      </c>
      <c r="H128" s="8" t="inlineStr">
        <is>
          <t>rep6</t>
        </is>
      </c>
      <c r="I128" s="8" t="inlineStr">
        <is>
          <t>首rep</t>
        </is>
      </c>
      <c r="J128" s="8" t="inlineStr">
        <is>
          <t>最低速</t>
        </is>
      </c>
      <c r="K128" s="8" t="inlineStr">
        <is>
          <t>最低rep#</t>
        </is>
      </c>
      <c r="L128" s="8" t="inlineStr">
        <is>
          <t>VL%</t>
        </is>
      </c>
      <c r="M128" s="8" t="inlineStr">
        <is>
          <t>VL达标?</t>
        </is>
      </c>
      <c r="N128" s="8" t="inlineStr">
        <is>
          <t>安全停止?</t>
        </is>
      </c>
      <c r="O128" s="8" t="inlineStr">
        <is>
          <t>停组原因</t>
        </is>
      </c>
      <c r="P128" s="8" t="inlineStr">
        <is>
          <t>下组建议</t>
        </is>
      </c>
      <c r="Q128" s="8" t="inlineStr">
        <is>
          <t>实做次数</t>
        </is>
      </c>
    </row>
    <row r="129">
      <c r="A129" s="12" t="n">
        <v>1</v>
      </c>
      <c r="B129" s="10">
        <f>IF(K127="","",K127)</f>
        <v/>
      </c>
      <c r="C129" s="9" t="n"/>
      <c r="D129" s="9" t="n"/>
      <c r="E129" s="9" t="n"/>
      <c r="F129" s="9" t="n"/>
      <c r="G129" s="9" t="n"/>
      <c r="H129" s="9" t="n"/>
      <c r="I129" s="10">
        <f>IFERROR(INDEX(C129:H129,MATCH(TRUE,INDEX(C129:H129&lt;&gt;"",0),0)),"")</f>
        <v/>
      </c>
      <c r="J129" s="10">
        <f>IFERROR(MIN(IF(C129:H129&lt;&gt;"",C129:H129)),"")</f>
        <v/>
      </c>
      <c r="K129" s="10">
        <f>IFERROR(MATCH(I129,C129:H129,0),"")</f>
        <v/>
      </c>
      <c r="L129" s="10">
        <f>IF(OR(I129="",J129=""),"",ROUND((I129-J129)/I129*100,1))</f>
        <v/>
      </c>
      <c r="M129" s="10">
        <f>IF(L129="","",IF(L129&gt;=12,"是","否"))</f>
        <v/>
      </c>
      <c r="N129" s="10">
        <f>IF(J129="","",IF(J129&lt;0.15,"是","否"))</f>
        <v/>
      </c>
      <c r="O129" s="10">
        <f>IF(I129="","",IF(J129&lt;0.15,"SAFETY_STOP",IF(L129&gt;=12,"VL_THRESHOLD","PLANNED_END")))</f>
        <v/>
      </c>
      <c r="P129" s="10">
        <f>IF(I129="","",IF(I129&gt;($D$2+0.05),"+5kg",IF(I129&gt;($D$2+0.02),"+2.5kg",IF(I129&gt;=($D$2-0.05),"保持",IF(I129&gt;=($D$2-0.08),"-2.5kg","-5kg")))))</f>
        <v/>
      </c>
      <c r="Q129" s="9" t="n"/>
      <c r="R129" s="12" t="n"/>
      <c r="S129" s="12" t="n"/>
      <c r="T129" s="12" t="n"/>
    </row>
    <row r="130">
      <c r="A130" s="12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10">
        <f>IFERROR(INDEX(C130:H130,MATCH(TRUE,INDEX(C130:H130&lt;&gt;"",0),0)),"")</f>
        <v/>
      </c>
      <c r="J130" s="10">
        <f>IFERROR(MIN(IF(C130:H130&lt;&gt;"",C130:H130)),"")</f>
        <v/>
      </c>
      <c r="K130" s="10">
        <f>IFERROR(MATCH(I130,C130:H130,0),"")</f>
        <v/>
      </c>
      <c r="L130" s="10">
        <f>IF(OR(I130="",J130=""),"",ROUND((I130-J130)/I130*100,1))</f>
        <v/>
      </c>
      <c r="M130" s="10">
        <f>IF(L130="","",IF(L130&gt;=12,"是","否"))</f>
        <v/>
      </c>
      <c r="N130" s="10">
        <f>IF(J130="","",IF(J130&lt;0.15,"是","否"))</f>
        <v/>
      </c>
      <c r="O130" s="10">
        <f>IF(I130="","",IF(J130&lt;0.15,"SAFETY_STOP",IF(L130&gt;=12,"VL_THRESHOLD","PLANNED_END")))</f>
        <v/>
      </c>
      <c r="P130" s="10">
        <f>IF(I130="","",IF(I130&gt;($D$2+0.05),"+5kg",IF(I130&gt;($D$2+0.02),"+2.5kg",IF(I130&gt;=($D$2-0.05),"保持",IF(I130&gt;=($D$2-0.08),"-2.5kg","-5kg")))))</f>
        <v/>
      </c>
      <c r="Q130" s="9" t="n"/>
      <c r="R130" s="12" t="n"/>
      <c r="S130" s="12" t="n"/>
      <c r="T130" s="12" t="n"/>
    </row>
    <row r="131">
      <c r="A131" s="12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10">
        <f>IFERROR(INDEX(C131:H131,MATCH(TRUE,INDEX(C131:H131&lt;&gt;"",0),0)),"")</f>
        <v/>
      </c>
      <c r="J131" s="10">
        <f>IFERROR(MIN(IF(C131:H131&lt;&gt;"",C131:H131)),"")</f>
        <v/>
      </c>
      <c r="K131" s="10">
        <f>IFERROR(MATCH(I131,C131:H131,0),"")</f>
        <v/>
      </c>
      <c r="L131" s="10">
        <f>IF(OR(I131="",J131=""),"",ROUND((I131-J131)/I131*100,1))</f>
        <v/>
      </c>
      <c r="M131" s="10">
        <f>IF(L131="","",IF(L131&gt;=12,"是","否"))</f>
        <v/>
      </c>
      <c r="N131" s="10">
        <f>IF(J131="","",IF(J131&lt;0.15,"是","否"))</f>
        <v/>
      </c>
      <c r="O131" s="10">
        <f>IF(I131="","",IF(J131&lt;0.15,"SAFETY_STOP",IF(L131&gt;=12,"VL_THRESHOLD","PLANNED_END")))</f>
        <v/>
      </c>
      <c r="P131" s="10">
        <f>IF(I131="","",IF(I131&gt;($D$2+0.05),"+5kg",IF(I131&gt;($D$2+0.02),"+2.5kg",IF(I131&gt;=($D$2-0.05),"保持",IF(I131&gt;=($D$2-0.08),"-2.5kg","-5kg")))))</f>
        <v/>
      </c>
      <c r="Q131" s="9" t="n"/>
      <c r="R131" s="12" t="n"/>
      <c r="S131" s="12" t="n"/>
      <c r="T131" s="12" t="n"/>
    </row>
    <row r="132">
      <c r="A132" s="12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10">
        <f>IFERROR(INDEX(C132:H132,MATCH(TRUE,INDEX(C132:H132&lt;&gt;"",0),0)),"")</f>
        <v/>
      </c>
      <c r="J132" s="10">
        <f>IFERROR(MIN(IF(C132:H132&lt;&gt;"",C132:H132)),"")</f>
        <v/>
      </c>
      <c r="K132" s="10">
        <f>IFERROR(MATCH(I132,C132:H132,0),"")</f>
        <v/>
      </c>
      <c r="L132" s="10">
        <f>IF(OR(I132="",J132=""),"",ROUND((I132-J132)/I132*100,1))</f>
        <v/>
      </c>
      <c r="M132" s="10">
        <f>IF(L132="","",IF(L132&gt;=12,"是","否"))</f>
        <v/>
      </c>
      <c r="N132" s="10">
        <f>IF(J132="","",IF(J132&lt;0.15,"是","否"))</f>
        <v/>
      </c>
      <c r="O132" s="10">
        <f>IF(I132="","",IF(J132&lt;0.15,"SAFETY_STOP",IF(L132&gt;=12,"VL_THRESHOLD","PLANNED_END")))</f>
        <v/>
      </c>
      <c r="P132" s="10">
        <f>IF(I132="","",IF(I132&gt;($D$2+0.05),"+5kg",IF(I132&gt;($D$2+0.02),"+2.5kg",IF(I132&gt;=($D$2-0.05),"保持",IF(I132&gt;=($D$2-0.08),"-2.5kg","-5kg")))))</f>
        <v/>
      </c>
      <c r="Q132" s="9" t="n"/>
      <c r="R132" s="12" t="n"/>
      <c r="S132" s="12" t="n"/>
      <c r="T132" s="12" t="n"/>
    </row>
    <row r="133">
      <c r="A133" s="12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10">
        <f>IFERROR(INDEX(C133:H133,MATCH(TRUE,INDEX(C133:H133&lt;&gt;"",0),0)),"")</f>
        <v/>
      </c>
      <c r="J133" s="10">
        <f>IFERROR(MIN(IF(C133:H133&lt;&gt;"",C133:H133)),"")</f>
        <v/>
      </c>
      <c r="K133" s="10">
        <f>IFERROR(MATCH(I133,C133:H133,0),"")</f>
        <v/>
      </c>
      <c r="L133" s="10">
        <f>IF(OR(I133="",J133=""),"",ROUND((I133-J133)/I133*100,1))</f>
        <v/>
      </c>
      <c r="M133" s="10">
        <f>IF(L133="","",IF(L133&gt;=12,"是","否"))</f>
        <v/>
      </c>
      <c r="N133" s="10">
        <f>IF(J133="","",IF(J133&lt;0.15,"是","否"))</f>
        <v/>
      </c>
      <c r="O133" s="10">
        <f>IF(I133="","",IF(J133&lt;0.15,"SAFETY_STOP",IF(L133&gt;=12,"VL_THRESHOLD","PLANNED_END")))</f>
        <v/>
      </c>
      <c r="P133" s="10">
        <f>IF(I133="","",IF(I133&gt;($D$2+0.05),"+5kg",IF(I133&gt;($D$2+0.02),"+2.5kg",IF(I133&gt;=($D$2-0.05),"保持",IF(I133&gt;=($D$2-0.08),"-2.5kg","-5kg")))))</f>
        <v/>
      </c>
      <c r="Q133" s="9" t="n"/>
      <c r="R133" s="12" t="n"/>
      <c r="S133" s="12" t="n"/>
      <c r="T133" s="12" t="n"/>
    </row>
    <row r="134">
      <c r="A134" s="12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10">
        <f>IFERROR(INDEX(C134:H134,MATCH(TRUE,INDEX(C134:H134&lt;&gt;"",0),0)),"")</f>
        <v/>
      </c>
      <c r="J134" s="10">
        <f>IFERROR(MIN(IF(C134:H134&lt;&gt;"",C134:H134)),"")</f>
        <v/>
      </c>
      <c r="K134" s="10">
        <f>IFERROR(MATCH(I134,C134:H134,0),"")</f>
        <v/>
      </c>
      <c r="L134" s="10">
        <f>IF(OR(I134="",J134=""),"",ROUND((I134-J134)/I134*100,1))</f>
        <v/>
      </c>
      <c r="M134" s="10">
        <f>IF(L134="","",IF(L134&gt;=12,"是","否"))</f>
        <v/>
      </c>
      <c r="N134" s="10">
        <f>IF(J134="","",IF(J134&lt;0.15,"是","否"))</f>
        <v/>
      </c>
      <c r="O134" s="10">
        <f>IF(I134="","",IF(J134&lt;0.15,"SAFETY_STOP",IF(L134&gt;=12,"VL_THRESHOLD","PLANNED_END")))</f>
        <v/>
      </c>
      <c r="P134" s="10">
        <f>IF(I134="","",IF(I134&gt;($D$2+0.05),"+5kg",IF(I134&gt;($D$2+0.02),"+2.5kg",IF(I134&gt;=($D$2-0.05),"保持",IF(I134&gt;=($D$2-0.08),"-2.5kg","-5kg")))))</f>
        <v/>
      </c>
      <c r="Q134" s="9" t="n"/>
      <c r="R134" s="12" t="n"/>
      <c r="S134" s="12" t="n"/>
      <c r="T134" s="12" t="n"/>
    </row>
    <row r="135">
      <c r="A135" s="8" t="inlineStr">
        <is>
          <t>辅助动作</t>
        </is>
      </c>
      <c r="B135" s="8" t="inlineStr">
        <is>
          <t>动作名称</t>
        </is>
      </c>
      <c r="C135" s="8" t="inlineStr">
        <is>
          <t>负荷kg</t>
        </is>
      </c>
      <c r="D135" s="8" t="inlineStr">
        <is>
          <t>完成(组×次)</t>
        </is>
      </c>
    </row>
    <row r="136">
      <c r="A136" s="9" t="inlineStr"/>
      <c r="B136" s="9" t="n"/>
      <c r="C136" s="9" t="n"/>
      <c r="D136" s="9" t="n"/>
    </row>
    <row r="137">
      <c r="A137" s="8" t="inlineStr">
        <is>
          <t>训练后</t>
        </is>
      </c>
      <c r="B137" s="8" t="inlineStr">
        <is>
          <t>开始时间</t>
        </is>
      </c>
      <c r="C137" s="8" t="inlineStr">
        <is>
          <t>结束时间</t>
        </is>
      </c>
      <c r="D137" s="8" t="inlineStr">
        <is>
          <t>总时长min</t>
        </is>
      </c>
      <c r="E137" s="8" t="inlineStr">
        <is>
          <t>sRPE</t>
        </is>
      </c>
      <c r="F137" s="8" t="inlineStr">
        <is>
          <t>session_load</t>
        </is>
      </c>
      <c r="G137" s="8" t="inlineStr">
        <is>
          <t>有无不适</t>
        </is>
      </c>
      <c r="H137" s="8" t="inlineStr">
        <is>
          <t>备注</t>
        </is>
      </c>
      <c r="I137" s="8" t="inlineStr">
        <is>
          <t>研究员签名</t>
        </is>
      </c>
    </row>
    <row r="138">
      <c r="A138" s="13" t="inlineStr"/>
      <c r="B138" s="13" t="n"/>
      <c r="C138" s="13" t="n"/>
      <c r="D138" s="10">
        <f>IF(OR(B138="",C138=""),"",(C138-B138)*1440)</f>
        <v/>
      </c>
      <c r="E138" s="13" t="n"/>
      <c r="F138" s="10">
        <f>IF(OR(D138="",E138=""),"",D138*E138)</f>
        <v/>
      </c>
      <c r="G138" s="13" t="n"/>
      <c r="H138" s="13" t="n"/>
      <c r="I138" s="13" t="n"/>
    </row>
    <row r="140">
      <c r="A140" s="5" t="inlineStr">
        <is>
          <t>── P018 孟维宇 ──────────────────────────────────────────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7" t="n"/>
    </row>
    <row r="141">
      <c r="A141" s="8" t="inlineStr">
        <is>
          <t>编号</t>
        </is>
      </c>
      <c r="B141" s="8" t="inlineStr">
        <is>
          <t>姓名</t>
        </is>
      </c>
      <c r="C141" s="8" t="inlineStr">
        <is>
          <t>身高</t>
        </is>
      </c>
      <c r="D141" s="8" t="inlineStr">
        <is>
          <t>1RM</t>
        </is>
      </c>
      <c r="E141" s="8" t="inlineStr">
        <is>
          <t>睡眠</t>
        </is>
      </c>
      <c r="F141" s="8" t="inlineStr">
        <is>
          <t>压力</t>
        </is>
      </c>
      <c r="G141" s="8" t="inlineStr">
        <is>
          <t>疲劳</t>
        </is>
      </c>
      <c r="H141" s="8" t="inlineStr">
        <is>
          <t>酸痛</t>
        </is>
      </c>
      <c r="I141" s="8" t="inlineStr">
        <is>
          <t>Hooper总</t>
        </is>
      </c>
      <c r="J141" s="8" t="inlineStr">
        <is>
          <t>CMJ1</t>
        </is>
      </c>
      <c r="K141" s="8" t="inlineStr">
        <is>
          <t>CMJ2</t>
        </is>
      </c>
      <c r="L141" s="8" t="inlineStr">
        <is>
          <t>CMJ3</t>
        </is>
      </c>
      <c r="M141" s="8" t="inlineStr">
        <is>
          <t>CMJ均值</t>
        </is>
      </c>
      <c r="N141" s="8" t="inlineStr">
        <is>
          <t>&lt;95%?</t>
        </is>
      </c>
      <c r="O141" s="8" t="inlineStr">
        <is>
          <t>减组?</t>
        </is>
      </c>
      <c r="P141" s="8" t="inlineStr">
        <is>
          <t>实做组数</t>
        </is>
      </c>
      <c r="Q141" s="8" t="inlineStr">
        <is>
          <t>LVP_a</t>
        </is>
      </c>
      <c r="R141" s="8" t="inlineStr">
        <is>
          <t>LVP_b</t>
        </is>
      </c>
      <c r="S141" s="8" t="inlineStr">
        <is>
          <t>等级</t>
        </is>
      </c>
      <c r="T141" s="8" t="inlineStr">
        <is>
          <t>预测起始</t>
        </is>
      </c>
    </row>
    <row r="142">
      <c r="A142" s="9" t="inlineStr">
        <is>
          <t>P018</t>
        </is>
      </c>
      <c r="B142" s="9" t="inlineStr">
        <is>
          <t>孟维宇</t>
        </is>
      </c>
      <c r="C142" s="9" t="n">
        <v>173</v>
      </c>
      <c r="D142" s="9" t="n">
        <v>122.5</v>
      </c>
      <c r="E142" s="9" t="n"/>
      <c r="F142" s="9" t="n"/>
      <c r="G142" s="9" t="n"/>
      <c r="H142" s="9" t="n"/>
      <c r="I142" s="10">
        <f>IFERROR(SUM(E142:H142),"")</f>
        <v/>
      </c>
      <c r="J142" s="9" t="n"/>
      <c r="K142" s="9" t="n"/>
      <c r="L142" s="9" t="n"/>
      <c r="M142" s="10">
        <f>IFERROR(AVERAGE(J142:L142),"")</f>
        <v/>
      </c>
      <c r="N142" s="10">
        <f>IF(M142="","",IF(M142&lt;52.6,"是⚠","否"))</f>
        <v/>
      </c>
      <c r="O142" s="10">
        <f>IF(M142="","",IF(M142&lt;52.6,"减1组","正常"))</f>
        <v/>
      </c>
      <c r="P142" s="10">
        <f>IF(M142="","",IF(M142&lt;52.6,5-1,5))</f>
        <v/>
      </c>
      <c r="Q142" s="9" t="n">
        <v>1.71</v>
      </c>
      <c r="R142" s="9" t="n">
        <v>-0.0105</v>
      </c>
      <c r="S142" s="9" t="inlineStr">
        <is>
          <t>B</t>
        </is>
      </c>
      <c r="T142" s="10">
        <f>IFERROR(ROUND((0.75-1.71)/-0.0105,0.5),"")</f>
        <v/>
      </c>
    </row>
    <row r="143">
      <c r="A143" s="8" t="inlineStr">
        <is>
          <t>热身校准</t>
        </is>
      </c>
      <c r="B143" s="8" t="inlineStr">
        <is>
          <t>LVP_a</t>
        </is>
      </c>
      <c r="C143" s="8" t="inlineStr">
        <is>
          <t>LVP_b</t>
        </is>
      </c>
      <c r="D143" s="8" t="inlineStr">
        <is>
          <t>50%热身kg</t>
        </is>
      </c>
      <c r="E143" s="8" t="inlineStr">
        <is>
          <t>70%热身kg</t>
        </is>
      </c>
      <c r="F143" s="8" t="inlineStr">
        <is>
          <t>热身负荷kg</t>
        </is>
      </c>
      <c r="G143" s="8" t="inlineStr">
        <is>
          <t>实测MCV</t>
        </is>
      </c>
      <c r="H143" s="8" t="inlineStr">
        <is>
          <t>预测MCV</t>
        </is>
      </c>
      <c r="I143" s="8" t="inlineStr">
        <is>
          <t>Δv</t>
        </is>
      </c>
      <c r="J143" s="8" t="inlineStr">
        <is>
          <t>调整量kg</t>
        </is>
      </c>
      <c r="K143" s="8" t="inlineStr">
        <is>
          <t>校准后第1组kg</t>
        </is>
      </c>
    </row>
    <row r="144">
      <c r="A144" s="11" t="inlineStr"/>
      <c r="B144" s="11" t="n">
        <v>1.71</v>
      </c>
      <c r="C144" s="11" t="n">
        <v>-0.0105</v>
      </c>
      <c r="D144" s="10">
        <f>IFERROR(ROUND(T142*0.5,2.5),"")</f>
        <v/>
      </c>
      <c r="E144" s="10">
        <f>IFERROR(ROUND(T142*0.7,2.5),"")</f>
        <v/>
      </c>
      <c r="F144" s="10">
        <f>D144</f>
        <v/>
      </c>
      <c r="G144" s="9" t="n"/>
      <c r="H144" s="10">
        <f>IF(F144="","",B144+C144*F144)</f>
        <v/>
      </c>
      <c r="I144" s="10">
        <f>IF(OR(G144="",H144=""),"",G144-H144)</f>
        <v/>
      </c>
      <c r="J144" s="10">
        <f>IF(I144="","",IF(I144&gt;0.08,5,IF(I144&gt;0.04,2.5,IF(I144&gt;=-0.04,0,IF(I144&gt;=-0.08,-2.5,-5)))))</f>
        <v/>
      </c>
      <c r="K144" s="10">
        <f>IFERROR(ROUND(T142+J144,2.5),"")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8" t="inlineStr">
        <is>
          <t>组次</t>
        </is>
      </c>
      <c r="B145" s="8" t="inlineStr">
        <is>
          <t>负荷kg</t>
        </is>
      </c>
      <c r="C145" s="8" t="inlineStr">
        <is>
          <t>rep1</t>
        </is>
      </c>
      <c r="D145" s="8" t="inlineStr">
        <is>
          <t>rep2</t>
        </is>
      </c>
      <c r="E145" s="8" t="inlineStr">
        <is>
          <t>rep3</t>
        </is>
      </c>
      <c r="F145" s="8" t="inlineStr">
        <is>
          <t>rep4</t>
        </is>
      </c>
      <c r="G145" s="8" t="inlineStr">
        <is>
          <t>rep5</t>
        </is>
      </c>
      <c r="H145" s="8" t="inlineStr">
        <is>
          <t>rep6</t>
        </is>
      </c>
      <c r="I145" s="8" t="inlineStr">
        <is>
          <t>首rep</t>
        </is>
      </c>
      <c r="J145" s="8" t="inlineStr">
        <is>
          <t>最低速</t>
        </is>
      </c>
      <c r="K145" s="8" t="inlineStr">
        <is>
          <t>最低rep#</t>
        </is>
      </c>
      <c r="L145" s="8" t="inlineStr">
        <is>
          <t>VL%</t>
        </is>
      </c>
      <c r="M145" s="8" t="inlineStr">
        <is>
          <t>VL达标?</t>
        </is>
      </c>
      <c r="N145" s="8" t="inlineStr">
        <is>
          <t>安全停止?</t>
        </is>
      </c>
      <c r="O145" s="8" t="inlineStr">
        <is>
          <t>停组原因</t>
        </is>
      </c>
      <c r="P145" s="8" t="inlineStr">
        <is>
          <t>下组建议</t>
        </is>
      </c>
      <c r="Q145" s="8" t="inlineStr">
        <is>
          <t>实做次数</t>
        </is>
      </c>
    </row>
    <row r="146">
      <c r="A146" s="12" t="n">
        <v>1</v>
      </c>
      <c r="B146" s="10">
        <f>IF(K144="","",K144)</f>
        <v/>
      </c>
      <c r="C146" s="9" t="n"/>
      <c r="D146" s="9" t="n"/>
      <c r="E146" s="9" t="n"/>
      <c r="F146" s="9" t="n"/>
      <c r="G146" s="9" t="n"/>
      <c r="H146" s="9" t="n"/>
      <c r="I146" s="10">
        <f>IFERROR(INDEX(C146:H146,MATCH(TRUE,INDEX(C146:H146&lt;&gt;"",0),0)),"")</f>
        <v/>
      </c>
      <c r="J146" s="10">
        <f>IFERROR(MIN(IF(C146:H146&lt;&gt;"",C146:H146)),"")</f>
        <v/>
      </c>
      <c r="K146" s="10">
        <f>IFERROR(MATCH(I146,C146:H146,0),"")</f>
        <v/>
      </c>
      <c r="L146" s="10">
        <f>IF(OR(I146="",J146=""),"",ROUND((I146-J146)/I146*100,1))</f>
        <v/>
      </c>
      <c r="M146" s="10">
        <f>IF(L146="","",IF(L146&gt;=12,"是","否"))</f>
        <v/>
      </c>
      <c r="N146" s="10">
        <f>IF(J146="","",IF(J146&lt;0.15,"是","否"))</f>
        <v/>
      </c>
      <c r="O146" s="10">
        <f>IF(I146="","",IF(J146&lt;0.15,"SAFETY_STOP",IF(L146&gt;=12,"VL_THRESHOLD","PLANNED_END")))</f>
        <v/>
      </c>
      <c r="P146" s="10">
        <f>IF(I146="","",IF(I146&gt;($D$2+0.05),"+5kg",IF(I146&gt;($D$2+0.02),"+2.5kg",IF(I146&gt;=($D$2-0.05),"保持",IF(I146&gt;=($D$2-0.08),"-2.5kg","-5kg")))))</f>
        <v/>
      </c>
      <c r="Q146" s="9" t="n"/>
      <c r="R146" s="12" t="n"/>
      <c r="S146" s="12" t="n"/>
      <c r="T146" s="12" t="n"/>
    </row>
    <row r="147">
      <c r="A147" s="12" t="n">
        <v>2</v>
      </c>
      <c r="B147" s="9" t="n"/>
      <c r="C147" s="9" t="n"/>
      <c r="D147" s="9" t="n"/>
      <c r="E147" s="9" t="n"/>
      <c r="F147" s="9" t="n"/>
      <c r="G147" s="9" t="n"/>
      <c r="H147" s="9" t="n"/>
      <c r="I147" s="10">
        <f>IFERROR(INDEX(C147:H147,MATCH(TRUE,INDEX(C147:H147&lt;&gt;"",0),0)),"")</f>
        <v/>
      </c>
      <c r="J147" s="10">
        <f>IFERROR(MIN(IF(C147:H147&lt;&gt;"",C147:H147)),"")</f>
        <v/>
      </c>
      <c r="K147" s="10">
        <f>IFERROR(MATCH(I147,C147:H147,0),"")</f>
        <v/>
      </c>
      <c r="L147" s="10">
        <f>IF(OR(I147="",J147=""),"",ROUND((I147-J147)/I147*100,1))</f>
        <v/>
      </c>
      <c r="M147" s="10">
        <f>IF(L147="","",IF(L147&gt;=12,"是","否"))</f>
        <v/>
      </c>
      <c r="N147" s="10">
        <f>IF(J147="","",IF(J147&lt;0.15,"是","否"))</f>
        <v/>
      </c>
      <c r="O147" s="10">
        <f>IF(I147="","",IF(J147&lt;0.15,"SAFETY_STOP",IF(L147&gt;=12,"VL_THRESHOLD","PLANNED_END")))</f>
        <v/>
      </c>
      <c r="P147" s="10">
        <f>IF(I147="","",IF(I147&gt;($D$2+0.05),"+5kg",IF(I147&gt;($D$2+0.02),"+2.5kg",IF(I147&gt;=($D$2-0.05),"保持",IF(I147&gt;=($D$2-0.08),"-2.5kg","-5kg")))))</f>
        <v/>
      </c>
      <c r="Q147" s="9" t="n"/>
      <c r="R147" s="12" t="n"/>
      <c r="S147" s="12" t="n"/>
      <c r="T147" s="12" t="n"/>
    </row>
    <row r="148">
      <c r="A148" s="12" t="n">
        <v>3</v>
      </c>
      <c r="B148" s="9" t="n"/>
      <c r="C148" s="9" t="n"/>
      <c r="D148" s="9" t="n"/>
      <c r="E148" s="9" t="n"/>
      <c r="F148" s="9" t="n"/>
      <c r="G148" s="9" t="n"/>
      <c r="H148" s="9" t="n"/>
      <c r="I148" s="10">
        <f>IFERROR(INDEX(C148:H148,MATCH(TRUE,INDEX(C148:H148&lt;&gt;"",0),0)),"")</f>
        <v/>
      </c>
      <c r="J148" s="10">
        <f>IFERROR(MIN(IF(C148:H148&lt;&gt;"",C148:H148)),"")</f>
        <v/>
      </c>
      <c r="K148" s="10">
        <f>IFERROR(MATCH(I148,C148:H148,0),"")</f>
        <v/>
      </c>
      <c r="L148" s="10">
        <f>IF(OR(I148="",J148=""),"",ROUND((I148-J148)/I148*100,1))</f>
        <v/>
      </c>
      <c r="M148" s="10">
        <f>IF(L148="","",IF(L148&gt;=12,"是","否"))</f>
        <v/>
      </c>
      <c r="N148" s="10">
        <f>IF(J148="","",IF(J148&lt;0.15,"是","否"))</f>
        <v/>
      </c>
      <c r="O148" s="10">
        <f>IF(I148="","",IF(J148&lt;0.15,"SAFETY_STOP",IF(L148&gt;=12,"VL_THRESHOLD","PLANNED_END")))</f>
        <v/>
      </c>
      <c r="P148" s="10">
        <f>IF(I148="","",IF(I148&gt;($D$2+0.05),"+5kg",IF(I148&gt;($D$2+0.02),"+2.5kg",IF(I148&gt;=($D$2-0.05),"保持",IF(I148&gt;=($D$2-0.08),"-2.5kg","-5kg")))))</f>
        <v/>
      </c>
      <c r="Q148" s="9" t="n"/>
      <c r="R148" s="12" t="n"/>
      <c r="S148" s="12" t="n"/>
      <c r="T148" s="12" t="n"/>
    </row>
    <row r="149">
      <c r="A149" s="12" t="n">
        <v>4</v>
      </c>
      <c r="B149" s="9" t="n"/>
      <c r="C149" s="9" t="n"/>
      <c r="D149" s="9" t="n"/>
      <c r="E149" s="9" t="n"/>
      <c r="F149" s="9" t="n"/>
      <c r="G149" s="9" t="n"/>
      <c r="H149" s="9" t="n"/>
      <c r="I149" s="10">
        <f>IFERROR(INDEX(C149:H149,MATCH(TRUE,INDEX(C149:H149&lt;&gt;"",0),0)),"")</f>
        <v/>
      </c>
      <c r="J149" s="10">
        <f>IFERROR(MIN(IF(C149:H149&lt;&gt;"",C149:H149)),"")</f>
        <v/>
      </c>
      <c r="K149" s="10">
        <f>IFERROR(MATCH(I149,C149:H149,0),"")</f>
        <v/>
      </c>
      <c r="L149" s="10">
        <f>IF(OR(I149="",J149=""),"",ROUND((I149-J149)/I149*100,1))</f>
        <v/>
      </c>
      <c r="M149" s="10">
        <f>IF(L149="","",IF(L149&gt;=12,"是","否"))</f>
        <v/>
      </c>
      <c r="N149" s="10">
        <f>IF(J149="","",IF(J149&lt;0.15,"是","否"))</f>
        <v/>
      </c>
      <c r="O149" s="10">
        <f>IF(I149="","",IF(J149&lt;0.15,"SAFETY_STOP",IF(L149&gt;=12,"VL_THRESHOLD","PLANNED_END")))</f>
        <v/>
      </c>
      <c r="P149" s="10">
        <f>IF(I149="","",IF(I149&gt;($D$2+0.05),"+5kg",IF(I149&gt;($D$2+0.02),"+2.5kg",IF(I149&gt;=($D$2-0.05),"保持",IF(I149&gt;=($D$2-0.08),"-2.5kg","-5kg")))))</f>
        <v/>
      </c>
      <c r="Q149" s="9" t="n"/>
      <c r="R149" s="12" t="n"/>
      <c r="S149" s="12" t="n"/>
      <c r="T149" s="12" t="n"/>
    </row>
    <row r="150">
      <c r="A150" s="12" t="n">
        <v>5</v>
      </c>
      <c r="B150" s="9" t="n"/>
      <c r="C150" s="9" t="n"/>
      <c r="D150" s="9" t="n"/>
      <c r="E150" s="9" t="n"/>
      <c r="F150" s="9" t="n"/>
      <c r="G150" s="9" t="n"/>
      <c r="H150" s="9" t="n"/>
      <c r="I150" s="10">
        <f>IFERROR(INDEX(C150:H150,MATCH(TRUE,INDEX(C150:H150&lt;&gt;"",0),0)),"")</f>
        <v/>
      </c>
      <c r="J150" s="10">
        <f>IFERROR(MIN(IF(C150:H150&lt;&gt;"",C150:H150)),"")</f>
        <v/>
      </c>
      <c r="K150" s="10">
        <f>IFERROR(MATCH(I150,C150:H150,0),"")</f>
        <v/>
      </c>
      <c r="L150" s="10">
        <f>IF(OR(I150="",J150=""),"",ROUND((I150-J150)/I150*100,1))</f>
        <v/>
      </c>
      <c r="M150" s="10">
        <f>IF(L150="","",IF(L150&gt;=12,"是","否"))</f>
        <v/>
      </c>
      <c r="N150" s="10">
        <f>IF(J150="","",IF(J150&lt;0.15,"是","否"))</f>
        <v/>
      </c>
      <c r="O150" s="10">
        <f>IF(I150="","",IF(J150&lt;0.15,"SAFETY_STOP",IF(L150&gt;=12,"VL_THRESHOLD","PLANNED_END")))</f>
        <v/>
      </c>
      <c r="P150" s="10">
        <f>IF(I150="","",IF(I150&gt;($D$2+0.05),"+5kg",IF(I150&gt;($D$2+0.02),"+2.5kg",IF(I150&gt;=($D$2-0.05),"保持",IF(I150&gt;=($D$2-0.08),"-2.5kg","-5kg")))))</f>
        <v/>
      </c>
      <c r="Q150" s="9" t="n"/>
      <c r="R150" s="12" t="n"/>
      <c r="S150" s="12" t="n"/>
      <c r="T150" s="12" t="n"/>
    </row>
    <row r="151">
      <c r="A151" s="12" t="n">
        <v>6</v>
      </c>
      <c r="B151" s="9" t="n"/>
      <c r="C151" s="9" t="n"/>
      <c r="D151" s="9" t="n"/>
      <c r="E151" s="9" t="n"/>
      <c r="F151" s="9" t="n"/>
      <c r="G151" s="9" t="n"/>
      <c r="H151" s="9" t="n"/>
      <c r="I151" s="10">
        <f>IFERROR(INDEX(C151:H151,MATCH(TRUE,INDEX(C151:H151&lt;&gt;"",0),0)),"")</f>
        <v/>
      </c>
      <c r="J151" s="10">
        <f>IFERROR(MIN(IF(C151:H151&lt;&gt;"",C151:H151)),"")</f>
        <v/>
      </c>
      <c r="K151" s="10">
        <f>IFERROR(MATCH(I151,C151:H151,0),"")</f>
        <v/>
      </c>
      <c r="L151" s="10">
        <f>IF(OR(I151="",J151=""),"",ROUND((I151-J151)/I151*100,1))</f>
        <v/>
      </c>
      <c r="M151" s="10">
        <f>IF(L151="","",IF(L151&gt;=12,"是","否"))</f>
        <v/>
      </c>
      <c r="N151" s="10">
        <f>IF(J151="","",IF(J151&lt;0.15,"是","否"))</f>
        <v/>
      </c>
      <c r="O151" s="10">
        <f>IF(I151="","",IF(J151&lt;0.15,"SAFETY_STOP",IF(L151&gt;=12,"VL_THRESHOLD","PLANNED_END")))</f>
        <v/>
      </c>
      <c r="P151" s="10">
        <f>IF(I151="","",IF(I151&gt;($D$2+0.05),"+5kg",IF(I151&gt;($D$2+0.02),"+2.5kg",IF(I151&gt;=($D$2-0.05),"保持",IF(I151&gt;=($D$2-0.08),"-2.5kg","-5kg")))))</f>
        <v/>
      </c>
      <c r="Q151" s="9" t="n"/>
      <c r="R151" s="12" t="n"/>
      <c r="S151" s="12" t="n"/>
      <c r="T151" s="12" t="n"/>
    </row>
    <row r="152">
      <c r="A152" s="8" t="inlineStr">
        <is>
          <t>辅助动作</t>
        </is>
      </c>
      <c r="B152" s="8" t="inlineStr">
        <is>
          <t>动作名称</t>
        </is>
      </c>
      <c r="C152" s="8" t="inlineStr">
        <is>
          <t>负荷kg</t>
        </is>
      </c>
      <c r="D152" s="8" t="inlineStr">
        <is>
          <t>完成(组×次)</t>
        </is>
      </c>
    </row>
    <row r="153">
      <c r="A153" s="9" t="inlineStr"/>
      <c r="B153" s="9" t="n"/>
      <c r="C153" s="9" t="n"/>
      <c r="D153" s="9" t="n"/>
    </row>
    <row r="154">
      <c r="A154" s="8" t="inlineStr">
        <is>
          <t>训练后</t>
        </is>
      </c>
      <c r="B154" s="8" t="inlineStr">
        <is>
          <t>开始时间</t>
        </is>
      </c>
      <c r="C154" s="8" t="inlineStr">
        <is>
          <t>结束时间</t>
        </is>
      </c>
      <c r="D154" s="8" t="inlineStr">
        <is>
          <t>总时长min</t>
        </is>
      </c>
      <c r="E154" s="8" t="inlineStr">
        <is>
          <t>sRPE</t>
        </is>
      </c>
      <c r="F154" s="8" t="inlineStr">
        <is>
          <t>session_load</t>
        </is>
      </c>
      <c r="G154" s="8" t="inlineStr">
        <is>
          <t>有无不适</t>
        </is>
      </c>
      <c r="H154" s="8" t="inlineStr">
        <is>
          <t>备注</t>
        </is>
      </c>
      <c r="I154" s="8" t="inlineStr">
        <is>
          <t>研究员签名</t>
        </is>
      </c>
    </row>
    <row r="155">
      <c r="A155" s="13" t="inlineStr"/>
      <c r="B155" s="13" t="n"/>
      <c r="C155" s="13" t="n"/>
      <c r="D155" s="10">
        <f>IF(OR(B155="",C155=""),"",(C155-B155)*1440)</f>
        <v/>
      </c>
      <c r="E155" s="13" t="n"/>
      <c r="F155" s="10">
        <f>IF(OR(D155="",E155=""),"",D155*E155)</f>
        <v/>
      </c>
      <c r="G155" s="13" t="n"/>
      <c r="H155" s="13" t="n"/>
      <c r="I155" s="13" t="n"/>
    </row>
    <row r="157">
      <c r="A157" s="5" t="inlineStr">
        <is>
          <t>── P026 古翔宇 ──────────────────────────────────────────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7" t="n"/>
    </row>
    <row r="158">
      <c r="A158" s="8" t="inlineStr">
        <is>
          <t>编号</t>
        </is>
      </c>
      <c r="B158" s="8" t="inlineStr">
        <is>
          <t>姓名</t>
        </is>
      </c>
      <c r="C158" s="8" t="inlineStr">
        <is>
          <t>身高</t>
        </is>
      </c>
      <c r="D158" s="8" t="inlineStr">
        <is>
          <t>1RM</t>
        </is>
      </c>
      <c r="E158" s="8" t="inlineStr">
        <is>
          <t>睡眠</t>
        </is>
      </c>
      <c r="F158" s="8" t="inlineStr">
        <is>
          <t>压力</t>
        </is>
      </c>
      <c r="G158" s="8" t="inlineStr">
        <is>
          <t>疲劳</t>
        </is>
      </c>
      <c r="H158" s="8" t="inlineStr">
        <is>
          <t>酸痛</t>
        </is>
      </c>
      <c r="I158" s="8" t="inlineStr">
        <is>
          <t>Hooper总</t>
        </is>
      </c>
      <c r="J158" s="8" t="inlineStr">
        <is>
          <t>CMJ1</t>
        </is>
      </c>
      <c r="K158" s="8" t="inlineStr">
        <is>
          <t>CMJ2</t>
        </is>
      </c>
      <c r="L158" s="8" t="inlineStr">
        <is>
          <t>CMJ3</t>
        </is>
      </c>
      <c r="M158" s="8" t="inlineStr">
        <is>
          <t>CMJ均值</t>
        </is>
      </c>
      <c r="N158" s="8" t="inlineStr">
        <is>
          <t>&lt;95%?</t>
        </is>
      </c>
      <c r="O158" s="8" t="inlineStr">
        <is>
          <t>减组?</t>
        </is>
      </c>
      <c r="P158" s="8" t="inlineStr">
        <is>
          <t>实做组数</t>
        </is>
      </c>
      <c r="Q158" s="8" t="inlineStr">
        <is>
          <t>LVP_a</t>
        </is>
      </c>
      <c r="R158" s="8" t="inlineStr">
        <is>
          <t>LVP_b</t>
        </is>
      </c>
      <c r="S158" s="8" t="inlineStr">
        <is>
          <t>等级</t>
        </is>
      </c>
      <c r="T158" s="8" t="inlineStr">
        <is>
          <t>预测起始</t>
        </is>
      </c>
    </row>
    <row r="159">
      <c r="A159" s="9" t="inlineStr">
        <is>
          <t>P026</t>
        </is>
      </c>
      <c r="B159" s="9" t="inlineStr">
        <is>
          <t>古翔宇</t>
        </is>
      </c>
      <c r="C159" s="9" t="n">
        <v>180</v>
      </c>
      <c r="D159" s="9" t="n">
        <v>135</v>
      </c>
      <c r="E159" s="9" t="n"/>
      <c r="F159" s="9" t="n"/>
      <c r="G159" s="9" t="n"/>
      <c r="H159" s="9" t="n"/>
      <c r="I159" s="10">
        <f>IFERROR(SUM(E159:H159),"")</f>
        <v/>
      </c>
      <c r="J159" s="9" t="n"/>
      <c r="K159" s="9" t="n"/>
      <c r="L159" s="9" t="n"/>
      <c r="M159" s="10">
        <f>IFERROR(AVERAGE(J159:L159),"")</f>
        <v/>
      </c>
      <c r="N159" s="10">
        <f>IF(M159="","",IF(M159&lt;45.51,"是⚠","否"))</f>
        <v/>
      </c>
      <c r="O159" s="10">
        <f>IF(M159="","",IF(M159&lt;45.51,"减1组","正常"))</f>
        <v/>
      </c>
      <c r="P159" s="10">
        <f>IF(M159="","",IF(M159&lt;45.51,5-1,5))</f>
        <v/>
      </c>
      <c r="Q159" s="9" t="n">
        <v>1.64</v>
      </c>
      <c r="R159" s="9" t="n">
        <v>-0.00975</v>
      </c>
      <c r="S159" s="9" t="inlineStr">
        <is>
          <t>A</t>
        </is>
      </c>
      <c r="T159" s="10">
        <f>IFERROR(ROUND((0.75-1.64)/-0.00975,0.5),"")</f>
        <v/>
      </c>
    </row>
    <row r="160">
      <c r="A160" s="8" t="inlineStr">
        <is>
          <t>热身校准</t>
        </is>
      </c>
      <c r="B160" s="8" t="inlineStr">
        <is>
          <t>LVP_a</t>
        </is>
      </c>
      <c r="C160" s="8" t="inlineStr">
        <is>
          <t>LVP_b</t>
        </is>
      </c>
      <c r="D160" s="8" t="inlineStr">
        <is>
          <t>50%热身kg</t>
        </is>
      </c>
      <c r="E160" s="8" t="inlineStr">
        <is>
          <t>70%热身kg</t>
        </is>
      </c>
      <c r="F160" s="8" t="inlineStr">
        <is>
          <t>热身负荷kg</t>
        </is>
      </c>
      <c r="G160" s="8" t="inlineStr">
        <is>
          <t>实测MCV</t>
        </is>
      </c>
      <c r="H160" s="8" t="inlineStr">
        <is>
          <t>预测MCV</t>
        </is>
      </c>
      <c r="I160" s="8" t="inlineStr">
        <is>
          <t>Δv</t>
        </is>
      </c>
      <c r="J160" s="8" t="inlineStr">
        <is>
          <t>调整量kg</t>
        </is>
      </c>
      <c r="K160" s="8" t="inlineStr">
        <is>
          <t>校准后第1组kg</t>
        </is>
      </c>
    </row>
    <row r="161">
      <c r="A161" s="11" t="inlineStr"/>
      <c r="B161" s="11" t="n">
        <v>1.64</v>
      </c>
      <c r="C161" s="11" t="n">
        <v>-0.00975</v>
      </c>
      <c r="D161" s="10">
        <f>IFERROR(ROUND(T159*0.5,2.5),"")</f>
        <v/>
      </c>
      <c r="E161" s="10">
        <f>IFERROR(ROUND(T159*0.7,2.5),"")</f>
        <v/>
      </c>
      <c r="F161" s="10">
        <f>D161</f>
        <v/>
      </c>
      <c r="G161" s="9" t="n"/>
      <c r="H161" s="10">
        <f>IF(F161="","",B161+C161*F161)</f>
        <v/>
      </c>
      <c r="I161" s="10">
        <f>IF(OR(G161="",H161=""),"",G161-H161)</f>
        <v/>
      </c>
      <c r="J161" s="10">
        <f>IF(I161="","",IF(I161&gt;0.08,5,IF(I161&gt;0.04,2.5,IF(I161&gt;=-0.04,0,IF(I161&gt;=-0.08,-2.5,-5)))))</f>
        <v/>
      </c>
      <c r="K161" s="10">
        <f>IFERROR(ROUND(T159+J161,2.5),"")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8" t="inlineStr">
        <is>
          <t>组次</t>
        </is>
      </c>
      <c r="B162" s="8" t="inlineStr">
        <is>
          <t>负荷kg</t>
        </is>
      </c>
      <c r="C162" s="8" t="inlineStr">
        <is>
          <t>rep1</t>
        </is>
      </c>
      <c r="D162" s="8" t="inlineStr">
        <is>
          <t>rep2</t>
        </is>
      </c>
      <c r="E162" s="8" t="inlineStr">
        <is>
          <t>rep3</t>
        </is>
      </c>
      <c r="F162" s="8" t="inlineStr">
        <is>
          <t>rep4</t>
        </is>
      </c>
      <c r="G162" s="8" t="inlineStr">
        <is>
          <t>rep5</t>
        </is>
      </c>
      <c r="H162" s="8" t="inlineStr">
        <is>
          <t>rep6</t>
        </is>
      </c>
      <c r="I162" s="8" t="inlineStr">
        <is>
          <t>首rep</t>
        </is>
      </c>
      <c r="J162" s="8" t="inlineStr">
        <is>
          <t>最低速</t>
        </is>
      </c>
      <c r="K162" s="8" t="inlineStr">
        <is>
          <t>最低rep#</t>
        </is>
      </c>
      <c r="L162" s="8" t="inlineStr">
        <is>
          <t>VL%</t>
        </is>
      </c>
      <c r="M162" s="8" t="inlineStr">
        <is>
          <t>VL达标?</t>
        </is>
      </c>
      <c r="N162" s="8" t="inlineStr">
        <is>
          <t>安全停止?</t>
        </is>
      </c>
      <c r="O162" s="8" t="inlineStr">
        <is>
          <t>停组原因</t>
        </is>
      </c>
      <c r="P162" s="8" t="inlineStr">
        <is>
          <t>下组建议</t>
        </is>
      </c>
      <c r="Q162" s="8" t="inlineStr">
        <is>
          <t>实做次数</t>
        </is>
      </c>
    </row>
    <row r="163">
      <c r="A163" s="12" t="n">
        <v>1</v>
      </c>
      <c r="B163" s="10">
        <f>IF(K161="","",K161)</f>
        <v/>
      </c>
      <c r="C163" s="9" t="n"/>
      <c r="D163" s="9" t="n"/>
      <c r="E163" s="9" t="n"/>
      <c r="F163" s="9" t="n"/>
      <c r="G163" s="9" t="n"/>
      <c r="H163" s="9" t="n"/>
      <c r="I163" s="10">
        <f>IFERROR(INDEX(C163:H163,MATCH(TRUE,INDEX(C163:H163&lt;&gt;"",0),0)),"")</f>
        <v/>
      </c>
      <c r="J163" s="10">
        <f>IFERROR(MIN(IF(C163:H163&lt;&gt;"",C163:H163)),"")</f>
        <v/>
      </c>
      <c r="K163" s="10">
        <f>IFERROR(MATCH(I163,C163:H163,0),"")</f>
        <v/>
      </c>
      <c r="L163" s="10">
        <f>IF(OR(I163="",J163=""),"",ROUND((I163-J163)/I163*100,1))</f>
        <v/>
      </c>
      <c r="M163" s="10">
        <f>IF(L163="","",IF(L163&gt;=12,"是","否"))</f>
        <v/>
      </c>
      <c r="N163" s="10">
        <f>IF(J163="","",IF(J163&lt;0.15,"是","否"))</f>
        <v/>
      </c>
      <c r="O163" s="10">
        <f>IF(I163="","",IF(J163&lt;0.15,"SAFETY_STOP",IF(L163&gt;=12,"VL_THRESHOLD","PLANNED_END")))</f>
        <v/>
      </c>
      <c r="P163" s="10">
        <f>IF(I163="","",IF(I163&gt;($D$2+0.05),"+5kg",IF(I163&gt;($D$2+0.02),"+2.5kg",IF(I163&gt;=($D$2-0.05),"保持",IF(I163&gt;=($D$2-0.08),"-2.5kg","-5kg")))))</f>
        <v/>
      </c>
      <c r="Q163" s="9" t="n"/>
      <c r="R163" s="12" t="n"/>
      <c r="S163" s="12" t="n"/>
      <c r="T163" s="12" t="n"/>
    </row>
    <row r="164">
      <c r="A164" s="12" t="n">
        <v>2</v>
      </c>
      <c r="B164" s="9" t="n"/>
      <c r="C164" s="9" t="n"/>
      <c r="D164" s="9" t="n"/>
      <c r="E164" s="9" t="n"/>
      <c r="F164" s="9" t="n"/>
      <c r="G164" s="9" t="n"/>
      <c r="H164" s="9" t="n"/>
      <c r="I164" s="10">
        <f>IFERROR(INDEX(C164:H164,MATCH(TRUE,INDEX(C164:H164&lt;&gt;"",0),0)),"")</f>
        <v/>
      </c>
      <c r="J164" s="10">
        <f>IFERROR(MIN(IF(C164:H164&lt;&gt;"",C164:H164)),"")</f>
        <v/>
      </c>
      <c r="K164" s="10">
        <f>IFERROR(MATCH(I164,C164:H164,0),"")</f>
        <v/>
      </c>
      <c r="L164" s="10">
        <f>IF(OR(I164="",J164=""),"",ROUND((I164-J164)/I164*100,1))</f>
        <v/>
      </c>
      <c r="M164" s="10">
        <f>IF(L164="","",IF(L164&gt;=12,"是","否"))</f>
        <v/>
      </c>
      <c r="N164" s="10">
        <f>IF(J164="","",IF(J164&lt;0.15,"是","否"))</f>
        <v/>
      </c>
      <c r="O164" s="10">
        <f>IF(I164="","",IF(J164&lt;0.15,"SAFETY_STOP",IF(L164&gt;=12,"VL_THRESHOLD","PLANNED_END")))</f>
        <v/>
      </c>
      <c r="P164" s="10">
        <f>IF(I164="","",IF(I164&gt;($D$2+0.05),"+5kg",IF(I164&gt;($D$2+0.02),"+2.5kg",IF(I164&gt;=($D$2-0.05),"保持",IF(I164&gt;=($D$2-0.08),"-2.5kg","-5kg")))))</f>
        <v/>
      </c>
      <c r="Q164" s="9" t="n"/>
      <c r="R164" s="12" t="n"/>
      <c r="S164" s="12" t="n"/>
      <c r="T164" s="12" t="n"/>
    </row>
    <row r="165">
      <c r="A165" s="12" t="n">
        <v>3</v>
      </c>
      <c r="B165" s="9" t="n"/>
      <c r="C165" s="9" t="n"/>
      <c r="D165" s="9" t="n"/>
      <c r="E165" s="9" t="n"/>
      <c r="F165" s="9" t="n"/>
      <c r="G165" s="9" t="n"/>
      <c r="H165" s="9" t="n"/>
      <c r="I165" s="10">
        <f>IFERROR(INDEX(C165:H165,MATCH(TRUE,INDEX(C165:H165&lt;&gt;"",0),0)),"")</f>
        <v/>
      </c>
      <c r="J165" s="10">
        <f>IFERROR(MIN(IF(C165:H165&lt;&gt;"",C165:H165)),"")</f>
        <v/>
      </c>
      <c r="K165" s="10">
        <f>IFERROR(MATCH(I165,C165:H165,0),"")</f>
        <v/>
      </c>
      <c r="L165" s="10">
        <f>IF(OR(I165="",J165=""),"",ROUND((I165-J165)/I165*100,1))</f>
        <v/>
      </c>
      <c r="M165" s="10">
        <f>IF(L165="","",IF(L165&gt;=12,"是","否"))</f>
        <v/>
      </c>
      <c r="N165" s="10">
        <f>IF(J165="","",IF(J165&lt;0.15,"是","否"))</f>
        <v/>
      </c>
      <c r="O165" s="10">
        <f>IF(I165="","",IF(J165&lt;0.15,"SAFETY_STOP",IF(L165&gt;=12,"VL_THRESHOLD","PLANNED_END")))</f>
        <v/>
      </c>
      <c r="P165" s="10">
        <f>IF(I165="","",IF(I165&gt;($D$2+0.05),"+5kg",IF(I165&gt;($D$2+0.02),"+2.5kg",IF(I165&gt;=($D$2-0.05),"保持",IF(I165&gt;=($D$2-0.08),"-2.5kg","-5kg")))))</f>
        <v/>
      </c>
      <c r="Q165" s="9" t="n"/>
      <c r="R165" s="12" t="n"/>
      <c r="S165" s="12" t="n"/>
      <c r="T165" s="12" t="n"/>
    </row>
    <row r="166">
      <c r="A166" s="12" t="n">
        <v>4</v>
      </c>
      <c r="B166" s="9" t="n"/>
      <c r="C166" s="9" t="n"/>
      <c r="D166" s="9" t="n"/>
      <c r="E166" s="9" t="n"/>
      <c r="F166" s="9" t="n"/>
      <c r="G166" s="9" t="n"/>
      <c r="H166" s="9" t="n"/>
      <c r="I166" s="10">
        <f>IFERROR(INDEX(C166:H166,MATCH(TRUE,INDEX(C166:H166&lt;&gt;"",0),0)),"")</f>
        <v/>
      </c>
      <c r="J166" s="10">
        <f>IFERROR(MIN(IF(C166:H166&lt;&gt;"",C166:H166)),"")</f>
        <v/>
      </c>
      <c r="K166" s="10">
        <f>IFERROR(MATCH(I166,C166:H166,0),"")</f>
        <v/>
      </c>
      <c r="L166" s="10">
        <f>IF(OR(I166="",J166=""),"",ROUND((I166-J166)/I166*100,1))</f>
        <v/>
      </c>
      <c r="M166" s="10">
        <f>IF(L166="","",IF(L166&gt;=12,"是","否"))</f>
        <v/>
      </c>
      <c r="N166" s="10">
        <f>IF(J166="","",IF(J166&lt;0.15,"是","否"))</f>
        <v/>
      </c>
      <c r="O166" s="10">
        <f>IF(I166="","",IF(J166&lt;0.15,"SAFETY_STOP",IF(L166&gt;=12,"VL_THRESHOLD","PLANNED_END")))</f>
        <v/>
      </c>
      <c r="P166" s="10">
        <f>IF(I166="","",IF(I166&gt;($D$2+0.05),"+5kg",IF(I166&gt;($D$2+0.02),"+2.5kg",IF(I166&gt;=($D$2-0.05),"保持",IF(I166&gt;=($D$2-0.08),"-2.5kg","-5kg")))))</f>
        <v/>
      </c>
      <c r="Q166" s="9" t="n"/>
      <c r="R166" s="12" t="n"/>
      <c r="S166" s="12" t="n"/>
      <c r="T166" s="12" t="n"/>
    </row>
    <row r="167">
      <c r="A167" s="12" t="n">
        <v>5</v>
      </c>
      <c r="B167" s="9" t="n"/>
      <c r="C167" s="9" t="n"/>
      <c r="D167" s="9" t="n"/>
      <c r="E167" s="9" t="n"/>
      <c r="F167" s="9" t="n"/>
      <c r="G167" s="9" t="n"/>
      <c r="H167" s="9" t="n"/>
      <c r="I167" s="10">
        <f>IFERROR(INDEX(C167:H167,MATCH(TRUE,INDEX(C167:H167&lt;&gt;"",0),0)),"")</f>
        <v/>
      </c>
      <c r="J167" s="10">
        <f>IFERROR(MIN(IF(C167:H167&lt;&gt;"",C167:H167)),"")</f>
        <v/>
      </c>
      <c r="K167" s="10">
        <f>IFERROR(MATCH(I167,C167:H167,0),"")</f>
        <v/>
      </c>
      <c r="L167" s="10">
        <f>IF(OR(I167="",J167=""),"",ROUND((I167-J167)/I167*100,1))</f>
        <v/>
      </c>
      <c r="M167" s="10">
        <f>IF(L167="","",IF(L167&gt;=12,"是","否"))</f>
        <v/>
      </c>
      <c r="N167" s="10">
        <f>IF(J167="","",IF(J167&lt;0.15,"是","否"))</f>
        <v/>
      </c>
      <c r="O167" s="10">
        <f>IF(I167="","",IF(J167&lt;0.15,"SAFETY_STOP",IF(L167&gt;=12,"VL_THRESHOLD","PLANNED_END")))</f>
        <v/>
      </c>
      <c r="P167" s="10">
        <f>IF(I167="","",IF(I167&gt;($D$2+0.05),"+5kg",IF(I167&gt;($D$2+0.02),"+2.5kg",IF(I167&gt;=($D$2-0.05),"保持",IF(I167&gt;=($D$2-0.08),"-2.5kg","-5kg")))))</f>
        <v/>
      </c>
      <c r="Q167" s="9" t="n"/>
      <c r="R167" s="12" t="n"/>
      <c r="S167" s="12" t="n"/>
      <c r="T167" s="12" t="n"/>
    </row>
    <row r="168">
      <c r="A168" s="12" t="n">
        <v>6</v>
      </c>
      <c r="B168" s="9" t="n"/>
      <c r="C168" s="9" t="n"/>
      <c r="D168" s="9" t="n"/>
      <c r="E168" s="9" t="n"/>
      <c r="F168" s="9" t="n"/>
      <c r="G168" s="9" t="n"/>
      <c r="H168" s="9" t="n"/>
      <c r="I168" s="10">
        <f>IFERROR(INDEX(C168:H168,MATCH(TRUE,INDEX(C168:H168&lt;&gt;"",0),0)),"")</f>
        <v/>
      </c>
      <c r="J168" s="10">
        <f>IFERROR(MIN(IF(C168:H168&lt;&gt;"",C168:H168)),"")</f>
        <v/>
      </c>
      <c r="K168" s="10">
        <f>IFERROR(MATCH(I168,C168:H168,0),"")</f>
        <v/>
      </c>
      <c r="L168" s="10">
        <f>IF(OR(I168="",J168=""),"",ROUND((I168-J168)/I168*100,1))</f>
        <v/>
      </c>
      <c r="M168" s="10">
        <f>IF(L168="","",IF(L168&gt;=12,"是","否"))</f>
        <v/>
      </c>
      <c r="N168" s="10">
        <f>IF(J168="","",IF(J168&lt;0.15,"是","否"))</f>
        <v/>
      </c>
      <c r="O168" s="10">
        <f>IF(I168="","",IF(J168&lt;0.15,"SAFETY_STOP",IF(L168&gt;=12,"VL_THRESHOLD","PLANNED_END")))</f>
        <v/>
      </c>
      <c r="P168" s="10">
        <f>IF(I168="","",IF(I168&gt;($D$2+0.05),"+5kg",IF(I168&gt;($D$2+0.02),"+2.5kg",IF(I168&gt;=($D$2-0.05),"保持",IF(I168&gt;=($D$2-0.08),"-2.5kg","-5kg")))))</f>
        <v/>
      </c>
      <c r="Q168" s="9" t="n"/>
      <c r="R168" s="12" t="n"/>
      <c r="S168" s="12" t="n"/>
      <c r="T168" s="12" t="n"/>
    </row>
    <row r="169">
      <c r="A169" s="8" t="inlineStr">
        <is>
          <t>辅助动作</t>
        </is>
      </c>
      <c r="B169" s="8" t="inlineStr">
        <is>
          <t>动作名称</t>
        </is>
      </c>
      <c r="C169" s="8" t="inlineStr">
        <is>
          <t>负荷kg</t>
        </is>
      </c>
      <c r="D169" s="8" t="inlineStr">
        <is>
          <t>完成(组×次)</t>
        </is>
      </c>
    </row>
    <row r="170">
      <c r="A170" s="9" t="inlineStr"/>
      <c r="B170" s="9" t="n"/>
      <c r="C170" s="9" t="n"/>
      <c r="D170" s="9" t="n"/>
    </row>
    <row r="171">
      <c r="A171" s="8" t="inlineStr">
        <is>
          <t>训练后</t>
        </is>
      </c>
      <c r="B171" s="8" t="inlineStr">
        <is>
          <t>开始时间</t>
        </is>
      </c>
      <c r="C171" s="8" t="inlineStr">
        <is>
          <t>结束时间</t>
        </is>
      </c>
      <c r="D171" s="8" t="inlineStr">
        <is>
          <t>总时长min</t>
        </is>
      </c>
      <c r="E171" s="8" t="inlineStr">
        <is>
          <t>sRPE</t>
        </is>
      </c>
      <c r="F171" s="8" t="inlineStr">
        <is>
          <t>session_load</t>
        </is>
      </c>
      <c r="G171" s="8" t="inlineStr">
        <is>
          <t>有无不适</t>
        </is>
      </c>
      <c r="H171" s="8" t="inlineStr">
        <is>
          <t>备注</t>
        </is>
      </c>
      <c r="I171" s="8" t="inlineStr">
        <is>
          <t>研究员签名</t>
        </is>
      </c>
    </row>
    <row r="172">
      <c r="A172" s="13" t="inlineStr"/>
      <c r="B172" s="13" t="n"/>
      <c r="C172" s="13" t="n"/>
      <c r="D172" s="10">
        <f>IF(OR(B172="",C172=""),"",(C172-B172)*1440)</f>
        <v/>
      </c>
      <c r="E172" s="13" t="n"/>
      <c r="F172" s="10">
        <f>IF(OR(D172="",E172=""),"",D172*E172)</f>
        <v/>
      </c>
      <c r="G172" s="13" t="n"/>
      <c r="H172" s="13" t="n"/>
      <c r="I172" s="13" t="n"/>
    </row>
    <row r="174">
      <c r="A174" s="5" t="inlineStr">
        <is>
          <t>── P010 张锦荣 ──────────────────────────────────────────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" t="n"/>
    </row>
    <row r="175">
      <c r="A175" s="8" t="inlineStr">
        <is>
          <t>编号</t>
        </is>
      </c>
      <c r="B175" s="8" t="inlineStr">
        <is>
          <t>姓名</t>
        </is>
      </c>
      <c r="C175" s="8" t="inlineStr">
        <is>
          <t>身高</t>
        </is>
      </c>
      <c r="D175" s="8" t="inlineStr">
        <is>
          <t>1RM</t>
        </is>
      </c>
      <c r="E175" s="8" t="inlineStr">
        <is>
          <t>睡眠</t>
        </is>
      </c>
      <c r="F175" s="8" t="inlineStr">
        <is>
          <t>压力</t>
        </is>
      </c>
      <c r="G175" s="8" t="inlineStr">
        <is>
          <t>疲劳</t>
        </is>
      </c>
      <c r="H175" s="8" t="inlineStr">
        <is>
          <t>酸痛</t>
        </is>
      </c>
      <c r="I175" s="8" t="inlineStr">
        <is>
          <t>Hooper总</t>
        </is>
      </c>
      <c r="J175" s="8" t="inlineStr">
        <is>
          <t>CMJ1</t>
        </is>
      </c>
      <c r="K175" s="8" t="inlineStr">
        <is>
          <t>CMJ2</t>
        </is>
      </c>
      <c r="L175" s="8" t="inlineStr">
        <is>
          <t>CMJ3</t>
        </is>
      </c>
      <c r="M175" s="8" t="inlineStr">
        <is>
          <t>CMJ均值</t>
        </is>
      </c>
      <c r="N175" s="8" t="inlineStr">
        <is>
          <t>&lt;95%?</t>
        </is>
      </c>
      <c r="O175" s="8" t="inlineStr">
        <is>
          <t>减组?</t>
        </is>
      </c>
      <c r="P175" s="8" t="inlineStr">
        <is>
          <t>实做组数</t>
        </is>
      </c>
      <c r="Q175" s="8" t="inlineStr">
        <is>
          <t>LVP_a</t>
        </is>
      </c>
      <c r="R175" s="8" t="inlineStr">
        <is>
          <t>LVP_b</t>
        </is>
      </c>
      <c r="S175" s="8" t="inlineStr">
        <is>
          <t>等级</t>
        </is>
      </c>
      <c r="T175" s="8" t="inlineStr">
        <is>
          <t>预测起始</t>
        </is>
      </c>
    </row>
    <row r="176">
      <c r="A176" s="9" t="inlineStr">
        <is>
          <t>P010</t>
        </is>
      </c>
      <c r="B176" s="9" t="inlineStr">
        <is>
          <t>张锦荣</t>
        </is>
      </c>
      <c r="C176" s="9" t="n">
        <v>174</v>
      </c>
      <c r="D176" s="9" t="n">
        <v>120</v>
      </c>
      <c r="E176" s="9" t="n"/>
      <c r="F176" s="9" t="n"/>
      <c r="G176" s="9" t="n"/>
      <c r="H176" s="9" t="n"/>
      <c r="I176" s="10">
        <f>IFERROR(SUM(E176:H176),"")</f>
        <v/>
      </c>
      <c r="J176" s="9" t="n"/>
      <c r="K176" s="9" t="n"/>
      <c r="L176" s="9" t="n"/>
      <c r="M176" s="10">
        <f>IFERROR(AVERAGE(J176:L176),"")</f>
        <v/>
      </c>
      <c r="N176" s="10">
        <f>IF(M176="","",IF(M176&lt;50.42,"是⚠","否"))</f>
        <v/>
      </c>
      <c r="O176" s="10">
        <f>IF(M176="","",IF(M176&lt;50.42,"减1组","正常"))</f>
        <v/>
      </c>
      <c r="P176" s="10">
        <f>IF(M176="","",IF(M176&lt;50.42,5-1,5))</f>
        <v/>
      </c>
      <c r="Q176" s="9" t="n">
        <v>1.26</v>
      </c>
      <c r="R176" s="9" t="n">
        <v>-0.006</v>
      </c>
      <c r="S176" s="9" t="inlineStr">
        <is>
          <t>B</t>
        </is>
      </c>
      <c r="T176" s="10">
        <f>IFERROR(ROUND((0.75-1.26)/-0.006,0.5),"")</f>
        <v/>
      </c>
    </row>
    <row r="177">
      <c r="A177" s="8" t="inlineStr">
        <is>
          <t>热身校准</t>
        </is>
      </c>
      <c r="B177" s="8" t="inlineStr">
        <is>
          <t>LVP_a</t>
        </is>
      </c>
      <c r="C177" s="8" t="inlineStr">
        <is>
          <t>LVP_b</t>
        </is>
      </c>
      <c r="D177" s="8" t="inlineStr">
        <is>
          <t>50%热身kg</t>
        </is>
      </c>
      <c r="E177" s="8" t="inlineStr">
        <is>
          <t>70%热身kg</t>
        </is>
      </c>
      <c r="F177" s="8" t="inlineStr">
        <is>
          <t>热身负荷kg</t>
        </is>
      </c>
      <c r="G177" s="8" t="inlineStr">
        <is>
          <t>实测MCV</t>
        </is>
      </c>
      <c r="H177" s="8" t="inlineStr">
        <is>
          <t>预测MCV</t>
        </is>
      </c>
      <c r="I177" s="8" t="inlineStr">
        <is>
          <t>Δv</t>
        </is>
      </c>
      <c r="J177" s="8" t="inlineStr">
        <is>
          <t>调整量kg</t>
        </is>
      </c>
      <c r="K177" s="8" t="inlineStr">
        <is>
          <t>校准后第1组kg</t>
        </is>
      </c>
    </row>
    <row r="178">
      <c r="A178" s="11" t="inlineStr"/>
      <c r="B178" s="11" t="n">
        <v>1.26</v>
      </c>
      <c r="C178" s="11" t="n">
        <v>-0.006</v>
      </c>
      <c r="D178" s="10">
        <f>IFERROR(ROUND(T176*0.5,2.5),"")</f>
        <v/>
      </c>
      <c r="E178" s="10">
        <f>IFERROR(ROUND(T176*0.7,2.5),"")</f>
        <v/>
      </c>
      <c r="F178" s="10">
        <f>D178</f>
        <v/>
      </c>
      <c r="G178" s="9" t="n"/>
      <c r="H178" s="10">
        <f>IF(F178="","",B178+C178*F178)</f>
        <v/>
      </c>
      <c r="I178" s="10">
        <f>IF(OR(G178="",H178=""),"",G178-H178)</f>
        <v/>
      </c>
      <c r="J178" s="10">
        <f>IF(I178="","",IF(I178&gt;0.08,5,IF(I178&gt;0.04,2.5,IF(I178&gt;=-0.04,0,IF(I178&gt;=-0.08,-2.5,-5)))))</f>
        <v/>
      </c>
      <c r="K178" s="10">
        <f>IFERROR(ROUND(T176+J178,2.5),"")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8" t="inlineStr">
        <is>
          <t>组次</t>
        </is>
      </c>
      <c r="B179" s="8" t="inlineStr">
        <is>
          <t>负荷kg</t>
        </is>
      </c>
      <c r="C179" s="8" t="inlineStr">
        <is>
          <t>rep1</t>
        </is>
      </c>
      <c r="D179" s="8" t="inlineStr">
        <is>
          <t>rep2</t>
        </is>
      </c>
      <c r="E179" s="8" t="inlineStr">
        <is>
          <t>rep3</t>
        </is>
      </c>
      <c r="F179" s="8" t="inlineStr">
        <is>
          <t>rep4</t>
        </is>
      </c>
      <c r="G179" s="8" t="inlineStr">
        <is>
          <t>rep5</t>
        </is>
      </c>
      <c r="H179" s="8" t="inlineStr">
        <is>
          <t>rep6</t>
        </is>
      </c>
      <c r="I179" s="8" t="inlineStr">
        <is>
          <t>首rep</t>
        </is>
      </c>
      <c r="J179" s="8" t="inlineStr">
        <is>
          <t>最低速</t>
        </is>
      </c>
      <c r="K179" s="8" t="inlineStr">
        <is>
          <t>最低rep#</t>
        </is>
      </c>
      <c r="L179" s="8" t="inlineStr">
        <is>
          <t>VL%</t>
        </is>
      </c>
      <c r="M179" s="8" t="inlineStr">
        <is>
          <t>VL达标?</t>
        </is>
      </c>
      <c r="N179" s="8" t="inlineStr">
        <is>
          <t>安全停止?</t>
        </is>
      </c>
      <c r="O179" s="8" t="inlineStr">
        <is>
          <t>停组原因</t>
        </is>
      </c>
      <c r="P179" s="8" t="inlineStr">
        <is>
          <t>下组建议</t>
        </is>
      </c>
      <c r="Q179" s="8" t="inlineStr">
        <is>
          <t>实做次数</t>
        </is>
      </c>
    </row>
    <row r="180">
      <c r="A180" s="12" t="n">
        <v>1</v>
      </c>
      <c r="B180" s="10">
        <f>IF(K178="","",K178)</f>
        <v/>
      </c>
      <c r="C180" s="9" t="n"/>
      <c r="D180" s="9" t="n"/>
      <c r="E180" s="9" t="n"/>
      <c r="F180" s="9" t="n"/>
      <c r="G180" s="9" t="n"/>
      <c r="H180" s="9" t="n"/>
      <c r="I180" s="10">
        <f>IFERROR(INDEX(C180:H180,MATCH(TRUE,INDEX(C180:H180&lt;&gt;"",0),0)),"")</f>
        <v/>
      </c>
      <c r="J180" s="10">
        <f>IFERROR(MIN(IF(C180:H180&lt;&gt;"",C180:H180)),"")</f>
        <v/>
      </c>
      <c r="K180" s="10">
        <f>IFERROR(MATCH(I180,C180:H180,0),"")</f>
        <v/>
      </c>
      <c r="L180" s="10">
        <f>IF(OR(I180="",J180=""),"",ROUND((I180-J180)/I180*100,1))</f>
        <v/>
      </c>
      <c r="M180" s="10">
        <f>IF(L180="","",IF(L180&gt;=12,"是","否"))</f>
        <v/>
      </c>
      <c r="N180" s="10">
        <f>IF(J180="","",IF(J180&lt;0.15,"是","否"))</f>
        <v/>
      </c>
      <c r="O180" s="10">
        <f>IF(I180="","",IF(J180&lt;0.15,"SAFETY_STOP",IF(L180&gt;=12,"VL_THRESHOLD","PLANNED_END")))</f>
        <v/>
      </c>
      <c r="P180" s="10">
        <f>IF(I180="","",IF(I180&gt;($D$2+0.05),"+5kg",IF(I180&gt;($D$2+0.02),"+2.5kg",IF(I180&gt;=($D$2-0.05),"保持",IF(I180&gt;=($D$2-0.08),"-2.5kg","-5kg")))))</f>
        <v/>
      </c>
      <c r="Q180" s="9" t="n"/>
      <c r="R180" s="12" t="n"/>
      <c r="S180" s="12" t="n"/>
      <c r="T180" s="12" t="n"/>
    </row>
    <row r="181">
      <c r="A181" s="12" t="n">
        <v>2</v>
      </c>
      <c r="B181" s="9" t="n"/>
      <c r="C181" s="9" t="n"/>
      <c r="D181" s="9" t="n"/>
      <c r="E181" s="9" t="n"/>
      <c r="F181" s="9" t="n"/>
      <c r="G181" s="9" t="n"/>
      <c r="H181" s="9" t="n"/>
      <c r="I181" s="10">
        <f>IFERROR(INDEX(C181:H181,MATCH(TRUE,INDEX(C181:H181&lt;&gt;"",0),0)),"")</f>
        <v/>
      </c>
      <c r="J181" s="10">
        <f>IFERROR(MIN(IF(C181:H181&lt;&gt;"",C181:H181)),"")</f>
        <v/>
      </c>
      <c r="K181" s="10">
        <f>IFERROR(MATCH(I181,C181:H181,0),"")</f>
        <v/>
      </c>
      <c r="L181" s="10">
        <f>IF(OR(I181="",J181=""),"",ROUND((I181-J181)/I181*100,1))</f>
        <v/>
      </c>
      <c r="M181" s="10">
        <f>IF(L181="","",IF(L181&gt;=12,"是","否"))</f>
        <v/>
      </c>
      <c r="N181" s="10">
        <f>IF(J181="","",IF(J181&lt;0.15,"是","否"))</f>
        <v/>
      </c>
      <c r="O181" s="10">
        <f>IF(I181="","",IF(J181&lt;0.15,"SAFETY_STOP",IF(L181&gt;=12,"VL_THRESHOLD","PLANNED_END")))</f>
        <v/>
      </c>
      <c r="P181" s="10">
        <f>IF(I181="","",IF(I181&gt;($D$2+0.05),"+5kg",IF(I181&gt;($D$2+0.02),"+2.5kg",IF(I181&gt;=($D$2-0.05),"保持",IF(I181&gt;=($D$2-0.08),"-2.5kg","-5kg")))))</f>
        <v/>
      </c>
      <c r="Q181" s="9" t="n"/>
      <c r="R181" s="12" t="n"/>
      <c r="S181" s="12" t="n"/>
      <c r="T181" s="12" t="n"/>
    </row>
    <row r="182">
      <c r="A182" s="12" t="n">
        <v>3</v>
      </c>
      <c r="B182" s="9" t="n"/>
      <c r="C182" s="9" t="n"/>
      <c r="D182" s="9" t="n"/>
      <c r="E182" s="9" t="n"/>
      <c r="F182" s="9" t="n"/>
      <c r="G182" s="9" t="n"/>
      <c r="H182" s="9" t="n"/>
      <c r="I182" s="10">
        <f>IFERROR(INDEX(C182:H182,MATCH(TRUE,INDEX(C182:H182&lt;&gt;"",0),0)),"")</f>
        <v/>
      </c>
      <c r="J182" s="10">
        <f>IFERROR(MIN(IF(C182:H182&lt;&gt;"",C182:H182)),"")</f>
        <v/>
      </c>
      <c r="K182" s="10">
        <f>IFERROR(MATCH(I182,C182:H182,0),"")</f>
        <v/>
      </c>
      <c r="L182" s="10">
        <f>IF(OR(I182="",J182=""),"",ROUND((I182-J182)/I182*100,1))</f>
        <v/>
      </c>
      <c r="M182" s="10">
        <f>IF(L182="","",IF(L182&gt;=12,"是","否"))</f>
        <v/>
      </c>
      <c r="N182" s="10">
        <f>IF(J182="","",IF(J182&lt;0.15,"是","否"))</f>
        <v/>
      </c>
      <c r="O182" s="10">
        <f>IF(I182="","",IF(J182&lt;0.15,"SAFETY_STOP",IF(L182&gt;=12,"VL_THRESHOLD","PLANNED_END")))</f>
        <v/>
      </c>
      <c r="P182" s="10">
        <f>IF(I182="","",IF(I182&gt;($D$2+0.05),"+5kg",IF(I182&gt;($D$2+0.02),"+2.5kg",IF(I182&gt;=($D$2-0.05),"保持",IF(I182&gt;=($D$2-0.08),"-2.5kg","-5kg")))))</f>
        <v/>
      </c>
      <c r="Q182" s="9" t="n"/>
      <c r="R182" s="12" t="n"/>
      <c r="S182" s="12" t="n"/>
      <c r="T182" s="12" t="n"/>
    </row>
    <row r="183">
      <c r="A183" s="12" t="n">
        <v>4</v>
      </c>
      <c r="B183" s="9" t="n"/>
      <c r="C183" s="9" t="n"/>
      <c r="D183" s="9" t="n"/>
      <c r="E183" s="9" t="n"/>
      <c r="F183" s="9" t="n"/>
      <c r="G183" s="9" t="n"/>
      <c r="H183" s="9" t="n"/>
      <c r="I183" s="10">
        <f>IFERROR(INDEX(C183:H183,MATCH(TRUE,INDEX(C183:H183&lt;&gt;"",0),0)),"")</f>
        <v/>
      </c>
      <c r="J183" s="10">
        <f>IFERROR(MIN(IF(C183:H183&lt;&gt;"",C183:H183)),"")</f>
        <v/>
      </c>
      <c r="K183" s="10">
        <f>IFERROR(MATCH(I183,C183:H183,0),"")</f>
        <v/>
      </c>
      <c r="L183" s="10">
        <f>IF(OR(I183="",J183=""),"",ROUND((I183-J183)/I183*100,1))</f>
        <v/>
      </c>
      <c r="M183" s="10">
        <f>IF(L183="","",IF(L183&gt;=12,"是","否"))</f>
        <v/>
      </c>
      <c r="N183" s="10">
        <f>IF(J183="","",IF(J183&lt;0.15,"是","否"))</f>
        <v/>
      </c>
      <c r="O183" s="10">
        <f>IF(I183="","",IF(J183&lt;0.15,"SAFETY_STOP",IF(L183&gt;=12,"VL_THRESHOLD","PLANNED_END")))</f>
        <v/>
      </c>
      <c r="P183" s="10">
        <f>IF(I183="","",IF(I183&gt;($D$2+0.05),"+5kg",IF(I183&gt;($D$2+0.02),"+2.5kg",IF(I183&gt;=($D$2-0.05),"保持",IF(I183&gt;=($D$2-0.08),"-2.5kg","-5kg")))))</f>
        <v/>
      </c>
      <c r="Q183" s="9" t="n"/>
      <c r="R183" s="12" t="n"/>
      <c r="S183" s="12" t="n"/>
      <c r="T183" s="12" t="n"/>
    </row>
    <row r="184">
      <c r="A184" s="12" t="n">
        <v>5</v>
      </c>
      <c r="B184" s="9" t="n"/>
      <c r="C184" s="9" t="n"/>
      <c r="D184" s="9" t="n"/>
      <c r="E184" s="9" t="n"/>
      <c r="F184" s="9" t="n"/>
      <c r="G184" s="9" t="n"/>
      <c r="H184" s="9" t="n"/>
      <c r="I184" s="10">
        <f>IFERROR(INDEX(C184:H184,MATCH(TRUE,INDEX(C184:H184&lt;&gt;"",0),0)),"")</f>
        <v/>
      </c>
      <c r="J184" s="10">
        <f>IFERROR(MIN(IF(C184:H184&lt;&gt;"",C184:H184)),"")</f>
        <v/>
      </c>
      <c r="K184" s="10">
        <f>IFERROR(MATCH(I184,C184:H184,0),"")</f>
        <v/>
      </c>
      <c r="L184" s="10">
        <f>IF(OR(I184="",J184=""),"",ROUND((I184-J184)/I184*100,1))</f>
        <v/>
      </c>
      <c r="M184" s="10">
        <f>IF(L184="","",IF(L184&gt;=12,"是","否"))</f>
        <v/>
      </c>
      <c r="N184" s="10">
        <f>IF(J184="","",IF(J184&lt;0.15,"是","否"))</f>
        <v/>
      </c>
      <c r="O184" s="10">
        <f>IF(I184="","",IF(J184&lt;0.15,"SAFETY_STOP",IF(L184&gt;=12,"VL_THRESHOLD","PLANNED_END")))</f>
        <v/>
      </c>
      <c r="P184" s="10">
        <f>IF(I184="","",IF(I184&gt;($D$2+0.05),"+5kg",IF(I184&gt;($D$2+0.02),"+2.5kg",IF(I184&gt;=($D$2-0.05),"保持",IF(I184&gt;=($D$2-0.08),"-2.5kg","-5kg")))))</f>
        <v/>
      </c>
      <c r="Q184" s="9" t="n"/>
      <c r="R184" s="12" t="n"/>
      <c r="S184" s="12" t="n"/>
      <c r="T184" s="12" t="n"/>
    </row>
    <row r="185">
      <c r="A185" s="12" t="n">
        <v>6</v>
      </c>
      <c r="B185" s="9" t="n"/>
      <c r="C185" s="9" t="n"/>
      <c r="D185" s="9" t="n"/>
      <c r="E185" s="9" t="n"/>
      <c r="F185" s="9" t="n"/>
      <c r="G185" s="9" t="n"/>
      <c r="H185" s="9" t="n"/>
      <c r="I185" s="10">
        <f>IFERROR(INDEX(C185:H185,MATCH(TRUE,INDEX(C185:H185&lt;&gt;"",0),0)),"")</f>
        <v/>
      </c>
      <c r="J185" s="10">
        <f>IFERROR(MIN(IF(C185:H185&lt;&gt;"",C185:H185)),"")</f>
        <v/>
      </c>
      <c r="K185" s="10">
        <f>IFERROR(MATCH(I185,C185:H185,0),"")</f>
        <v/>
      </c>
      <c r="L185" s="10">
        <f>IF(OR(I185="",J185=""),"",ROUND((I185-J185)/I185*100,1))</f>
        <v/>
      </c>
      <c r="M185" s="10">
        <f>IF(L185="","",IF(L185&gt;=12,"是","否"))</f>
        <v/>
      </c>
      <c r="N185" s="10">
        <f>IF(J185="","",IF(J185&lt;0.15,"是","否"))</f>
        <v/>
      </c>
      <c r="O185" s="10">
        <f>IF(I185="","",IF(J185&lt;0.15,"SAFETY_STOP",IF(L185&gt;=12,"VL_THRESHOLD","PLANNED_END")))</f>
        <v/>
      </c>
      <c r="P185" s="10">
        <f>IF(I185="","",IF(I185&gt;($D$2+0.05),"+5kg",IF(I185&gt;($D$2+0.02),"+2.5kg",IF(I185&gt;=($D$2-0.05),"保持",IF(I185&gt;=($D$2-0.08),"-2.5kg","-5kg")))))</f>
        <v/>
      </c>
      <c r="Q185" s="9" t="n"/>
      <c r="R185" s="12" t="n"/>
      <c r="S185" s="12" t="n"/>
      <c r="T185" s="12" t="n"/>
    </row>
    <row r="186">
      <c r="A186" s="8" t="inlineStr">
        <is>
          <t>辅助动作</t>
        </is>
      </c>
      <c r="B186" s="8" t="inlineStr">
        <is>
          <t>动作名称</t>
        </is>
      </c>
      <c r="C186" s="8" t="inlineStr">
        <is>
          <t>负荷kg</t>
        </is>
      </c>
      <c r="D186" s="8" t="inlineStr">
        <is>
          <t>完成(组×次)</t>
        </is>
      </c>
    </row>
    <row r="187">
      <c r="A187" s="9" t="inlineStr"/>
      <c r="B187" s="9" t="n"/>
      <c r="C187" s="9" t="n"/>
      <c r="D187" s="9" t="n"/>
    </row>
    <row r="188">
      <c r="A188" s="8" t="inlineStr">
        <is>
          <t>训练后</t>
        </is>
      </c>
      <c r="B188" s="8" t="inlineStr">
        <is>
          <t>开始时间</t>
        </is>
      </c>
      <c r="C188" s="8" t="inlineStr">
        <is>
          <t>结束时间</t>
        </is>
      </c>
      <c r="D188" s="8" t="inlineStr">
        <is>
          <t>总时长min</t>
        </is>
      </c>
      <c r="E188" s="8" t="inlineStr">
        <is>
          <t>sRPE</t>
        </is>
      </c>
      <c r="F188" s="8" t="inlineStr">
        <is>
          <t>session_load</t>
        </is>
      </c>
      <c r="G188" s="8" t="inlineStr">
        <is>
          <t>有无不适</t>
        </is>
      </c>
      <c r="H188" s="8" t="inlineStr">
        <is>
          <t>备注</t>
        </is>
      </c>
      <c r="I188" s="8" t="inlineStr">
        <is>
          <t>研究员签名</t>
        </is>
      </c>
    </row>
    <row r="189">
      <c r="A189" s="13" t="inlineStr"/>
      <c r="B189" s="13" t="n"/>
      <c r="C189" s="13" t="n"/>
      <c r="D189" s="10">
        <f>IF(OR(B189="",C189=""),"",(C189-B189)*1440)</f>
        <v/>
      </c>
      <c r="E189" s="13" t="n"/>
      <c r="F189" s="10">
        <f>IF(OR(D189="",E189=""),"",D189*E189)</f>
        <v/>
      </c>
      <c r="G189" s="13" t="n"/>
      <c r="H189" s="13" t="n"/>
      <c r="I189" s="13" t="n"/>
    </row>
    <row r="191">
      <c r="A191" s="5" t="inlineStr">
        <is>
          <t>── P009 王宏池 ──────────────────────────────────────────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7" t="n"/>
    </row>
    <row r="192">
      <c r="A192" s="8" t="inlineStr">
        <is>
          <t>编号</t>
        </is>
      </c>
      <c r="B192" s="8" t="inlineStr">
        <is>
          <t>姓名</t>
        </is>
      </c>
      <c r="C192" s="8" t="inlineStr">
        <is>
          <t>身高</t>
        </is>
      </c>
      <c r="D192" s="8" t="inlineStr">
        <is>
          <t>1RM</t>
        </is>
      </c>
      <c r="E192" s="8" t="inlineStr">
        <is>
          <t>睡眠</t>
        </is>
      </c>
      <c r="F192" s="8" t="inlineStr">
        <is>
          <t>压力</t>
        </is>
      </c>
      <c r="G192" s="8" t="inlineStr">
        <is>
          <t>疲劳</t>
        </is>
      </c>
      <c r="H192" s="8" t="inlineStr">
        <is>
          <t>酸痛</t>
        </is>
      </c>
      <c r="I192" s="8" t="inlineStr">
        <is>
          <t>Hooper总</t>
        </is>
      </c>
      <c r="J192" s="8" t="inlineStr">
        <is>
          <t>CMJ1</t>
        </is>
      </c>
      <c r="K192" s="8" t="inlineStr">
        <is>
          <t>CMJ2</t>
        </is>
      </c>
      <c r="L192" s="8" t="inlineStr">
        <is>
          <t>CMJ3</t>
        </is>
      </c>
      <c r="M192" s="8" t="inlineStr">
        <is>
          <t>CMJ均值</t>
        </is>
      </c>
      <c r="N192" s="8" t="inlineStr">
        <is>
          <t>&lt;95%?</t>
        </is>
      </c>
      <c r="O192" s="8" t="inlineStr">
        <is>
          <t>减组?</t>
        </is>
      </c>
      <c r="P192" s="8" t="inlineStr">
        <is>
          <t>实做组数</t>
        </is>
      </c>
      <c r="Q192" s="8" t="inlineStr">
        <is>
          <t>LVP_a</t>
        </is>
      </c>
      <c r="R192" s="8" t="inlineStr">
        <is>
          <t>LVP_b</t>
        </is>
      </c>
      <c r="S192" s="8" t="inlineStr">
        <is>
          <t>等级</t>
        </is>
      </c>
      <c r="T192" s="8" t="inlineStr">
        <is>
          <t>预测起始</t>
        </is>
      </c>
    </row>
    <row r="193">
      <c r="A193" s="9" t="inlineStr">
        <is>
          <t>P009</t>
        </is>
      </c>
      <c r="B193" s="9" t="inlineStr">
        <is>
          <t>王宏池</t>
        </is>
      </c>
      <c r="C193" s="9" t="n">
        <v>185</v>
      </c>
      <c r="D193" s="9" t="n">
        <v>135</v>
      </c>
      <c r="E193" s="9" t="n"/>
      <c r="F193" s="9" t="n"/>
      <c r="G193" s="9" t="n"/>
      <c r="H193" s="9" t="n"/>
      <c r="I193" s="10">
        <f>IFERROR(SUM(E193:H193),"")</f>
        <v/>
      </c>
      <c r="J193" s="9" t="n"/>
      <c r="K193" s="9" t="n"/>
      <c r="L193" s="9" t="n"/>
      <c r="M193" s="10">
        <f>IFERROR(AVERAGE(J193:L193),"")</f>
        <v/>
      </c>
      <c r="N193" s="10">
        <f>IF(M193="","",IF(M193&lt;54.27,"是⚠","否"))</f>
        <v/>
      </c>
      <c r="O193" s="10">
        <f>IF(M193="","",IF(M193&lt;54.27,"减1组","正常"))</f>
        <v/>
      </c>
      <c r="P193" s="10">
        <f>IF(M193="","",IF(M193&lt;54.27,5-1,5))</f>
        <v/>
      </c>
      <c r="Q193" s="9" t="n">
        <v>1.5667</v>
      </c>
      <c r="R193" s="9" t="n">
        <v>-0.008500000000000001</v>
      </c>
      <c r="S193" s="9" t="inlineStr">
        <is>
          <t>B</t>
        </is>
      </c>
      <c r="T193" s="10">
        <f>IFERROR(ROUND((0.75-1.5667)/-0.0085,0.5),"")</f>
        <v/>
      </c>
    </row>
    <row r="194">
      <c r="A194" s="8" t="inlineStr">
        <is>
          <t>热身校准</t>
        </is>
      </c>
      <c r="B194" s="8" t="inlineStr">
        <is>
          <t>LVP_a</t>
        </is>
      </c>
      <c r="C194" s="8" t="inlineStr">
        <is>
          <t>LVP_b</t>
        </is>
      </c>
      <c r="D194" s="8" t="inlineStr">
        <is>
          <t>50%热身kg</t>
        </is>
      </c>
      <c r="E194" s="8" t="inlineStr">
        <is>
          <t>70%热身kg</t>
        </is>
      </c>
      <c r="F194" s="8" t="inlineStr">
        <is>
          <t>热身负荷kg</t>
        </is>
      </c>
      <c r="G194" s="8" t="inlineStr">
        <is>
          <t>实测MCV</t>
        </is>
      </c>
      <c r="H194" s="8" t="inlineStr">
        <is>
          <t>预测MCV</t>
        </is>
      </c>
      <c r="I194" s="8" t="inlineStr">
        <is>
          <t>Δv</t>
        </is>
      </c>
      <c r="J194" s="8" t="inlineStr">
        <is>
          <t>调整量kg</t>
        </is>
      </c>
      <c r="K194" s="8" t="inlineStr">
        <is>
          <t>校准后第1组kg</t>
        </is>
      </c>
    </row>
    <row r="195">
      <c r="A195" s="11" t="inlineStr"/>
      <c r="B195" s="11" t="n">
        <v>1.5667</v>
      </c>
      <c r="C195" s="11" t="n">
        <v>-0.008500000000000001</v>
      </c>
      <c r="D195" s="10">
        <f>IFERROR(ROUND(T193*0.5,2.5),"")</f>
        <v/>
      </c>
      <c r="E195" s="10">
        <f>IFERROR(ROUND(T193*0.7,2.5),"")</f>
        <v/>
      </c>
      <c r="F195" s="10">
        <f>D195</f>
        <v/>
      </c>
      <c r="G195" s="9" t="n"/>
      <c r="H195" s="10">
        <f>IF(F195="","",B195+C195*F195)</f>
        <v/>
      </c>
      <c r="I195" s="10">
        <f>IF(OR(G195="",H195=""),"",G195-H195)</f>
        <v/>
      </c>
      <c r="J195" s="10">
        <f>IF(I195="","",IF(I195&gt;0.08,5,IF(I195&gt;0.04,2.5,IF(I195&gt;=-0.04,0,IF(I195&gt;=-0.08,-2.5,-5)))))</f>
        <v/>
      </c>
      <c r="K195" s="10">
        <f>IFERROR(ROUND(T193+J195,2.5),"")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8" t="inlineStr">
        <is>
          <t>组次</t>
        </is>
      </c>
      <c r="B196" s="8" t="inlineStr">
        <is>
          <t>负荷kg</t>
        </is>
      </c>
      <c r="C196" s="8" t="inlineStr">
        <is>
          <t>rep1</t>
        </is>
      </c>
      <c r="D196" s="8" t="inlineStr">
        <is>
          <t>rep2</t>
        </is>
      </c>
      <c r="E196" s="8" t="inlineStr">
        <is>
          <t>rep3</t>
        </is>
      </c>
      <c r="F196" s="8" t="inlineStr">
        <is>
          <t>rep4</t>
        </is>
      </c>
      <c r="G196" s="8" t="inlineStr">
        <is>
          <t>rep5</t>
        </is>
      </c>
      <c r="H196" s="8" t="inlineStr">
        <is>
          <t>rep6</t>
        </is>
      </c>
      <c r="I196" s="8" t="inlineStr">
        <is>
          <t>首rep</t>
        </is>
      </c>
      <c r="J196" s="8" t="inlineStr">
        <is>
          <t>最低速</t>
        </is>
      </c>
      <c r="K196" s="8" t="inlineStr">
        <is>
          <t>最低rep#</t>
        </is>
      </c>
      <c r="L196" s="8" t="inlineStr">
        <is>
          <t>VL%</t>
        </is>
      </c>
      <c r="M196" s="8" t="inlineStr">
        <is>
          <t>VL达标?</t>
        </is>
      </c>
      <c r="N196" s="8" t="inlineStr">
        <is>
          <t>安全停止?</t>
        </is>
      </c>
      <c r="O196" s="8" t="inlineStr">
        <is>
          <t>停组原因</t>
        </is>
      </c>
      <c r="P196" s="8" t="inlineStr">
        <is>
          <t>下组建议</t>
        </is>
      </c>
      <c r="Q196" s="8" t="inlineStr">
        <is>
          <t>实做次数</t>
        </is>
      </c>
    </row>
    <row r="197">
      <c r="A197" s="12" t="n">
        <v>1</v>
      </c>
      <c r="B197" s="10">
        <f>IF(K195="","",K195)</f>
        <v/>
      </c>
      <c r="C197" s="9" t="n"/>
      <c r="D197" s="9" t="n"/>
      <c r="E197" s="9" t="n"/>
      <c r="F197" s="9" t="n"/>
      <c r="G197" s="9" t="n"/>
      <c r="H197" s="9" t="n"/>
      <c r="I197" s="10">
        <f>IFERROR(INDEX(C197:H197,MATCH(TRUE,INDEX(C197:H197&lt;&gt;"",0),0)),"")</f>
        <v/>
      </c>
      <c r="J197" s="10">
        <f>IFERROR(MIN(IF(C197:H197&lt;&gt;"",C197:H197)),"")</f>
        <v/>
      </c>
      <c r="K197" s="10">
        <f>IFERROR(MATCH(I197,C197:H197,0),"")</f>
        <v/>
      </c>
      <c r="L197" s="10">
        <f>IF(OR(I197="",J197=""),"",ROUND((I197-J197)/I197*100,1))</f>
        <v/>
      </c>
      <c r="M197" s="10">
        <f>IF(L197="","",IF(L197&gt;=12,"是","否"))</f>
        <v/>
      </c>
      <c r="N197" s="10">
        <f>IF(J197="","",IF(J197&lt;0.15,"是","否"))</f>
        <v/>
      </c>
      <c r="O197" s="10">
        <f>IF(I197="","",IF(J197&lt;0.15,"SAFETY_STOP",IF(L197&gt;=12,"VL_THRESHOLD","PLANNED_END")))</f>
        <v/>
      </c>
      <c r="P197" s="10">
        <f>IF(I197="","",IF(I197&gt;($D$2+0.05),"+5kg",IF(I197&gt;($D$2+0.02),"+2.5kg",IF(I197&gt;=($D$2-0.05),"保持",IF(I197&gt;=($D$2-0.08),"-2.5kg","-5kg")))))</f>
        <v/>
      </c>
      <c r="Q197" s="9" t="n"/>
      <c r="R197" s="12" t="n"/>
      <c r="S197" s="12" t="n"/>
      <c r="T197" s="12" t="n"/>
    </row>
    <row r="198">
      <c r="A198" s="12" t="n">
        <v>2</v>
      </c>
      <c r="B198" s="9" t="n"/>
      <c r="C198" s="9" t="n"/>
      <c r="D198" s="9" t="n"/>
      <c r="E198" s="9" t="n"/>
      <c r="F198" s="9" t="n"/>
      <c r="G198" s="9" t="n"/>
      <c r="H198" s="9" t="n"/>
      <c r="I198" s="10">
        <f>IFERROR(INDEX(C198:H198,MATCH(TRUE,INDEX(C198:H198&lt;&gt;"",0),0)),"")</f>
        <v/>
      </c>
      <c r="J198" s="10">
        <f>IFERROR(MIN(IF(C198:H198&lt;&gt;"",C198:H198)),"")</f>
        <v/>
      </c>
      <c r="K198" s="10">
        <f>IFERROR(MATCH(I198,C198:H198,0),"")</f>
        <v/>
      </c>
      <c r="L198" s="10">
        <f>IF(OR(I198="",J198=""),"",ROUND((I198-J198)/I198*100,1))</f>
        <v/>
      </c>
      <c r="M198" s="10">
        <f>IF(L198="","",IF(L198&gt;=12,"是","否"))</f>
        <v/>
      </c>
      <c r="N198" s="10">
        <f>IF(J198="","",IF(J198&lt;0.15,"是","否"))</f>
        <v/>
      </c>
      <c r="O198" s="10">
        <f>IF(I198="","",IF(J198&lt;0.15,"SAFETY_STOP",IF(L198&gt;=12,"VL_THRESHOLD","PLANNED_END")))</f>
        <v/>
      </c>
      <c r="P198" s="10">
        <f>IF(I198="","",IF(I198&gt;($D$2+0.05),"+5kg",IF(I198&gt;($D$2+0.02),"+2.5kg",IF(I198&gt;=($D$2-0.05),"保持",IF(I198&gt;=($D$2-0.08),"-2.5kg","-5kg")))))</f>
        <v/>
      </c>
      <c r="Q198" s="9" t="n"/>
      <c r="R198" s="12" t="n"/>
      <c r="S198" s="12" t="n"/>
      <c r="T198" s="12" t="n"/>
    </row>
    <row r="199">
      <c r="A199" s="12" t="n">
        <v>3</v>
      </c>
      <c r="B199" s="9" t="n"/>
      <c r="C199" s="9" t="n"/>
      <c r="D199" s="9" t="n"/>
      <c r="E199" s="9" t="n"/>
      <c r="F199" s="9" t="n"/>
      <c r="G199" s="9" t="n"/>
      <c r="H199" s="9" t="n"/>
      <c r="I199" s="10">
        <f>IFERROR(INDEX(C199:H199,MATCH(TRUE,INDEX(C199:H199&lt;&gt;"",0),0)),"")</f>
        <v/>
      </c>
      <c r="J199" s="10">
        <f>IFERROR(MIN(IF(C199:H199&lt;&gt;"",C199:H199)),"")</f>
        <v/>
      </c>
      <c r="K199" s="10">
        <f>IFERROR(MATCH(I199,C199:H199,0),"")</f>
        <v/>
      </c>
      <c r="L199" s="10">
        <f>IF(OR(I199="",J199=""),"",ROUND((I199-J199)/I199*100,1))</f>
        <v/>
      </c>
      <c r="M199" s="10">
        <f>IF(L199="","",IF(L199&gt;=12,"是","否"))</f>
        <v/>
      </c>
      <c r="N199" s="10">
        <f>IF(J199="","",IF(J199&lt;0.15,"是","否"))</f>
        <v/>
      </c>
      <c r="O199" s="10">
        <f>IF(I199="","",IF(J199&lt;0.15,"SAFETY_STOP",IF(L199&gt;=12,"VL_THRESHOLD","PLANNED_END")))</f>
        <v/>
      </c>
      <c r="P199" s="10">
        <f>IF(I199="","",IF(I199&gt;($D$2+0.05),"+5kg",IF(I199&gt;($D$2+0.02),"+2.5kg",IF(I199&gt;=($D$2-0.05),"保持",IF(I199&gt;=($D$2-0.08),"-2.5kg","-5kg")))))</f>
        <v/>
      </c>
      <c r="Q199" s="9" t="n"/>
      <c r="R199" s="12" t="n"/>
      <c r="S199" s="12" t="n"/>
      <c r="T199" s="12" t="n"/>
    </row>
    <row r="200">
      <c r="A200" s="12" t="n">
        <v>4</v>
      </c>
      <c r="B200" s="9" t="n"/>
      <c r="C200" s="9" t="n"/>
      <c r="D200" s="9" t="n"/>
      <c r="E200" s="9" t="n"/>
      <c r="F200" s="9" t="n"/>
      <c r="G200" s="9" t="n"/>
      <c r="H200" s="9" t="n"/>
      <c r="I200" s="10">
        <f>IFERROR(INDEX(C200:H200,MATCH(TRUE,INDEX(C200:H200&lt;&gt;"",0),0)),"")</f>
        <v/>
      </c>
      <c r="J200" s="10">
        <f>IFERROR(MIN(IF(C200:H200&lt;&gt;"",C200:H200)),"")</f>
        <v/>
      </c>
      <c r="K200" s="10">
        <f>IFERROR(MATCH(I200,C200:H200,0),"")</f>
        <v/>
      </c>
      <c r="L200" s="10">
        <f>IF(OR(I200="",J200=""),"",ROUND((I200-J200)/I200*100,1))</f>
        <v/>
      </c>
      <c r="M200" s="10">
        <f>IF(L200="","",IF(L200&gt;=12,"是","否"))</f>
        <v/>
      </c>
      <c r="N200" s="10">
        <f>IF(J200="","",IF(J200&lt;0.15,"是","否"))</f>
        <v/>
      </c>
      <c r="O200" s="10">
        <f>IF(I200="","",IF(J200&lt;0.15,"SAFETY_STOP",IF(L200&gt;=12,"VL_THRESHOLD","PLANNED_END")))</f>
        <v/>
      </c>
      <c r="P200" s="10">
        <f>IF(I200="","",IF(I200&gt;($D$2+0.05),"+5kg",IF(I200&gt;($D$2+0.02),"+2.5kg",IF(I200&gt;=($D$2-0.05),"保持",IF(I200&gt;=($D$2-0.08),"-2.5kg","-5kg")))))</f>
        <v/>
      </c>
      <c r="Q200" s="9" t="n"/>
      <c r="R200" s="12" t="n"/>
      <c r="S200" s="12" t="n"/>
      <c r="T200" s="12" t="n"/>
    </row>
    <row r="201">
      <c r="A201" s="12" t="n">
        <v>5</v>
      </c>
      <c r="B201" s="9" t="n"/>
      <c r="C201" s="9" t="n"/>
      <c r="D201" s="9" t="n"/>
      <c r="E201" s="9" t="n"/>
      <c r="F201" s="9" t="n"/>
      <c r="G201" s="9" t="n"/>
      <c r="H201" s="9" t="n"/>
      <c r="I201" s="10">
        <f>IFERROR(INDEX(C201:H201,MATCH(TRUE,INDEX(C201:H201&lt;&gt;"",0),0)),"")</f>
        <v/>
      </c>
      <c r="J201" s="10">
        <f>IFERROR(MIN(IF(C201:H201&lt;&gt;"",C201:H201)),"")</f>
        <v/>
      </c>
      <c r="K201" s="10">
        <f>IFERROR(MATCH(I201,C201:H201,0),"")</f>
        <v/>
      </c>
      <c r="L201" s="10">
        <f>IF(OR(I201="",J201=""),"",ROUND((I201-J201)/I201*100,1))</f>
        <v/>
      </c>
      <c r="M201" s="10">
        <f>IF(L201="","",IF(L201&gt;=12,"是","否"))</f>
        <v/>
      </c>
      <c r="N201" s="10">
        <f>IF(J201="","",IF(J201&lt;0.15,"是","否"))</f>
        <v/>
      </c>
      <c r="O201" s="10">
        <f>IF(I201="","",IF(J201&lt;0.15,"SAFETY_STOP",IF(L201&gt;=12,"VL_THRESHOLD","PLANNED_END")))</f>
        <v/>
      </c>
      <c r="P201" s="10">
        <f>IF(I201="","",IF(I201&gt;($D$2+0.05),"+5kg",IF(I201&gt;($D$2+0.02),"+2.5kg",IF(I201&gt;=($D$2-0.05),"保持",IF(I201&gt;=($D$2-0.08),"-2.5kg","-5kg")))))</f>
        <v/>
      </c>
      <c r="Q201" s="9" t="n"/>
      <c r="R201" s="12" t="n"/>
      <c r="S201" s="12" t="n"/>
      <c r="T201" s="12" t="n"/>
    </row>
    <row r="202">
      <c r="A202" s="12" t="n">
        <v>6</v>
      </c>
      <c r="B202" s="9" t="n"/>
      <c r="C202" s="9" t="n"/>
      <c r="D202" s="9" t="n"/>
      <c r="E202" s="9" t="n"/>
      <c r="F202" s="9" t="n"/>
      <c r="G202" s="9" t="n"/>
      <c r="H202" s="9" t="n"/>
      <c r="I202" s="10">
        <f>IFERROR(INDEX(C202:H202,MATCH(TRUE,INDEX(C202:H202&lt;&gt;"",0),0)),"")</f>
        <v/>
      </c>
      <c r="J202" s="10">
        <f>IFERROR(MIN(IF(C202:H202&lt;&gt;"",C202:H202)),"")</f>
        <v/>
      </c>
      <c r="K202" s="10">
        <f>IFERROR(MATCH(I202,C202:H202,0),"")</f>
        <v/>
      </c>
      <c r="L202" s="10">
        <f>IF(OR(I202="",J202=""),"",ROUND((I202-J202)/I202*100,1))</f>
        <v/>
      </c>
      <c r="M202" s="10">
        <f>IF(L202="","",IF(L202&gt;=12,"是","否"))</f>
        <v/>
      </c>
      <c r="N202" s="10">
        <f>IF(J202="","",IF(J202&lt;0.15,"是","否"))</f>
        <v/>
      </c>
      <c r="O202" s="10">
        <f>IF(I202="","",IF(J202&lt;0.15,"SAFETY_STOP",IF(L202&gt;=12,"VL_THRESHOLD","PLANNED_END")))</f>
        <v/>
      </c>
      <c r="P202" s="10">
        <f>IF(I202="","",IF(I202&gt;($D$2+0.05),"+5kg",IF(I202&gt;($D$2+0.02),"+2.5kg",IF(I202&gt;=($D$2-0.05),"保持",IF(I202&gt;=($D$2-0.08),"-2.5kg","-5kg")))))</f>
        <v/>
      </c>
      <c r="Q202" s="9" t="n"/>
      <c r="R202" s="12" t="n"/>
      <c r="S202" s="12" t="n"/>
      <c r="T202" s="12" t="n"/>
    </row>
    <row r="203">
      <c r="A203" s="8" t="inlineStr">
        <is>
          <t>辅助动作</t>
        </is>
      </c>
      <c r="B203" s="8" t="inlineStr">
        <is>
          <t>动作名称</t>
        </is>
      </c>
      <c r="C203" s="8" t="inlineStr">
        <is>
          <t>负荷kg</t>
        </is>
      </c>
      <c r="D203" s="8" t="inlineStr">
        <is>
          <t>完成(组×次)</t>
        </is>
      </c>
    </row>
    <row r="204">
      <c r="A204" s="9" t="inlineStr"/>
      <c r="B204" s="9" t="n"/>
      <c r="C204" s="9" t="n"/>
      <c r="D204" s="9" t="n"/>
    </row>
    <row r="205">
      <c r="A205" s="8" t="inlineStr">
        <is>
          <t>训练后</t>
        </is>
      </c>
      <c r="B205" s="8" t="inlineStr">
        <is>
          <t>开始时间</t>
        </is>
      </c>
      <c r="C205" s="8" t="inlineStr">
        <is>
          <t>结束时间</t>
        </is>
      </c>
      <c r="D205" s="8" t="inlineStr">
        <is>
          <t>总时长min</t>
        </is>
      </c>
      <c r="E205" s="8" t="inlineStr">
        <is>
          <t>sRPE</t>
        </is>
      </c>
      <c r="F205" s="8" t="inlineStr">
        <is>
          <t>session_load</t>
        </is>
      </c>
      <c r="G205" s="8" t="inlineStr">
        <is>
          <t>有无不适</t>
        </is>
      </c>
      <c r="H205" s="8" t="inlineStr">
        <is>
          <t>备注</t>
        </is>
      </c>
      <c r="I205" s="8" t="inlineStr">
        <is>
          <t>研究员签名</t>
        </is>
      </c>
    </row>
    <row r="206">
      <c r="A206" s="13" t="inlineStr"/>
      <c r="B206" s="13" t="n"/>
      <c r="C206" s="13" t="n"/>
      <c r="D206" s="10">
        <f>IF(OR(B206="",C206=""),"",(C206-B206)*1440)</f>
        <v/>
      </c>
      <c r="E206" s="13" t="n"/>
      <c r="F206" s="10">
        <f>IF(OR(D206="",E206=""),"",D206*E206)</f>
        <v/>
      </c>
      <c r="G206" s="13" t="n"/>
      <c r="H206" s="13" t="n"/>
      <c r="I206" s="13" t="n"/>
    </row>
  </sheetData>
  <mergeCells count="13">
    <mergeCell ref="A1:T1"/>
    <mergeCell ref="A89:T89"/>
    <mergeCell ref="A4:T4"/>
    <mergeCell ref="A106:T106"/>
    <mergeCell ref="A21:T21"/>
    <mergeCell ref="A140:T140"/>
    <mergeCell ref="A55:T55"/>
    <mergeCell ref="A38:T38"/>
    <mergeCell ref="A157:T157"/>
    <mergeCell ref="A72:T72"/>
    <mergeCell ref="A174:T174"/>
    <mergeCell ref="A191:T191"/>
    <mergeCell ref="A123:T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6" customWidth="1" min="15" max="15"/>
    <col width="12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>
      <c r="A1" s="1" t="inlineStr">
        <is>
          <t>研究二 AI组训练执行计算表 — W3_A（Day A）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目标MCV区间</t>
        </is>
      </c>
      <c r="B2" s="4" t="inlineStr">
        <is>
          <t>0.40-0.55</t>
        </is>
      </c>
      <c r="C2" s="3" t="inlineStr">
        <is>
          <t>目标MCV中点</t>
        </is>
      </c>
      <c r="D2" s="4" t="n">
        <v>0.475</v>
      </c>
      <c r="E2" s="3" t="inlineStr">
        <is>
          <t>VL阈值%</t>
        </is>
      </c>
      <c r="F2" s="4" t="n">
        <v>25</v>
      </c>
      <c r="G2" s="3" t="inlineStr">
        <is>
          <t>安全停止(m/s)</t>
        </is>
      </c>
      <c r="H2" s="4" t="n">
        <v>0.15</v>
      </c>
      <c r="I2" s="3" t="inlineStr">
        <is>
          <t>计划组数</t>
        </is>
      </c>
      <c r="J2" s="4" t="n">
        <v>5</v>
      </c>
      <c r="K2" s="3" t="inlineStr">
        <is>
          <t>每组次数</t>
        </is>
      </c>
      <c r="L2" s="4" t="inlineStr">
        <is>
          <t>4-5</t>
        </is>
      </c>
    </row>
    <row r="4">
      <c r="A4" s="5" t="inlineStr">
        <is>
          <t>── P007 陈鑫 ──────────────────────────────────────────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7" t="n"/>
    </row>
    <row r="5">
      <c r="A5" s="8" t="inlineStr">
        <is>
          <t>编号</t>
        </is>
      </c>
      <c r="B5" s="8" t="inlineStr">
        <is>
          <t>姓名</t>
        </is>
      </c>
      <c r="C5" s="8" t="inlineStr">
        <is>
          <t>身高</t>
        </is>
      </c>
      <c r="D5" s="8" t="inlineStr">
        <is>
          <t>1RM</t>
        </is>
      </c>
      <c r="E5" s="8" t="inlineStr">
        <is>
          <t>睡眠</t>
        </is>
      </c>
      <c r="F5" s="8" t="inlineStr">
        <is>
          <t>压力</t>
        </is>
      </c>
      <c r="G5" s="8" t="inlineStr">
        <is>
          <t>疲劳</t>
        </is>
      </c>
      <c r="H5" s="8" t="inlineStr">
        <is>
          <t>酸痛</t>
        </is>
      </c>
      <c r="I5" s="8" t="inlineStr">
        <is>
          <t>Hooper总</t>
        </is>
      </c>
      <c r="J5" s="8" t="inlineStr">
        <is>
          <t>CMJ1</t>
        </is>
      </c>
      <c r="K5" s="8" t="inlineStr">
        <is>
          <t>CMJ2</t>
        </is>
      </c>
      <c r="L5" s="8" t="inlineStr">
        <is>
          <t>CMJ3</t>
        </is>
      </c>
      <c r="M5" s="8" t="inlineStr">
        <is>
          <t>CMJ均值</t>
        </is>
      </c>
      <c r="N5" s="8" t="inlineStr">
        <is>
          <t>&lt;95%?</t>
        </is>
      </c>
      <c r="O5" s="8" t="inlineStr">
        <is>
          <t>减组?</t>
        </is>
      </c>
      <c r="P5" s="8" t="inlineStr">
        <is>
          <t>实做组数</t>
        </is>
      </c>
      <c r="Q5" s="8" t="inlineStr">
        <is>
          <t>LVP_a</t>
        </is>
      </c>
      <c r="R5" s="8" t="inlineStr">
        <is>
          <t>LVP_b</t>
        </is>
      </c>
      <c r="S5" s="8" t="inlineStr">
        <is>
          <t>等级</t>
        </is>
      </c>
      <c r="T5" s="8" t="inlineStr">
        <is>
          <t>预测起始</t>
        </is>
      </c>
    </row>
    <row r="6">
      <c r="A6" s="9" t="inlineStr">
        <is>
          <t>P007</t>
        </is>
      </c>
      <c r="B6" s="9" t="inlineStr">
        <is>
          <t>陈鑫</t>
        </is>
      </c>
      <c r="C6" s="9" t="n">
        <v>173</v>
      </c>
      <c r="D6" s="9" t="n">
        <v>110</v>
      </c>
      <c r="E6" s="9" t="n"/>
      <c r="F6" s="9" t="n"/>
      <c r="G6" s="9" t="n"/>
      <c r="H6" s="9" t="n"/>
      <c r="I6" s="10">
        <f>IFERROR(SUM(E6:H6),"")</f>
        <v/>
      </c>
      <c r="J6" s="9" t="n"/>
      <c r="K6" s="9" t="n"/>
      <c r="L6" s="9" t="n"/>
      <c r="M6" s="10">
        <f>IFERROR(AVERAGE(J6:L6),"")</f>
        <v/>
      </c>
      <c r="N6" s="10">
        <f>IF(M6="","",IF(M6&lt;63.01,"是⚠","否"))</f>
        <v/>
      </c>
      <c r="O6" s="10">
        <f>IF(M6="","",IF(M6&lt;63.01,"减1组","正常"))</f>
        <v/>
      </c>
      <c r="P6" s="10">
        <f>IF(M6="","",IF(M6&lt;63.01,5-1,5))</f>
        <v/>
      </c>
      <c r="Q6" s="9" t="n">
        <v>1.65</v>
      </c>
      <c r="R6" s="9" t="n">
        <v>-0.0125</v>
      </c>
      <c r="S6" s="9" t="inlineStr">
        <is>
          <t>A</t>
        </is>
      </c>
      <c r="T6" s="10">
        <f>IFERROR(ROUND((0.475-1.65)/-0.0125,0.5),"")</f>
        <v/>
      </c>
    </row>
    <row r="7">
      <c r="A7" s="8" t="inlineStr">
        <is>
          <t>热身校准</t>
        </is>
      </c>
      <c r="B7" s="8" t="inlineStr">
        <is>
          <t>LVP_a</t>
        </is>
      </c>
      <c r="C7" s="8" t="inlineStr">
        <is>
          <t>LVP_b</t>
        </is>
      </c>
      <c r="D7" s="8" t="inlineStr">
        <is>
          <t>50%热身kg</t>
        </is>
      </c>
      <c r="E7" s="8" t="inlineStr">
        <is>
          <t>70%热身kg</t>
        </is>
      </c>
      <c r="F7" s="8" t="inlineStr">
        <is>
          <t>热身负荷kg</t>
        </is>
      </c>
      <c r="G7" s="8" t="inlineStr">
        <is>
          <t>实测MCV</t>
        </is>
      </c>
      <c r="H7" s="8" t="inlineStr">
        <is>
          <t>预测MCV</t>
        </is>
      </c>
      <c r="I7" s="8" t="inlineStr">
        <is>
          <t>Δv</t>
        </is>
      </c>
      <c r="J7" s="8" t="inlineStr">
        <is>
          <t>调整量kg</t>
        </is>
      </c>
      <c r="K7" s="8" t="inlineStr">
        <is>
          <t>校准后第1组kg</t>
        </is>
      </c>
    </row>
    <row r="8">
      <c r="A8" s="11" t="inlineStr"/>
      <c r="B8" s="11" t="n">
        <v>1.65</v>
      </c>
      <c r="C8" s="11" t="n">
        <v>-0.0125</v>
      </c>
      <c r="D8" s="10">
        <f>IFERROR(ROUND(T6*0.5,2.5),"")</f>
        <v/>
      </c>
      <c r="E8" s="10">
        <f>IFERROR(ROUND(T6*0.7,2.5),"")</f>
        <v/>
      </c>
      <c r="F8" s="10">
        <f>E8</f>
        <v/>
      </c>
      <c r="G8" s="9" t="n"/>
      <c r="H8" s="10">
        <f>IF(F8="","",B8+C8*F8)</f>
        <v/>
      </c>
      <c r="I8" s="10">
        <f>IF(OR(G8="",H8=""),"",G8-H8)</f>
        <v/>
      </c>
      <c r="J8" s="10">
        <f>IF(I8="","",IF(I8&gt;0.08,5,IF(I8&gt;0.04,2.5,IF(I8&gt;=-0.04,0,IF(I8&gt;=-0.08,-2.5,-5)))))</f>
        <v/>
      </c>
      <c r="K8" s="10">
        <f>IFERROR(ROUND(T6+J8,2.5),"")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8" t="inlineStr">
        <is>
          <t>组次</t>
        </is>
      </c>
      <c r="B9" s="8" t="inlineStr">
        <is>
          <t>负荷kg</t>
        </is>
      </c>
      <c r="C9" s="8" t="inlineStr">
        <is>
          <t>rep1</t>
        </is>
      </c>
      <c r="D9" s="8" t="inlineStr">
        <is>
          <t>rep2</t>
        </is>
      </c>
      <c r="E9" s="8" t="inlineStr">
        <is>
          <t>rep3</t>
        </is>
      </c>
      <c r="F9" s="8" t="inlineStr">
        <is>
          <t>rep4</t>
        </is>
      </c>
      <c r="G9" s="8" t="inlineStr">
        <is>
          <t>rep5</t>
        </is>
      </c>
      <c r="H9" s="8" t="inlineStr">
        <is>
          <t>rep6</t>
        </is>
      </c>
      <c r="I9" s="8" t="inlineStr">
        <is>
          <t>首rep</t>
        </is>
      </c>
      <c r="J9" s="8" t="inlineStr">
        <is>
          <t>最低速</t>
        </is>
      </c>
      <c r="K9" s="8" t="inlineStr">
        <is>
          <t>最低rep#</t>
        </is>
      </c>
      <c r="L9" s="8" t="inlineStr">
        <is>
          <t>VL%</t>
        </is>
      </c>
      <c r="M9" s="8" t="inlineStr">
        <is>
          <t>VL达标?</t>
        </is>
      </c>
      <c r="N9" s="8" t="inlineStr">
        <is>
          <t>安全停止?</t>
        </is>
      </c>
      <c r="O9" s="8" t="inlineStr">
        <is>
          <t>停组原因</t>
        </is>
      </c>
      <c r="P9" s="8" t="inlineStr">
        <is>
          <t>下组建议</t>
        </is>
      </c>
      <c r="Q9" s="8" t="inlineStr">
        <is>
          <t>实做次数</t>
        </is>
      </c>
    </row>
    <row r="10">
      <c r="A10" s="12" t="n">
        <v>1</v>
      </c>
      <c r="B10" s="10">
        <f>IF(K8="","",K8)</f>
        <v/>
      </c>
      <c r="C10" s="9" t="n"/>
      <c r="D10" s="9" t="n"/>
      <c r="E10" s="9" t="n"/>
      <c r="F10" s="9" t="n"/>
      <c r="G10" s="9" t="n"/>
      <c r="H10" s="9" t="n"/>
      <c r="I10" s="10">
        <f>IFERROR(INDEX(C10:H10,MATCH(TRUE,INDEX(C10:H10&lt;&gt;"",0),0)),"")</f>
        <v/>
      </c>
      <c r="J10" s="10">
        <f>IFERROR(MIN(IF(C10:H10&lt;&gt;"",C10:H10)),"")</f>
        <v/>
      </c>
      <c r="K10" s="10">
        <f>IFERROR(MATCH(I10,C10:H10,0),"")</f>
        <v/>
      </c>
      <c r="L10" s="10">
        <f>IF(OR(I10="",J10=""),"",ROUND((I10-J10)/I10*100,1))</f>
        <v/>
      </c>
      <c r="M10" s="10">
        <f>IF(L10="","",IF(L10&gt;=25,"是","否"))</f>
        <v/>
      </c>
      <c r="N10" s="10">
        <f>IF(J10="","",IF(J10&lt;0.15,"是","否"))</f>
        <v/>
      </c>
      <c r="O10" s="10">
        <f>IF(I10="","",IF(J10&lt;0.15,"SAFETY_STOP",IF(L10&gt;=25,"VL_THRESHOLD","PLANNED_END")))</f>
        <v/>
      </c>
      <c r="P10" s="10">
        <f>IF(I10="","",IF(I10&gt;($D$2+0.05),"+5kg",IF(I10&gt;($D$2+0.02),"+2.5kg",IF(I10&gt;=($D$2-0.05),"保持",IF(I10&gt;=($D$2-0.08),"-2.5kg","-5kg")))))</f>
        <v/>
      </c>
      <c r="Q10" s="9" t="n"/>
      <c r="R10" s="12" t="n"/>
      <c r="S10" s="12" t="n"/>
      <c r="T10" s="12" t="n"/>
    </row>
    <row r="11">
      <c r="A11" s="12" t="n">
        <v>2</v>
      </c>
      <c r="B11" s="9" t="n"/>
      <c r="C11" s="9" t="n"/>
      <c r="D11" s="9" t="n"/>
      <c r="E11" s="9" t="n"/>
      <c r="F11" s="9" t="n"/>
      <c r="G11" s="9" t="n"/>
      <c r="H11" s="9" t="n"/>
      <c r="I11" s="10">
        <f>IFERROR(INDEX(C11:H11,MATCH(TRUE,INDEX(C11:H11&lt;&gt;"",0),0)),"")</f>
        <v/>
      </c>
      <c r="J11" s="10">
        <f>IFERROR(MIN(IF(C11:H11&lt;&gt;"",C11:H11)),"")</f>
        <v/>
      </c>
      <c r="K11" s="10">
        <f>IFERROR(MATCH(I11,C11:H11,0),"")</f>
        <v/>
      </c>
      <c r="L11" s="10">
        <f>IF(OR(I11="",J11=""),"",ROUND((I11-J11)/I11*100,1))</f>
        <v/>
      </c>
      <c r="M11" s="10">
        <f>IF(L11="","",IF(L11&gt;=25,"是","否"))</f>
        <v/>
      </c>
      <c r="N11" s="10">
        <f>IF(J11="","",IF(J11&lt;0.15,"是","否"))</f>
        <v/>
      </c>
      <c r="O11" s="10">
        <f>IF(I11="","",IF(J11&lt;0.15,"SAFETY_STOP",IF(L11&gt;=25,"VL_THRESHOLD","PLANNED_END")))</f>
        <v/>
      </c>
      <c r="P11" s="10">
        <f>IF(I11="","",IF(I11&gt;($D$2+0.05),"+5kg",IF(I11&gt;($D$2+0.02),"+2.5kg",IF(I11&gt;=($D$2-0.05),"保持",IF(I11&gt;=($D$2-0.08),"-2.5kg","-5kg")))))</f>
        <v/>
      </c>
      <c r="Q11" s="9" t="n"/>
      <c r="R11" s="12" t="n"/>
      <c r="S11" s="12" t="n"/>
      <c r="T11" s="12" t="n"/>
    </row>
    <row r="12">
      <c r="A12" s="12" t="n">
        <v>3</v>
      </c>
      <c r="B12" s="9" t="n"/>
      <c r="C12" s="9" t="n"/>
      <c r="D12" s="9" t="n"/>
      <c r="E12" s="9" t="n"/>
      <c r="F12" s="9" t="n"/>
      <c r="G12" s="9" t="n"/>
      <c r="H12" s="9" t="n"/>
      <c r="I12" s="10">
        <f>IFERROR(INDEX(C12:H12,MATCH(TRUE,INDEX(C12:H12&lt;&gt;"",0),0)),"")</f>
        <v/>
      </c>
      <c r="J12" s="10">
        <f>IFERROR(MIN(IF(C12:H12&lt;&gt;"",C12:H12)),"")</f>
        <v/>
      </c>
      <c r="K12" s="10">
        <f>IFERROR(MATCH(I12,C12:H12,0),"")</f>
        <v/>
      </c>
      <c r="L12" s="10">
        <f>IF(OR(I12="",J12=""),"",ROUND((I12-J12)/I12*100,1))</f>
        <v/>
      </c>
      <c r="M12" s="10">
        <f>IF(L12="","",IF(L12&gt;=25,"是","否"))</f>
        <v/>
      </c>
      <c r="N12" s="10">
        <f>IF(J12="","",IF(J12&lt;0.15,"是","否"))</f>
        <v/>
      </c>
      <c r="O12" s="10">
        <f>IF(I12="","",IF(J12&lt;0.15,"SAFETY_STOP",IF(L12&gt;=25,"VL_THRESHOLD","PLANNED_END")))</f>
        <v/>
      </c>
      <c r="P12" s="10">
        <f>IF(I12="","",IF(I12&gt;($D$2+0.05),"+5kg",IF(I12&gt;($D$2+0.02),"+2.5kg",IF(I12&gt;=($D$2-0.05),"保持",IF(I12&gt;=($D$2-0.08),"-2.5kg","-5kg")))))</f>
        <v/>
      </c>
      <c r="Q12" s="9" t="n"/>
      <c r="R12" s="12" t="n"/>
      <c r="S12" s="12" t="n"/>
      <c r="T12" s="12" t="n"/>
    </row>
    <row r="13">
      <c r="A13" s="12" t="n">
        <v>4</v>
      </c>
      <c r="B13" s="9" t="n"/>
      <c r="C13" s="9" t="n"/>
      <c r="D13" s="9" t="n"/>
      <c r="E13" s="9" t="n"/>
      <c r="F13" s="9" t="n"/>
      <c r="G13" s="9" t="n"/>
      <c r="H13" s="9" t="n"/>
      <c r="I13" s="10">
        <f>IFERROR(INDEX(C13:H13,MATCH(TRUE,INDEX(C13:H13&lt;&gt;"",0),0)),"")</f>
        <v/>
      </c>
      <c r="J13" s="10">
        <f>IFERROR(MIN(IF(C13:H13&lt;&gt;"",C13:H13)),"")</f>
        <v/>
      </c>
      <c r="K13" s="10">
        <f>IFERROR(MATCH(I13,C13:H13,0),"")</f>
        <v/>
      </c>
      <c r="L13" s="10">
        <f>IF(OR(I13="",J13=""),"",ROUND((I13-J13)/I13*100,1))</f>
        <v/>
      </c>
      <c r="M13" s="10">
        <f>IF(L13="","",IF(L13&gt;=25,"是","否"))</f>
        <v/>
      </c>
      <c r="N13" s="10">
        <f>IF(J13="","",IF(J13&lt;0.15,"是","否"))</f>
        <v/>
      </c>
      <c r="O13" s="10">
        <f>IF(I13="","",IF(J13&lt;0.15,"SAFETY_STOP",IF(L13&gt;=25,"VL_THRESHOLD","PLANNED_END")))</f>
        <v/>
      </c>
      <c r="P13" s="10">
        <f>IF(I13="","",IF(I13&gt;($D$2+0.05),"+5kg",IF(I13&gt;($D$2+0.02),"+2.5kg",IF(I13&gt;=($D$2-0.05),"保持",IF(I13&gt;=($D$2-0.08),"-2.5kg","-5kg")))))</f>
        <v/>
      </c>
      <c r="Q13" s="9" t="n"/>
      <c r="R13" s="12" t="n"/>
      <c r="S13" s="12" t="n"/>
      <c r="T13" s="12" t="n"/>
    </row>
    <row r="14">
      <c r="A14" s="12" t="n">
        <v>5</v>
      </c>
      <c r="B14" s="9" t="n"/>
      <c r="C14" s="9" t="n"/>
      <c r="D14" s="9" t="n"/>
      <c r="E14" s="9" t="n"/>
      <c r="F14" s="9" t="n"/>
      <c r="G14" s="9" t="n"/>
      <c r="H14" s="9" t="n"/>
      <c r="I14" s="10">
        <f>IFERROR(INDEX(C14:H14,MATCH(TRUE,INDEX(C14:H14&lt;&gt;"",0),0)),"")</f>
        <v/>
      </c>
      <c r="J14" s="10">
        <f>IFERROR(MIN(IF(C14:H14&lt;&gt;"",C14:H14)),"")</f>
        <v/>
      </c>
      <c r="K14" s="10">
        <f>IFERROR(MATCH(I14,C14:H14,0),"")</f>
        <v/>
      </c>
      <c r="L14" s="10">
        <f>IF(OR(I14="",J14=""),"",ROUND((I14-J14)/I14*100,1))</f>
        <v/>
      </c>
      <c r="M14" s="10">
        <f>IF(L14="","",IF(L14&gt;=25,"是","否"))</f>
        <v/>
      </c>
      <c r="N14" s="10">
        <f>IF(J14="","",IF(J14&lt;0.15,"是","否"))</f>
        <v/>
      </c>
      <c r="O14" s="10">
        <f>IF(I14="","",IF(J14&lt;0.15,"SAFETY_STOP",IF(L14&gt;=25,"VL_THRESHOLD","PLANNED_END")))</f>
        <v/>
      </c>
      <c r="P14" s="10">
        <f>IF(I14="","",IF(I14&gt;($D$2+0.05),"+5kg",IF(I14&gt;($D$2+0.02),"+2.5kg",IF(I14&gt;=($D$2-0.05),"保持",IF(I14&gt;=($D$2-0.08),"-2.5kg","-5kg")))))</f>
        <v/>
      </c>
      <c r="Q14" s="9" t="n"/>
      <c r="R14" s="12" t="n"/>
      <c r="S14" s="12" t="n"/>
      <c r="T14" s="12" t="n"/>
    </row>
    <row r="15">
      <c r="A15" s="12" t="n">
        <v>6</v>
      </c>
      <c r="B15" s="9" t="n"/>
      <c r="C15" s="9" t="n"/>
      <c r="D15" s="9" t="n"/>
      <c r="E15" s="9" t="n"/>
      <c r="F15" s="9" t="n"/>
      <c r="G15" s="9" t="n"/>
      <c r="H15" s="9" t="n"/>
      <c r="I15" s="10">
        <f>IFERROR(INDEX(C15:H15,MATCH(TRUE,INDEX(C15:H15&lt;&gt;"",0),0)),"")</f>
        <v/>
      </c>
      <c r="J15" s="10">
        <f>IFERROR(MIN(IF(C15:H15&lt;&gt;"",C15:H15)),"")</f>
        <v/>
      </c>
      <c r="K15" s="10">
        <f>IFERROR(MATCH(I15,C15:H15,0),"")</f>
        <v/>
      </c>
      <c r="L15" s="10">
        <f>IF(OR(I15="",J15=""),"",ROUND((I15-J15)/I15*100,1))</f>
        <v/>
      </c>
      <c r="M15" s="10">
        <f>IF(L15="","",IF(L15&gt;=25,"是","否"))</f>
        <v/>
      </c>
      <c r="N15" s="10">
        <f>IF(J15="","",IF(J15&lt;0.15,"是","否"))</f>
        <v/>
      </c>
      <c r="O15" s="10">
        <f>IF(I15="","",IF(J15&lt;0.15,"SAFETY_STOP",IF(L15&gt;=25,"VL_THRESHOLD","PLANNED_END")))</f>
        <v/>
      </c>
      <c r="P15" s="10">
        <f>IF(I15="","",IF(I15&gt;($D$2+0.05),"+5kg",IF(I15&gt;($D$2+0.02),"+2.5kg",IF(I15&gt;=($D$2-0.05),"保持",IF(I15&gt;=($D$2-0.08),"-2.5kg","-5kg")))))</f>
        <v/>
      </c>
      <c r="Q15" s="9" t="n"/>
      <c r="R15" s="12" t="n"/>
      <c r="S15" s="12" t="n"/>
      <c r="T15" s="12" t="n"/>
    </row>
    <row r="16">
      <c r="A16" s="8" t="inlineStr">
        <is>
          <t>辅助动作</t>
        </is>
      </c>
      <c r="B16" s="8" t="inlineStr">
        <is>
          <t>动作名称</t>
        </is>
      </c>
      <c r="C16" s="8" t="inlineStr">
        <is>
          <t>负荷kg</t>
        </is>
      </c>
      <c r="D16" s="8" t="inlineStr">
        <is>
          <t>完成(组×次)</t>
        </is>
      </c>
    </row>
    <row r="17">
      <c r="A17" s="9" t="inlineStr"/>
      <c r="B17" s="9" t="n"/>
      <c r="C17" s="9" t="n"/>
      <c r="D17" s="9" t="n"/>
    </row>
    <row r="18">
      <c r="A18" s="8" t="inlineStr">
        <is>
          <t>训练后</t>
        </is>
      </c>
      <c r="B18" s="8" t="inlineStr">
        <is>
          <t>开始时间</t>
        </is>
      </c>
      <c r="C18" s="8" t="inlineStr">
        <is>
          <t>结束时间</t>
        </is>
      </c>
      <c r="D18" s="8" t="inlineStr">
        <is>
          <t>总时长min</t>
        </is>
      </c>
      <c r="E18" s="8" t="inlineStr">
        <is>
          <t>sRPE</t>
        </is>
      </c>
      <c r="F18" s="8" t="inlineStr">
        <is>
          <t>session_load</t>
        </is>
      </c>
      <c r="G18" s="8" t="inlineStr">
        <is>
          <t>有无不适</t>
        </is>
      </c>
      <c r="H18" s="8" t="inlineStr">
        <is>
          <t>备注</t>
        </is>
      </c>
      <c r="I18" s="8" t="inlineStr">
        <is>
          <t>研究员签名</t>
        </is>
      </c>
    </row>
    <row r="19">
      <c r="A19" s="13" t="inlineStr"/>
      <c r="B19" s="13" t="n"/>
      <c r="C19" s="13" t="n"/>
      <c r="D19" s="10">
        <f>IF(OR(B19="",C19=""),"",(C19-B19)*1440)</f>
        <v/>
      </c>
      <c r="E19" s="13" t="n"/>
      <c r="F19" s="10">
        <f>IF(OR(D19="",E19=""),"",D19*E19)</f>
        <v/>
      </c>
      <c r="G19" s="13" t="n"/>
      <c r="H19" s="13" t="n"/>
      <c r="I19" s="13" t="n"/>
    </row>
    <row r="21">
      <c r="A21" s="5" t="inlineStr">
        <is>
          <t>── P005 曾庆华 ──────────────────────────────────────────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inlineStr">
        <is>
          <t>编号</t>
        </is>
      </c>
      <c r="B22" s="8" t="inlineStr">
        <is>
          <t>姓名</t>
        </is>
      </c>
      <c r="C22" s="8" t="inlineStr">
        <is>
          <t>身高</t>
        </is>
      </c>
      <c r="D22" s="8" t="inlineStr">
        <is>
          <t>1RM</t>
        </is>
      </c>
      <c r="E22" s="8" t="inlineStr">
        <is>
          <t>睡眠</t>
        </is>
      </c>
      <c r="F22" s="8" t="inlineStr">
        <is>
          <t>压力</t>
        </is>
      </c>
      <c r="G22" s="8" t="inlineStr">
        <is>
          <t>疲劳</t>
        </is>
      </c>
      <c r="H22" s="8" t="inlineStr">
        <is>
          <t>酸痛</t>
        </is>
      </c>
      <c r="I22" s="8" t="inlineStr">
        <is>
          <t>Hooper总</t>
        </is>
      </c>
      <c r="J22" s="8" t="inlineStr">
        <is>
          <t>CMJ1</t>
        </is>
      </c>
      <c r="K22" s="8" t="inlineStr">
        <is>
          <t>CMJ2</t>
        </is>
      </c>
      <c r="L22" s="8" t="inlineStr">
        <is>
          <t>CMJ3</t>
        </is>
      </c>
      <c r="M22" s="8" t="inlineStr">
        <is>
          <t>CMJ均值</t>
        </is>
      </c>
      <c r="N22" s="8" t="inlineStr">
        <is>
          <t>&lt;95%?</t>
        </is>
      </c>
      <c r="O22" s="8" t="inlineStr">
        <is>
          <t>减组?</t>
        </is>
      </c>
      <c r="P22" s="8" t="inlineStr">
        <is>
          <t>实做组数</t>
        </is>
      </c>
      <c r="Q22" s="8" t="inlineStr">
        <is>
          <t>LVP_a</t>
        </is>
      </c>
      <c r="R22" s="8" t="inlineStr">
        <is>
          <t>LVP_b</t>
        </is>
      </c>
      <c r="S22" s="8" t="inlineStr">
        <is>
          <t>等级</t>
        </is>
      </c>
      <c r="T22" s="8" t="inlineStr">
        <is>
          <t>预测起始</t>
        </is>
      </c>
    </row>
    <row r="23">
      <c r="A23" s="9" t="inlineStr">
        <is>
          <t>P005</t>
        </is>
      </c>
      <c r="B23" s="9" t="inlineStr">
        <is>
          <t>曾庆华</t>
        </is>
      </c>
      <c r="C23" s="9" t="n">
        <v>177</v>
      </c>
      <c r="D23" s="9" t="n">
        <v>155</v>
      </c>
      <c r="E23" s="9" t="n"/>
      <c r="F23" s="9" t="n"/>
      <c r="G23" s="9" t="n"/>
      <c r="H23" s="9" t="n"/>
      <c r="I23" s="10">
        <f>IFERROR(SUM(E23:H23),"")</f>
        <v/>
      </c>
      <c r="J23" s="9" t="n"/>
      <c r="K23" s="9" t="n"/>
      <c r="L23" s="9" t="n"/>
      <c r="M23" s="10">
        <f>IFERROR(AVERAGE(J23:L23),"")</f>
        <v/>
      </c>
      <c r="N23" s="10">
        <f>IF(M23="","",IF(M23&lt;57.57,"是⚠","否"))</f>
        <v/>
      </c>
      <c r="O23" s="10">
        <f>IF(M23="","",IF(M23&lt;57.57,"减1组","正常"))</f>
        <v/>
      </c>
      <c r="P23" s="10">
        <f>IF(M23="","",IF(M23&lt;57.57,5-1,5))</f>
        <v/>
      </c>
      <c r="Q23" s="9" t="n">
        <v>1.775</v>
      </c>
      <c r="R23" s="9" t="n">
        <v>-0.008750000000000001</v>
      </c>
      <c r="S23" s="9" t="inlineStr">
        <is>
          <t>B</t>
        </is>
      </c>
      <c r="T23" s="10">
        <f>IFERROR(ROUND((0.475-1.775)/-0.00875,0.5),"")</f>
        <v/>
      </c>
    </row>
    <row r="24">
      <c r="A24" s="8" t="inlineStr">
        <is>
          <t>热身校准</t>
        </is>
      </c>
      <c r="B24" s="8" t="inlineStr">
        <is>
          <t>LVP_a</t>
        </is>
      </c>
      <c r="C24" s="8" t="inlineStr">
        <is>
          <t>LVP_b</t>
        </is>
      </c>
      <c r="D24" s="8" t="inlineStr">
        <is>
          <t>50%热身kg</t>
        </is>
      </c>
      <c r="E24" s="8" t="inlineStr">
        <is>
          <t>70%热身kg</t>
        </is>
      </c>
      <c r="F24" s="8" t="inlineStr">
        <is>
          <t>热身负荷kg</t>
        </is>
      </c>
      <c r="G24" s="8" t="inlineStr">
        <is>
          <t>实测MCV</t>
        </is>
      </c>
      <c r="H24" s="8" t="inlineStr">
        <is>
          <t>预测MCV</t>
        </is>
      </c>
      <c r="I24" s="8" t="inlineStr">
        <is>
          <t>Δv</t>
        </is>
      </c>
      <c r="J24" s="8" t="inlineStr">
        <is>
          <t>调整量kg</t>
        </is>
      </c>
      <c r="K24" s="8" t="inlineStr">
        <is>
          <t>校准后第1组kg</t>
        </is>
      </c>
    </row>
    <row r="25">
      <c r="A25" s="11" t="inlineStr"/>
      <c r="B25" s="11" t="n">
        <v>1.775</v>
      </c>
      <c r="C25" s="11" t="n">
        <v>-0.008750000000000001</v>
      </c>
      <c r="D25" s="10">
        <f>IFERROR(ROUND(T23*0.5,2.5),"")</f>
        <v/>
      </c>
      <c r="E25" s="10">
        <f>IFERROR(ROUND(T23*0.7,2.5),"")</f>
        <v/>
      </c>
      <c r="F25" s="10">
        <f>E25</f>
        <v/>
      </c>
      <c r="G25" s="9" t="n"/>
      <c r="H25" s="10">
        <f>IF(F25="","",B25+C25*F25)</f>
        <v/>
      </c>
      <c r="I25" s="10">
        <f>IF(OR(G25="",H25=""),"",G25-H25)</f>
        <v/>
      </c>
      <c r="J25" s="10">
        <f>IF(I25="","",IF(I25&gt;0.08,5,IF(I25&gt;0.04,2.5,IF(I25&gt;=-0.04,0,IF(I25&gt;=-0.08,-2.5,-5)))))</f>
        <v/>
      </c>
      <c r="K25" s="10">
        <f>IFERROR(ROUND(T23+J25,2.5),"")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8" t="inlineStr">
        <is>
          <t>组次</t>
        </is>
      </c>
      <c r="B26" s="8" t="inlineStr">
        <is>
          <t>负荷kg</t>
        </is>
      </c>
      <c r="C26" s="8" t="inlineStr">
        <is>
          <t>rep1</t>
        </is>
      </c>
      <c r="D26" s="8" t="inlineStr">
        <is>
          <t>rep2</t>
        </is>
      </c>
      <c r="E26" s="8" t="inlineStr">
        <is>
          <t>rep3</t>
        </is>
      </c>
      <c r="F26" s="8" t="inlineStr">
        <is>
          <t>rep4</t>
        </is>
      </c>
      <c r="G26" s="8" t="inlineStr">
        <is>
          <t>rep5</t>
        </is>
      </c>
      <c r="H26" s="8" t="inlineStr">
        <is>
          <t>rep6</t>
        </is>
      </c>
      <c r="I26" s="8" t="inlineStr">
        <is>
          <t>首rep</t>
        </is>
      </c>
      <c r="J26" s="8" t="inlineStr">
        <is>
          <t>最低速</t>
        </is>
      </c>
      <c r="K26" s="8" t="inlineStr">
        <is>
          <t>最低rep#</t>
        </is>
      </c>
      <c r="L26" s="8" t="inlineStr">
        <is>
          <t>VL%</t>
        </is>
      </c>
      <c r="M26" s="8" t="inlineStr">
        <is>
          <t>VL达标?</t>
        </is>
      </c>
      <c r="N26" s="8" t="inlineStr">
        <is>
          <t>安全停止?</t>
        </is>
      </c>
      <c r="O26" s="8" t="inlineStr">
        <is>
          <t>停组原因</t>
        </is>
      </c>
      <c r="P26" s="8" t="inlineStr">
        <is>
          <t>下组建议</t>
        </is>
      </c>
      <c r="Q26" s="8" t="inlineStr">
        <is>
          <t>实做次数</t>
        </is>
      </c>
    </row>
    <row r="27">
      <c r="A27" s="12" t="n">
        <v>1</v>
      </c>
      <c r="B27" s="10">
        <f>IF(K25="","",K25)</f>
        <v/>
      </c>
      <c r="C27" s="9" t="n"/>
      <c r="D27" s="9" t="n"/>
      <c r="E27" s="9" t="n"/>
      <c r="F27" s="9" t="n"/>
      <c r="G27" s="9" t="n"/>
      <c r="H27" s="9" t="n"/>
      <c r="I27" s="10">
        <f>IFERROR(INDEX(C27:H27,MATCH(TRUE,INDEX(C27:H27&lt;&gt;"",0),0)),"")</f>
        <v/>
      </c>
      <c r="J27" s="10">
        <f>IFERROR(MIN(IF(C27:H27&lt;&gt;"",C27:H27)),"")</f>
        <v/>
      </c>
      <c r="K27" s="10">
        <f>IFERROR(MATCH(I27,C27:H27,0),"")</f>
        <v/>
      </c>
      <c r="L27" s="10">
        <f>IF(OR(I27="",J27=""),"",ROUND((I27-J27)/I27*100,1))</f>
        <v/>
      </c>
      <c r="M27" s="10">
        <f>IF(L27="","",IF(L27&gt;=25,"是","否"))</f>
        <v/>
      </c>
      <c r="N27" s="10">
        <f>IF(J27="","",IF(J27&lt;0.15,"是","否"))</f>
        <v/>
      </c>
      <c r="O27" s="10">
        <f>IF(I27="","",IF(J27&lt;0.15,"SAFETY_STOP",IF(L27&gt;=25,"VL_THRESHOLD","PLANNED_END")))</f>
        <v/>
      </c>
      <c r="P27" s="10">
        <f>IF(I27="","",IF(I27&gt;($D$2+0.05),"+5kg",IF(I27&gt;($D$2+0.02),"+2.5kg",IF(I27&gt;=($D$2-0.05),"保持",IF(I27&gt;=($D$2-0.08),"-2.5kg","-5kg")))))</f>
        <v/>
      </c>
      <c r="Q27" s="9" t="n"/>
      <c r="R27" s="12" t="n"/>
      <c r="S27" s="12" t="n"/>
      <c r="T27" s="12" t="n"/>
    </row>
    <row r="28">
      <c r="A28" s="12" t="n">
        <v>2</v>
      </c>
      <c r="B28" s="9" t="n"/>
      <c r="C28" s="9" t="n"/>
      <c r="D28" s="9" t="n"/>
      <c r="E28" s="9" t="n"/>
      <c r="F28" s="9" t="n"/>
      <c r="G28" s="9" t="n"/>
      <c r="H28" s="9" t="n"/>
      <c r="I28" s="10">
        <f>IFERROR(INDEX(C28:H28,MATCH(TRUE,INDEX(C28:H28&lt;&gt;"",0),0)),"")</f>
        <v/>
      </c>
      <c r="J28" s="10">
        <f>IFERROR(MIN(IF(C28:H28&lt;&gt;"",C28:H28)),"")</f>
        <v/>
      </c>
      <c r="K28" s="10">
        <f>IFERROR(MATCH(I28,C28:H28,0),"")</f>
        <v/>
      </c>
      <c r="L28" s="10">
        <f>IF(OR(I28="",J28=""),"",ROUND((I28-J28)/I28*100,1))</f>
        <v/>
      </c>
      <c r="M28" s="10">
        <f>IF(L28="","",IF(L28&gt;=25,"是","否"))</f>
        <v/>
      </c>
      <c r="N28" s="10">
        <f>IF(J28="","",IF(J28&lt;0.15,"是","否"))</f>
        <v/>
      </c>
      <c r="O28" s="10">
        <f>IF(I28="","",IF(J28&lt;0.15,"SAFETY_STOP",IF(L28&gt;=25,"VL_THRESHOLD","PLANNED_END")))</f>
        <v/>
      </c>
      <c r="P28" s="10">
        <f>IF(I28="","",IF(I28&gt;($D$2+0.05),"+5kg",IF(I28&gt;($D$2+0.02),"+2.5kg",IF(I28&gt;=($D$2-0.05),"保持",IF(I28&gt;=($D$2-0.08),"-2.5kg","-5kg")))))</f>
        <v/>
      </c>
      <c r="Q28" s="9" t="n"/>
      <c r="R28" s="12" t="n"/>
      <c r="S28" s="12" t="n"/>
      <c r="T28" s="12" t="n"/>
    </row>
    <row r="29">
      <c r="A29" s="12" t="n">
        <v>3</v>
      </c>
      <c r="B29" s="9" t="n"/>
      <c r="C29" s="9" t="n"/>
      <c r="D29" s="9" t="n"/>
      <c r="E29" s="9" t="n"/>
      <c r="F29" s="9" t="n"/>
      <c r="G29" s="9" t="n"/>
      <c r="H29" s="9" t="n"/>
      <c r="I29" s="10">
        <f>IFERROR(INDEX(C29:H29,MATCH(TRUE,INDEX(C29:H29&lt;&gt;"",0),0)),"")</f>
        <v/>
      </c>
      <c r="J29" s="10">
        <f>IFERROR(MIN(IF(C29:H29&lt;&gt;"",C29:H29)),"")</f>
        <v/>
      </c>
      <c r="K29" s="10">
        <f>IFERROR(MATCH(I29,C29:H29,0),"")</f>
        <v/>
      </c>
      <c r="L29" s="10">
        <f>IF(OR(I29="",J29=""),"",ROUND((I29-J29)/I29*100,1))</f>
        <v/>
      </c>
      <c r="M29" s="10">
        <f>IF(L29="","",IF(L29&gt;=25,"是","否"))</f>
        <v/>
      </c>
      <c r="N29" s="10">
        <f>IF(J29="","",IF(J29&lt;0.15,"是","否"))</f>
        <v/>
      </c>
      <c r="O29" s="10">
        <f>IF(I29="","",IF(J29&lt;0.15,"SAFETY_STOP",IF(L29&gt;=25,"VL_THRESHOLD","PLANNED_END")))</f>
        <v/>
      </c>
      <c r="P29" s="10">
        <f>IF(I29="","",IF(I29&gt;($D$2+0.05),"+5kg",IF(I29&gt;($D$2+0.02),"+2.5kg",IF(I29&gt;=($D$2-0.05),"保持",IF(I29&gt;=($D$2-0.08),"-2.5kg","-5kg")))))</f>
        <v/>
      </c>
      <c r="Q29" s="9" t="n"/>
      <c r="R29" s="12" t="n"/>
      <c r="S29" s="12" t="n"/>
      <c r="T29" s="12" t="n"/>
    </row>
    <row r="30">
      <c r="A30" s="12" t="n">
        <v>4</v>
      </c>
      <c r="B30" s="9" t="n"/>
      <c r="C30" s="9" t="n"/>
      <c r="D30" s="9" t="n"/>
      <c r="E30" s="9" t="n"/>
      <c r="F30" s="9" t="n"/>
      <c r="G30" s="9" t="n"/>
      <c r="H30" s="9" t="n"/>
      <c r="I30" s="10">
        <f>IFERROR(INDEX(C30:H30,MATCH(TRUE,INDEX(C30:H30&lt;&gt;"",0),0)),"")</f>
        <v/>
      </c>
      <c r="J30" s="10">
        <f>IFERROR(MIN(IF(C30:H30&lt;&gt;"",C30:H30)),"")</f>
        <v/>
      </c>
      <c r="K30" s="10">
        <f>IFERROR(MATCH(I30,C30:H30,0),"")</f>
        <v/>
      </c>
      <c r="L30" s="10">
        <f>IF(OR(I30="",J30=""),"",ROUND((I30-J30)/I30*100,1))</f>
        <v/>
      </c>
      <c r="M30" s="10">
        <f>IF(L30="","",IF(L30&gt;=25,"是","否"))</f>
        <v/>
      </c>
      <c r="N30" s="10">
        <f>IF(J30="","",IF(J30&lt;0.15,"是","否"))</f>
        <v/>
      </c>
      <c r="O30" s="10">
        <f>IF(I30="","",IF(J30&lt;0.15,"SAFETY_STOP",IF(L30&gt;=25,"VL_THRESHOLD","PLANNED_END")))</f>
        <v/>
      </c>
      <c r="P30" s="10">
        <f>IF(I30="","",IF(I30&gt;($D$2+0.05),"+5kg",IF(I30&gt;($D$2+0.02),"+2.5kg",IF(I30&gt;=($D$2-0.05),"保持",IF(I30&gt;=($D$2-0.08),"-2.5kg","-5kg")))))</f>
        <v/>
      </c>
      <c r="Q30" s="9" t="n"/>
      <c r="R30" s="12" t="n"/>
      <c r="S30" s="12" t="n"/>
      <c r="T30" s="12" t="n"/>
    </row>
    <row r="31">
      <c r="A31" s="12" t="n">
        <v>5</v>
      </c>
      <c r="B31" s="9" t="n"/>
      <c r="C31" s="9" t="n"/>
      <c r="D31" s="9" t="n"/>
      <c r="E31" s="9" t="n"/>
      <c r="F31" s="9" t="n"/>
      <c r="G31" s="9" t="n"/>
      <c r="H31" s="9" t="n"/>
      <c r="I31" s="10">
        <f>IFERROR(INDEX(C31:H31,MATCH(TRUE,INDEX(C31:H31&lt;&gt;"",0),0)),"")</f>
        <v/>
      </c>
      <c r="J31" s="10">
        <f>IFERROR(MIN(IF(C31:H31&lt;&gt;"",C31:H31)),"")</f>
        <v/>
      </c>
      <c r="K31" s="10">
        <f>IFERROR(MATCH(I31,C31:H31,0),"")</f>
        <v/>
      </c>
      <c r="L31" s="10">
        <f>IF(OR(I31="",J31=""),"",ROUND((I31-J31)/I31*100,1))</f>
        <v/>
      </c>
      <c r="M31" s="10">
        <f>IF(L31="","",IF(L31&gt;=25,"是","否"))</f>
        <v/>
      </c>
      <c r="N31" s="10">
        <f>IF(J31="","",IF(J31&lt;0.15,"是","否"))</f>
        <v/>
      </c>
      <c r="O31" s="10">
        <f>IF(I31="","",IF(J31&lt;0.15,"SAFETY_STOP",IF(L31&gt;=25,"VL_THRESHOLD","PLANNED_END")))</f>
        <v/>
      </c>
      <c r="P31" s="10">
        <f>IF(I31="","",IF(I31&gt;($D$2+0.05),"+5kg",IF(I31&gt;($D$2+0.02),"+2.5kg",IF(I31&gt;=($D$2-0.05),"保持",IF(I31&gt;=($D$2-0.08),"-2.5kg","-5kg")))))</f>
        <v/>
      </c>
      <c r="Q31" s="9" t="n"/>
      <c r="R31" s="12" t="n"/>
      <c r="S31" s="12" t="n"/>
      <c r="T31" s="12" t="n"/>
    </row>
    <row r="32">
      <c r="A32" s="12" t="n">
        <v>6</v>
      </c>
      <c r="B32" s="9" t="n"/>
      <c r="C32" s="9" t="n"/>
      <c r="D32" s="9" t="n"/>
      <c r="E32" s="9" t="n"/>
      <c r="F32" s="9" t="n"/>
      <c r="G32" s="9" t="n"/>
      <c r="H32" s="9" t="n"/>
      <c r="I32" s="10">
        <f>IFERROR(INDEX(C32:H32,MATCH(TRUE,INDEX(C32:H32&lt;&gt;"",0),0)),"")</f>
        <v/>
      </c>
      <c r="J32" s="10">
        <f>IFERROR(MIN(IF(C32:H32&lt;&gt;"",C32:H32)),"")</f>
        <v/>
      </c>
      <c r="K32" s="10">
        <f>IFERROR(MATCH(I32,C32:H32,0),"")</f>
        <v/>
      </c>
      <c r="L32" s="10">
        <f>IF(OR(I32="",J32=""),"",ROUND((I32-J32)/I32*100,1))</f>
        <v/>
      </c>
      <c r="M32" s="10">
        <f>IF(L32="","",IF(L32&gt;=25,"是","否"))</f>
        <v/>
      </c>
      <c r="N32" s="10">
        <f>IF(J32="","",IF(J32&lt;0.15,"是","否"))</f>
        <v/>
      </c>
      <c r="O32" s="10">
        <f>IF(I32="","",IF(J32&lt;0.15,"SAFETY_STOP",IF(L32&gt;=25,"VL_THRESHOLD","PLANNED_END")))</f>
        <v/>
      </c>
      <c r="P32" s="10">
        <f>IF(I32="","",IF(I32&gt;($D$2+0.05),"+5kg",IF(I32&gt;($D$2+0.02),"+2.5kg",IF(I32&gt;=($D$2-0.05),"保持",IF(I32&gt;=($D$2-0.08),"-2.5kg","-5kg")))))</f>
        <v/>
      </c>
      <c r="Q32" s="9" t="n"/>
      <c r="R32" s="12" t="n"/>
      <c r="S32" s="12" t="n"/>
      <c r="T32" s="12" t="n"/>
    </row>
    <row r="33">
      <c r="A33" s="8" t="inlineStr">
        <is>
          <t>辅助动作</t>
        </is>
      </c>
      <c r="B33" s="8" t="inlineStr">
        <is>
          <t>动作名称</t>
        </is>
      </c>
      <c r="C33" s="8" t="inlineStr">
        <is>
          <t>负荷kg</t>
        </is>
      </c>
      <c r="D33" s="8" t="inlineStr">
        <is>
          <t>完成(组×次)</t>
        </is>
      </c>
    </row>
    <row r="34">
      <c r="A34" s="9" t="inlineStr"/>
      <c r="B34" s="9" t="n"/>
      <c r="C34" s="9" t="n"/>
      <c r="D34" s="9" t="n"/>
    </row>
    <row r="35">
      <c r="A35" s="8" t="inlineStr">
        <is>
          <t>训练后</t>
        </is>
      </c>
      <c r="B35" s="8" t="inlineStr">
        <is>
          <t>开始时间</t>
        </is>
      </c>
      <c r="C35" s="8" t="inlineStr">
        <is>
          <t>结束时间</t>
        </is>
      </c>
      <c r="D35" s="8" t="inlineStr">
        <is>
          <t>总时长min</t>
        </is>
      </c>
      <c r="E35" s="8" t="inlineStr">
        <is>
          <t>sRPE</t>
        </is>
      </c>
      <c r="F35" s="8" t="inlineStr">
        <is>
          <t>session_load</t>
        </is>
      </c>
      <c r="G35" s="8" t="inlineStr">
        <is>
          <t>有无不适</t>
        </is>
      </c>
      <c r="H35" s="8" t="inlineStr">
        <is>
          <t>备注</t>
        </is>
      </c>
      <c r="I35" s="8" t="inlineStr">
        <is>
          <t>研究员签名</t>
        </is>
      </c>
    </row>
    <row r="36">
      <c r="A36" s="13" t="inlineStr"/>
      <c r="B36" s="13" t="n"/>
      <c r="C36" s="13" t="n"/>
      <c r="D36" s="10">
        <f>IF(OR(B36="",C36=""),"",(C36-B36)*1440)</f>
        <v/>
      </c>
      <c r="E36" s="13" t="n"/>
      <c r="F36" s="10">
        <f>IF(OR(D36="",E36=""),"",D36*E36)</f>
        <v/>
      </c>
      <c r="G36" s="13" t="n"/>
      <c r="H36" s="13" t="n"/>
      <c r="I36" s="13" t="n"/>
    </row>
    <row r="38">
      <c r="A38" s="5" t="inlineStr">
        <is>
          <t>── P002 何天元 ──────────────────────────────────────────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</row>
    <row r="39">
      <c r="A39" s="8" t="inlineStr">
        <is>
          <t>编号</t>
        </is>
      </c>
      <c r="B39" s="8" t="inlineStr">
        <is>
          <t>姓名</t>
        </is>
      </c>
      <c r="C39" s="8" t="inlineStr">
        <is>
          <t>身高</t>
        </is>
      </c>
      <c r="D39" s="8" t="inlineStr">
        <is>
          <t>1RM</t>
        </is>
      </c>
      <c r="E39" s="8" t="inlineStr">
        <is>
          <t>睡眠</t>
        </is>
      </c>
      <c r="F39" s="8" t="inlineStr">
        <is>
          <t>压力</t>
        </is>
      </c>
      <c r="G39" s="8" t="inlineStr">
        <is>
          <t>疲劳</t>
        </is>
      </c>
      <c r="H39" s="8" t="inlineStr">
        <is>
          <t>酸痛</t>
        </is>
      </c>
      <c r="I39" s="8" t="inlineStr">
        <is>
          <t>Hooper总</t>
        </is>
      </c>
      <c r="J39" s="8" t="inlineStr">
        <is>
          <t>CMJ1</t>
        </is>
      </c>
      <c r="K39" s="8" t="inlineStr">
        <is>
          <t>CMJ2</t>
        </is>
      </c>
      <c r="L39" s="8" t="inlineStr">
        <is>
          <t>CMJ3</t>
        </is>
      </c>
      <c r="M39" s="8" t="inlineStr">
        <is>
          <t>CMJ均值</t>
        </is>
      </c>
      <c r="N39" s="8" t="inlineStr">
        <is>
          <t>&lt;95%?</t>
        </is>
      </c>
      <c r="O39" s="8" t="inlineStr">
        <is>
          <t>减组?</t>
        </is>
      </c>
      <c r="P39" s="8" t="inlineStr">
        <is>
          <t>实做组数</t>
        </is>
      </c>
      <c r="Q39" s="8" t="inlineStr">
        <is>
          <t>LVP_a</t>
        </is>
      </c>
      <c r="R39" s="8" t="inlineStr">
        <is>
          <t>LVP_b</t>
        </is>
      </c>
      <c r="S39" s="8" t="inlineStr">
        <is>
          <t>等级</t>
        </is>
      </c>
      <c r="T39" s="8" t="inlineStr">
        <is>
          <t>预测起始</t>
        </is>
      </c>
    </row>
    <row r="40">
      <c r="A40" s="9" t="inlineStr">
        <is>
          <t>P002</t>
        </is>
      </c>
      <c r="B40" s="9" t="inlineStr">
        <is>
          <t>何天元</t>
        </is>
      </c>
      <c r="C40" s="9" t="n">
        <v>178</v>
      </c>
      <c r="D40" s="9" t="n">
        <v>150</v>
      </c>
      <c r="E40" s="9" t="n"/>
      <c r="F40" s="9" t="n"/>
      <c r="G40" s="9" t="n"/>
      <c r="H40" s="9" t="n"/>
      <c r="I40" s="10">
        <f>IFERROR(SUM(E40:H40),"")</f>
        <v/>
      </c>
      <c r="J40" s="9" t="n"/>
      <c r="K40" s="9" t="n"/>
      <c r="L40" s="9" t="n"/>
      <c r="M40" s="10">
        <f>IFERROR(AVERAGE(J40:L40),"")</f>
        <v/>
      </c>
      <c r="N40" s="10">
        <f>IF(M40="","",IF(M40&lt;60.54,"是⚠","否"))</f>
        <v/>
      </c>
      <c r="O40" s="10">
        <f>IF(M40="","",IF(M40&lt;60.54,"减1组","正常"))</f>
        <v/>
      </c>
      <c r="P40" s="10">
        <f>IF(M40="","",IF(M40&lt;60.54,5-1,5))</f>
        <v/>
      </c>
      <c r="Q40" s="9" t="n">
        <v>1.291</v>
      </c>
      <c r="R40" s="9" t="n">
        <v>-0.0054</v>
      </c>
      <c r="S40" s="9" t="inlineStr">
        <is>
          <t>B</t>
        </is>
      </c>
      <c r="T40" s="10">
        <f>IFERROR(ROUND((0.475-1.291)/-0.0054,0.5),"")</f>
        <v/>
      </c>
    </row>
    <row r="41">
      <c r="A41" s="8" t="inlineStr">
        <is>
          <t>热身校准</t>
        </is>
      </c>
      <c r="B41" s="8" t="inlineStr">
        <is>
          <t>LVP_a</t>
        </is>
      </c>
      <c r="C41" s="8" t="inlineStr">
        <is>
          <t>LVP_b</t>
        </is>
      </c>
      <c r="D41" s="8" t="inlineStr">
        <is>
          <t>50%热身kg</t>
        </is>
      </c>
      <c r="E41" s="8" t="inlineStr">
        <is>
          <t>70%热身kg</t>
        </is>
      </c>
      <c r="F41" s="8" t="inlineStr">
        <is>
          <t>热身负荷kg</t>
        </is>
      </c>
      <c r="G41" s="8" t="inlineStr">
        <is>
          <t>实测MCV</t>
        </is>
      </c>
      <c r="H41" s="8" t="inlineStr">
        <is>
          <t>预测MCV</t>
        </is>
      </c>
      <c r="I41" s="8" t="inlineStr">
        <is>
          <t>Δv</t>
        </is>
      </c>
      <c r="J41" s="8" t="inlineStr">
        <is>
          <t>调整量kg</t>
        </is>
      </c>
      <c r="K41" s="8" t="inlineStr">
        <is>
          <t>校准后第1组kg</t>
        </is>
      </c>
    </row>
    <row r="42">
      <c r="A42" s="11" t="inlineStr"/>
      <c r="B42" s="11" t="n">
        <v>1.291</v>
      </c>
      <c r="C42" s="11" t="n">
        <v>-0.0054</v>
      </c>
      <c r="D42" s="10">
        <f>IFERROR(ROUND(T40*0.5,2.5),"")</f>
        <v/>
      </c>
      <c r="E42" s="10">
        <f>IFERROR(ROUND(T40*0.7,2.5),"")</f>
        <v/>
      </c>
      <c r="F42" s="10">
        <f>E42</f>
        <v/>
      </c>
      <c r="G42" s="9" t="n"/>
      <c r="H42" s="10">
        <f>IF(F42="","",B42+C42*F42)</f>
        <v/>
      </c>
      <c r="I42" s="10">
        <f>IF(OR(G42="",H42=""),"",G42-H42)</f>
        <v/>
      </c>
      <c r="J42" s="10">
        <f>IF(I42="","",IF(I42&gt;0.08,5,IF(I42&gt;0.04,2.5,IF(I42&gt;=-0.04,0,IF(I42&gt;=-0.08,-2.5,-5)))))</f>
        <v/>
      </c>
      <c r="K42" s="10">
        <f>IFERROR(ROUND(T40+J42,2.5),"")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8" t="inlineStr">
        <is>
          <t>组次</t>
        </is>
      </c>
      <c r="B43" s="8" t="inlineStr">
        <is>
          <t>负荷kg</t>
        </is>
      </c>
      <c r="C43" s="8" t="inlineStr">
        <is>
          <t>rep1</t>
        </is>
      </c>
      <c r="D43" s="8" t="inlineStr">
        <is>
          <t>rep2</t>
        </is>
      </c>
      <c r="E43" s="8" t="inlineStr">
        <is>
          <t>rep3</t>
        </is>
      </c>
      <c r="F43" s="8" t="inlineStr">
        <is>
          <t>rep4</t>
        </is>
      </c>
      <c r="G43" s="8" t="inlineStr">
        <is>
          <t>rep5</t>
        </is>
      </c>
      <c r="H43" s="8" t="inlineStr">
        <is>
          <t>rep6</t>
        </is>
      </c>
      <c r="I43" s="8" t="inlineStr">
        <is>
          <t>首rep</t>
        </is>
      </c>
      <c r="J43" s="8" t="inlineStr">
        <is>
          <t>最低速</t>
        </is>
      </c>
      <c r="K43" s="8" t="inlineStr">
        <is>
          <t>最低rep#</t>
        </is>
      </c>
      <c r="L43" s="8" t="inlineStr">
        <is>
          <t>VL%</t>
        </is>
      </c>
      <c r="M43" s="8" t="inlineStr">
        <is>
          <t>VL达标?</t>
        </is>
      </c>
      <c r="N43" s="8" t="inlineStr">
        <is>
          <t>安全停止?</t>
        </is>
      </c>
      <c r="O43" s="8" t="inlineStr">
        <is>
          <t>停组原因</t>
        </is>
      </c>
      <c r="P43" s="8" t="inlineStr">
        <is>
          <t>下组建议</t>
        </is>
      </c>
      <c r="Q43" s="8" t="inlineStr">
        <is>
          <t>实做次数</t>
        </is>
      </c>
    </row>
    <row r="44">
      <c r="A44" s="12" t="n">
        <v>1</v>
      </c>
      <c r="B44" s="10">
        <f>IF(K42="","",K42)</f>
        <v/>
      </c>
      <c r="C44" s="9" t="n"/>
      <c r="D44" s="9" t="n"/>
      <c r="E44" s="9" t="n"/>
      <c r="F44" s="9" t="n"/>
      <c r="G44" s="9" t="n"/>
      <c r="H44" s="9" t="n"/>
      <c r="I44" s="10">
        <f>IFERROR(INDEX(C44:H44,MATCH(TRUE,INDEX(C44:H44&lt;&gt;"",0),0)),"")</f>
        <v/>
      </c>
      <c r="J44" s="10">
        <f>IFERROR(MIN(IF(C44:H44&lt;&gt;"",C44:H44)),"")</f>
        <v/>
      </c>
      <c r="K44" s="10">
        <f>IFERROR(MATCH(I44,C44:H44,0),"")</f>
        <v/>
      </c>
      <c r="L44" s="10">
        <f>IF(OR(I44="",J44=""),"",ROUND((I44-J44)/I44*100,1))</f>
        <v/>
      </c>
      <c r="M44" s="10">
        <f>IF(L44="","",IF(L44&gt;=25,"是","否"))</f>
        <v/>
      </c>
      <c r="N44" s="10">
        <f>IF(J44="","",IF(J44&lt;0.15,"是","否"))</f>
        <v/>
      </c>
      <c r="O44" s="10">
        <f>IF(I44="","",IF(J44&lt;0.15,"SAFETY_STOP",IF(L44&gt;=25,"VL_THRESHOLD","PLANNED_END")))</f>
        <v/>
      </c>
      <c r="P44" s="10">
        <f>IF(I44="","",IF(I44&gt;($D$2+0.05),"+5kg",IF(I44&gt;($D$2+0.02),"+2.5kg",IF(I44&gt;=($D$2-0.05),"保持",IF(I44&gt;=($D$2-0.08),"-2.5kg","-5kg")))))</f>
        <v/>
      </c>
      <c r="Q44" s="9" t="n"/>
      <c r="R44" s="12" t="n"/>
      <c r="S44" s="12" t="n"/>
      <c r="T44" s="12" t="n"/>
    </row>
    <row r="45">
      <c r="A45" s="12" t="n">
        <v>2</v>
      </c>
      <c r="B45" s="9" t="n"/>
      <c r="C45" s="9" t="n"/>
      <c r="D45" s="9" t="n"/>
      <c r="E45" s="9" t="n"/>
      <c r="F45" s="9" t="n"/>
      <c r="G45" s="9" t="n"/>
      <c r="H45" s="9" t="n"/>
      <c r="I45" s="10">
        <f>IFERROR(INDEX(C45:H45,MATCH(TRUE,INDEX(C45:H45&lt;&gt;"",0),0)),"")</f>
        <v/>
      </c>
      <c r="J45" s="10">
        <f>IFERROR(MIN(IF(C45:H45&lt;&gt;"",C45:H45)),"")</f>
        <v/>
      </c>
      <c r="K45" s="10">
        <f>IFERROR(MATCH(I45,C45:H45,0),"")</f>
        <v/>
      </c>
      <c r="L45" s="10">
        <f>IF(OR(I45="",J45=""),"",ROUND((I45-J45)/I45*100,1))</f>
        <v/>
      </c>
      <c r="M45" s="10">
        <f>IF(L45="","",IF(L45&gt;=25,"是","否"))</f>
        <v/>
      </c>
      <c r="N45" s="10">
        <f>IF(J45="","",IF(J45&lt;0.15,"是","否"))</f>
        <v/>
      </c>
      <c r="O45" s="10">
        <f>IF(I45="","",IF(J45&lt;0.15,"SAFETY_STOP",IF(L45&gt;=25,"VL_THRESHOLD","PLANNED_END")))</f>
        <v/>
      </c>
      <c r="P45" s="10">
        <f>IF(I45="","",IF(I45&gt;($D$2+0.05),"+5kg",IF(I45&gt;($D$2+0.02),"+2.5kg",IF(I45&gt;=($D$2-0.05),"保持",IF(I45&gt;=($D$2-0.08),"-2.5kg","-5kg")))))</f>
        <v/>
      </c>
      <c r="Q45" s="9" t="n"/>
      <c r="R45" s="12" t="n"/>
      <c r="S45" s="12" t="n"/>
      <c r="T45" s="12" t="n"/>
    </row>
    <row r="46">
      <c r="A46" s="12" t="n">
        <v>3</v>
      </c>
      <c r="B46" s="9" t="n"/>
      <c r="C46" s="9" t="n"/>
      <c r="D46" s="9" t="n"/>
      <c r="E46" s="9" t="n"/>
      <c r="F46" s="9" t="n"/>
      <c r="G46" s="9" t="n"/>
      <c r="H46" s="9" t="n"/>
      <c r="I46" s="10">
        <f>IFERROR(INDEX(C46:H46,MATCH(TRUE,INDEX(C46:H46&lt;&gt;"",0),0)),"")</f>
        <v/>
      </c>
      <c r="J46" s="10">
        <f>IFERROR(MIN(IF(C46:H46&lt;&gt;"",C46:H46)),"")</f>
        <v/>
      </c>
      <c r="K46" s="10">
        <f>IFERROR(MATCH(I46,C46:H46,0),"")</f>
        <v/>
      </c>
      <c r="L46" s="10">
        <f>IF(OR(I46="",J46=""),"",ROUND((I46-J46)/I46*100,1))</f>
        <v/>
      </c>
      <c r="M46" s="10">
        <f>IF(L46="","",IF(L46&gt;=25,"是","否"))</f>
        <v/>
      </c>
      <c r="N46" s="10">
        <f>IF(J46="","",IF(J46&lt;0.15,"是","否"))</f>
        <v/>
      </c>
      <c r="O46" s="10">
        <f>IF(I46="","",IF(J46&lt;0.15,"SAFETY_STOP",IF(L46&gt;=25,"VL_THRESHOLD","PLANNED_END")))</f>
        <v/>
      </c>
      <c r="P46" s="10">
        <f>IF(I46="","",IF(I46&gt;($D$2+0.05),"+5kg",IF(I46&gt;($D$2+0.02),"+2.5kg",IF(I46&gt;=($D$2-0.05),"保持",IF(I46&gt;=($D$2-0.08),"-2.5kg","-5kg")))))</f>
        <v/>
      </c>
      <c r="Q46" s="9" t="n"/>
      <c r="R46" s="12" t="n"/>
      <c r="S46" s="12" t="n"/>
      <c r="T46" s="12" t="n"/>
    </row>
    <row r="47">
      <c r="A47" s="12" t="n">
        <v>4</v>
      </c>
      <c r="B47" s="9" t="n"/>
      <c r="C47" s="9" t="n"/>
      <c r="D47" s="9" t="n"/>
      <c r="E47" s="9" t="n"/>
      <c r="F47" s="9" t="n"/>
      <c r="G47" s="9" t="n"/>
      <c r="H47" s="9" t="n"/>
      <c r="I47" s="10">
        <f>IFERROR(INDEX(C47:H47,MATCH(TRUE,INDEX(C47:H47&lt;&gt;"",0),0)),"")</f>
        <v/>
      </c>
      <c r="J47" s="10">
        <f>IFERROR(MIN(IF(C47:H47&lt;&gt;"",C47:H47)),"")</f>
        <v/>
      </c>
      <c r="K47" s="10">
        <f>IFERROR(MATCH(I47,C47:H47,0),"")</f>
        <v/>
      </c>
      <c r="L47" s="10">
        <f>IF(OR(I47="",J47=""),"",ROUND((I47-J47)/I47*100,1))</f>
        <v/>
      </c>
      <c r="M47" s="10">
        <f>IF(L47="","",IF(L47&gt;=25,"是","否"))</f>
        <v/>
      </c>
      <c r="N47" s="10">
        <f>IF(J47="","",IF(J47&lt;0.15,"是","否"))</f>
        <v/>
      </c>
      <c r="O47" s="10">
        <f>IF(I47="","",IF(J47&lt;0.15,"SAFETY_STOP",IF(L47&gt;=25,"VL_THRESHOLD","PLANNED_END")))</f>
        <v/>
      </c>
      <c r="P47" s="10">
        <f>IF(I47="","",IF(I47&gt;($D$2+0.05),"+5kg",IF(I47&gt;($D$2+0.02),"+2.5kg",IF(I47&gt;=($D$2-0.05),"保持",IF(I47&gt;=($D$2-0.08),"-2.5kg","-5kg")))))</f>
        <v/>
      </c>
      <c r="Q47" s="9" t="n"/>
      <c r="R47" s="12" t="n"/>
      <c r="S47" s="12" t="n"/>
      <c r="T47" s="12" t="n"/>
    </row>
    <row r="48">
      <c r="A48" s="12" t="n">
        <v>5</v>
      </c>
      <c r="B48" s="9" t="n"/>
      <c r="C48" s="9" t="n"/>
      <c r="D48" s="9" t="n"/>
      <c r="E48" s="9" t="n"/>
      <c r="F48" s="9" t="n"/>
      <c r="G48" s="9" t="n"/>
      <c r="H48" s="9" t="n"/>
      <c r="I48" s="10">
        <f>IFERROR(INDEX(C48:H48,MATCH(TRUE,INDEX(C48:H48&lt;&gt;"",0),0)),"")</f>
        <v/>
      </c>
      <c r="J48" s="10">
        <f>IFERROR(MIN(IF(C48:H48&lt;&gt;"",C48:H48)),"")</f>
        <v/>
      </c>
      <c r="K48" s="10">
        <f>IFERROR(MATCH(I48,C48:H48,0),"")</f>
        <v/>
      </c>
      <c r="L48" s="10">
        <f>IF(OR(I48="",J48=""),"",ROUND((I48-J48)/I48*100,1))</f>
        <v/>
      </c>
      <c r="M48" s="10">
        <f>IF(L48="","",IF(L48&gt;=25,"是","否"))</f>
        <v/>
      </c>
      <c r="N48" s="10">
        <f>IF(J48="","",IF(J48&lt;0.15,"是","否"))</f>
        <v/>
      </c>
      <c r="O48" s="10">
        <f>IF(I48="","",IF(J48&lt;0.15,"SAFETY_STOP",IF(L48&gt;=25,"VL_THRESHOLD","PLANNED_END")))</f>
        <v/>
      </c>
      <c r="P48" s="10">
        <f>IF(I48="","",IF(I48&gt;($D$2+0.05),"+5kg",IF(I48&gt;($D$2+0.02),"+2.5kg",IF(I48&gt;=($D$2-0.05),"保持",IF(I48&gt;=($D$2-0.08),"-2.5kg","-5kg")))))</f>
        <v/>
      </c>
      <c r="Q48" s="9" t="n"/>
      <c r="R48" s="12" t="n"/>
      <c r="S48" s="12" t="n"/>
      <c r="T48" s="12" t="n"/>
    </row>
    <row r="49">
      <c r="A49" s="12" t="n">
        <v>6</v>
      </c>
      <c r="B49" s="9" t="n"/>
      <c r="C49" s="9" t="n"/>
      <c r="D49" s="9" t="n"/>
      <c r="E49" s="9" t="n"/>
      <c r="F49" s="9" t="n"/>
      <c r="G49" s="9" t="n"/>
      <c r="H49" s="9" t="n"/>
      <c r="I49" s="10">
        <f>IFERROR(INDEX(C49:H49,MATCH(TRUE,INDEX(C49:H49&lt;&gt;"",0),0)),"")</f>
        <v/>
      </c>
      <c r="J49" s="10">
        <f>IFERROR(MIN(IF(C49:H49&lt;&gt;"",C49:H49)),"")</f>
        <v/>
      </c>
      <c r="K49" s="10">
        <f>IFERROR(MATCH(I49,C49:H49,0),"")</f>
        <v/>
      </c>
      <c r="L49" s="10">
        <f>IF(OR(I49="",J49=""),"",ROUND((I49-J49)/I49*100,1))</f>
        <v/>
      </c>
      <c r="M49" s="10">
        <f>IF(L49="","",IF(L49&gt;=25,"是","否"))</f>
        <v/>
      </c>
      <c r="N49" s="10">
        <f>IF(J49="","",IF(J49&lt;0.15,"是","否"))</f>
        <v/>
      </c>
      <c r="O49" s="10">
        <f>IF(I49="","",IF(J49&lt;0.15,"SAFETY_STOP",IF(L49&gt;=25,"VL_THRESHOLD","PLANNED_END")))</f>
        <v/>
      </c>
      <c r="P49" s="10">
        <f>IF(I49="","",IF(I49&gt;($D$2+0.05),"+5kg",IF(I49&gt;($D$2+0.02),"+2.5kg",IF(I49&gt;=($D$2-0.05),"保持",IF(I49&gt;=($D$2-0.08),"-2.5kg","-5kg")))))</f>
        <v/>
      </c>
      <c r="Q49" s="9" t="n"/>
      <c r="R49" s="12" t="n"/>
      <c r="S49" s="12" t="n"/>
      <c r="T49" s="12" t="n"/>
    </row>
    <row r="50">
      <c r="A50" s="8" t="inlineStr">
        <is>
          <t>辅助动作</t>
        </is>
      </c>
      <c r="B50" s="8" t="inlineStr">
        <is>
          <t>动作名称</t>
        </is>
      </c>
      <c r="C50" s="8" t="inlineStr">
        <is>
          <t>负荷kg</t>
        </is>
      </c>
      <c r="D50" s="8" t="inlineStr">
        <is>
          <t>完成(组×次)</t>
        </is>
      </c>
    </row>
    <row r="51">
      <c r="A51" s="9" t="inlineStr"/>
      <c r="B51" s="9" t="n"/>
      <c r="C51" s="9" t="n"/>
      <c r="D51" s="9" t="n"/>
    </row>
    <row r="52">
      <c r="A52" s="8" t="inlineStr">
        <is>
          <t>训练后</t>
        </is>
      </c>
      <c r="B52" s="8" t="inlineStr">
        <is>
          <t>开始时间</t>
        </is>
      </c>
      <c r="C52" s="8" t="inlineStr">
        <is>
          <t>结束时间</t>
        </is>
      </c>
      <c r="D52" s="8" t="inlineStr">
        <is>
          <t>总时长min</t>
        </is>
      </c>
      <c r="E52" s="8" t="inlineStr">
        <is>
          <t>sRPE</t>
        </is>
      </c>
      <c r="F52" s="8" t="inlineStr">
        <is>
          <t>session_load</t>
        </is>
      </c>
      <c r="G52" s="8" t="inlineStr">
        <is>
          <t>有无不适</t>
        </is>
      </c>
      <c r="H52" s="8" t="inlineStr">
        <is>
          <t>备注</t>
        </is>
      </c>
      <c r="I52" s="8" t="inlineStr">
        <is>
          <t>研究员签名</t>
        </is>
      </c>
    </row>
    <row r="53">
      <c r="A53" s="13" t="inlineStr"/>
      <c r="B53" s="13" t="n"/>
      <c r="C53" s="13" t="n"/>
      <c r="D53" s="10">
        <f>IF(OR(B53="",C53=""),"",(C53-B53)*1440)</f>
        <v/>
      </c>
      <c r="E53" s="13" t="n"/>
      <c r="F53" s="10">
        <f>IF(OR(D53="",E53=""),"",D53*E53)</f>
        <v/>
      </c>
      <c r="G53" s="13" t="n"/>
      <c r="H53" s="13" t="n"/>
      <c r="I53" s="13" t="n"/>
    </row>
    <row r="55">
      <c r="A55" s="5" t="inlineStr">
        <is>
          <t>── P006 陈镕垚 ──────────────────────────────────────────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</row>
    <row r="56">
      <c r="A56" s="8" t="inlineStr">
        <is>
          <t>编号</t>
        </is>
      </c>
      <c r="B56" s="8" t="inlineStr">
        <is>
          <t>姓名</t>
        </is>
      </c>
      <c r="C56" s="8" t="inlineStr">
        <is>
          <t>身高</t>
        </is>
      </c>
      <c r="D56" s="8" t="inlineStr">
        <is>
          <t>1RM</t>
        </is>
      </c>
      <c r="E56" s="8" t="inlineStr">
        <is>
          <t>睡眠</t>
        </is>
      </c>
      <c r="F56" s="8" t="inlineStr">
        <is>
          <t>压力</t>
        </is>
      </c>
      <c r="G56" s="8" t="inlineStr">
        <is>
          <t>疲劳</t>
        </is>
      </c>
      <c r="H56" s="8" t="inlineStr">
        <is>
          <t>酸痛</t>
        </is>
      </c>
      <c r="I56" s="8" t="inlineStr">
        <is>
          <t>Hooper总</t>
        </is>
      </c>
      <c r="J56" s="8" t="inlineStr">
        <is>
          <t>CMJ1</t>
        </is>
      </c>
      <c r="K56" s="8" t="inlineStr">
        <is>
          <t>CMJ2</t>
        </is>
      </c>
      <c r="L56" s="8" t="inlineStr">
        <is>
          <t>CMJ3</t>
        </is>
      </c>
      <c r="M56" s="8" t="inlineStr">
        <is>
          <t>CMJ均值</t>
        </is>
      </c>
      <c r="N56" s="8" t="inlineStr">
        <is>
          <t>&lt;95%?</t>
        </is>
      </c>
      <c r="O56" s="8" t="inlineStr">
        <is>
          <t>减组?</t>
        </is>
      </c>
      <c r="P56" s="8" t="inlineStr">
        <is>
          <t>实做组数</t>
        </is>
      </c>
      <c r="Q56" s="8" t="inlineStr">
        <is>
          <t>LVP_a</t>
        </is>
      </c>
      <c r="R56" s="8" t="inlineStr">
        <is>
          <t>LVP_b</t>
        </is>
      </c>
      <c r="S56" s="8" t="inlineStr">
        <is>
          <t>等级</t>
        </is>
      </c>
      <c r="T56" s="8" t="inlineStr">
        <is>
          <t>预测起始</t>
        </is>
      </c>
    </row>
    <row r="57">
      <c r="A57" s="9" t="inlineStr">
        <is>
          <t>P006</t>
        </is>
      </c>
      <c r="B57" s="9" t="inlineStr">
        <is>
          <t>陈镕垚</t>
        </is>
      </c>
      <c r="C57" s="9" t="n">
        <v>181</v>
      </c>
      <c r="D57" s="9" t="n">
        <v>145</v>
      </c>
      <c r="E57" s="9" t="n"/>
      <c r="F57" s="9" t="n"/>
      <c r="G57" s="9" t="n"/>
      <c r="H57" s="9" t="n"/>
      <c r="I57" s="10">
        <f>IFERROR(SUM(E57:H57),"")</f>
        <v/>
      </c>
      <c r="J57" s="9" t="n"/>
      <c r="K57" s="9" t="n"/>
      <c r="L57" s="9" t="n"/>
      <c r="M57" s="10">
        <f>IFERROR(AVERAGE(J57:L57),"")</f>
        <v/>
      </c>
      <c r="N57" s="10">
        <f>IF(M57="","",IF(M57&lt;59.06,"是⚠","否"))</f>
        <v/>
      </c>
      <c r="O57" s="10">
        <f>IF(M57="","",IF(M57&lt;59.06,"减1组","正常"))</f>
        <v/>
      </c>
      <c r="P57" s="10">
        <f>IF(M57="","",IF(M57&lt;59.06,5-1,5))</f>
        <v/>
      </c>
      <c r="Q57" s="9" t="n">
        <v>1.45</v>
      </c>
      <c r="R57" s="9" t="n">
        <v>-0.00675</v>
      </c>
      <c r="S57" s="9" t="inlineStr">
        <is>
          <t>B</t>
        </is>
      </c>
      <c r="T57" s="10">
        <f>IFERROR(ROUND((0.475-1.45)/-0.00675,0.5),"")</f>
        <v/>
      </c>
    </row>
    <row r="58">
      <c r="A58" s="8" t="inlineStr">
        <is>
          <t>热身校准</t>
        </is>
      </c>
      <c r="B58" s="8" t="inlineStr">
        <is>
          <t>LVP_a</t>
        </is>
      </c>
      <c r="C58" s="8" t="inlineStr">
        <is>
          <t>LVP_b</t>
        </is>
      </c>
      <c r="D58" s="8" t="inlineStr">
        <is>
          <t>50%热身kg</t>
        </is>
      </c>
      <c r="E58" s="8" t="inlineStr">
        <is>
          <t>70%热身kg</t>
        </is>
      </c>
      <c r="F58" s="8" t="inlineStr">
        <is>
          <t>热身负荷kg</t>
        </is>
      </c>
      <c r="G58" s="8" t="inlineStr">
        <is>
          <t>实测MCV</t>
        </is>
      </c>
      <c r="H58" s="8" t="inlineStr">
        <is>
          <t>预测MCV</t>
        </is>
      </c>
      <c r="I58" s="8" t="inlineStr">
        <is>
          <t>Δv</t>
        </is>
      </c>
      <c r="J58" s="8" t="inlineStr">
        <is>
          <t>调整量kg</t>
        </is>
      </c>
      <c r="K58" s="8" t="inlineStr">
        <is>
          <t>校准后第1组kg</t>
        </is>
      </c>
    </row>
    <row r="59">
      <c r="A59" s="11" t="inlineStr"/>
      <c r="B59" s="11" t="n">
        <v>1.45</v>
      </c>
      <c r="C59" s="11" t="n">
        <v>-0.00675</v>
      </c>
      <c r="D59" s="10">
        <f>IFERROR(ROUND(T57*0.5,2.5),"")</f>
        <v/>
      </c>
      <c r="E59" s="10">
        <f>IFERROR(ROUND(T57*0.7,2.5),"")</f>
        <v/>
      </c>
      <c r="F59" s="10">
        <f>E59</f>
        <v/>
      </c>
      <c r="G59" s="9" t="n"/>
      <c r="H59" s="10">
        <f>IF(F59="","",B59+C59*F59)</f>
        <v/>
      </c>
      <c r="I59" s="10">
        <f>IF(OR(G59="",H59=""),"",G59-H59)</f>
        <v/>
      </c>
      <c r="J59" s="10">
        <f>IF(I59="","",IF(I59&gt;0.08,5,IF(I59&gt;0.04,2.5,IF(I59&gt;=-0.04,0,IF(I59&gt;=-0.08,-2.5,-5)))))</f>
        <v/>
      </c>
      <c r="K59" s="10">
        <f>IFERROR(ROUND(T57+J59,2.5),"")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8" t="inlineStr">
        <is>
          <t>组次</t>
        </is>
      </c>
      <c r="B60" s="8" t="inlineStr">
        <is>
          <t>负荷kg</t>
        </is>
      </c>
      <c r="C60" s="8" t="inlineStr">
        <is>
          <t>rep1</t>
        </is>
      </c>
      <c r="D60" s="8" t="inlineStr">
        <is>
          <t>rep2</t>
        </is>
      </c>
      <c r="E60" s="8" t="inlineStr">
        <is>
          <t>rep3</t>
        </is>
      </c>
      <c r="F60" s="8" t="inlineStr">
        <is>
          <t>rep4</t>
        </is>
      </c>
      <c r="G60" s="8" t="inlineStr">
        <is>
          <t>rep5</t>
        </is>
      </c>
      <c r="H60" s="8" t="inlineStr">
        <is>
          <t>rep6</t>
        </is>
      </c>
      <c r="I60" s="8" t="inlineStr">
        <is>
          <t>首rep</t>
        </is>
      </c>
      <c r="J60" s="8" t="inlineStr">
        <is>
          <t>最低速</t>
        </is>
      </c>
      <c r="K60" s="8" t="inlineStr">
        <is>
          <t>最低rep#</t>
        </is>
      </c>
      <c r="L60" s="8" t="inlineStr">
        <is>
          <t>VL%</t>
        </is>
      </c>
      <c r="M60" s="8" t="inlineStr">
        <is>
          <t>VL达标?</t>
        </is>
      </c>
      <c r="N60" s="8" t="inlineStr">
        <is>
          <t>安全停止?</t>
        </is>
      </c>
      <c r="O60" s="8" t="inlineStr">
        <is>
          <t>停组原因</t>
        </is>
      </c>
      <c r="P60" s="8" t="inlineStr">
        <is>
          <t>下组建议</t>
        </is>
      </c>
      <c r="Q60" s="8" t="inlineStr">
        <is>
          <t>实做次数</t>
        </is>
      </c>
    </row>
    <row r="61">
      <c r="A61" s="12" t="n">
        <v>1</v>
      </c>
      <c r="B61" s="10">
        <f>IF(K59="","",K59)</f>
        <v/>
      </c>
      <c r="C61" s="9" t="n"/>
      <c r="D61" s="9" t="n"/>
      <c r="E61" s="9" t="n"/>
      <c r="F61" s="9" t="n"/>
      <c r="G61" s="9" t="n"/>
      <c r="H61" s="9" t="n"/>
      <c r="I61" s="10">
        <f>IFERROR(INDEX(C61:H61,MATCH(TRUE,INDEX(C61:H61&lt;&gt;"",0),0)),"")</f>
        <v/>
      </c>
      <c r="J61" s="10">
        <f>IFERROR(MIN(IF(C61:H61&lt;&gt;"",C61:H61)),"")</f>
        <v/>
      </c>
      <c r="K61" s="10">
        <f>IFERROR(MATCH(I61,C61:H61,0),"")</f>
        <v/>
      </c>
      <c r="L61" s="10">
        <f>IF(OR(I61="",J61=""),"",ROUND((I61-J61)/I61*100,1))</f>
        <v/>
      </c>
      <c r="M61" s="10">
        <f>IF(L61="","",IF(L61&gt;=25,"是","否"))</f>
        <v/>
      </c>
      <c r="N61" s="10">
        <f>IF(J61="","",IF(J61&lt;0.15,"是","否"))</f>
        <v/>
      </c>
      <c r="O61" s="10">
        <f>IF(I61="","",IF(J61&lt;0.15,"SAFETY_STOP",IF(L61&gt;=25,"VL_THRESHOLD","PLANNED_END")))</f>
        <v/>
      </c>
      <c r="P61" s="10">
        <f>IF(I61="","",IF(I61&gt;($D$2+0.05),"+5kg",IF(I61&gt;($D$2+0.02),"+2.5kg",IF(I61&gt;=($D$2-0.05),"保持",IF(I61&gt;=($D$2-0.08),"-2.5kg","-5kg")))))</f>
        <v/>
      </c>
      <c r="Q61" s="9" t="n"/>
      <c r="R61" s="12" t="n"/>
      <c r="S61" s="12" t="n"/>
      <c r="T61" s="12" t="n"/>
    </row>
    <row r="62">
      <c r="A62" s="12" t="n">
        <v>2</v>
      </c>
      <c r="B62" s="9" t="n"/>
      <c r="C62" s="9" t="n"/>
      <c r="D62" s="9" t="n"/>
      <c r="E62" s="9" t="n"/>
      <c r="F62" s="9" t="n"/>
      <c r="G62" s="9" t="n"/>
      <c r="H62" s="9" t="n"/>
      <c r="I62" s="10">
        <f>IFERROR(INDEX(C62:H62,MATCH(TRUE,INDEX(C62:H62&lt;&gt;"",0),0)),"")</f>
        <v/>
      </c>
      <c r="J62" s="10">
        <f>IFERROR(MIN(IF(C62:H62&lt;&gt;"",C62:H62)),"")</f>
        <v/>
      </c>
      <c r="K62" s="10">
        <f>IFERROR(MATCH(I62,C62:H62,0),"")</f>
        <v/>
      </c>
      <c r="L62" s="10">
        <f>IF(OR(I62="",J62=""),"",ROUND((I62-J62)/I62*100,1))</f>
        <v/>
      </c>
      <c r="M62" s="10">
        <f>IF(L62="","",IF(L62&gt;=25,"是","否"))</f>
        <v/>
      </c>
      <c r="N62" s="10">
        <f>IF(J62="","",IF(J62&lt;0.15,"是","否"))</f>
        <v/>
      </c>
      <c r="O62" s="10">
        <f>IF(I62="","",IF(J62&lt;0.15,"SAFETY_STOP",IF(L62&gt;=25,"VL_THRESHOLD","PLANNED_END")))</f>
        <v/>
      </c>
      <c r="P62" s="10">
        <f>IF(I62="","",IF(I62&gt;($D$2+0.05),"+5kg",IF(I62&gt;($D$2+0.02),"+2.5kg",IF(I62&gt;=($D$2-0.05),"保持",IF(I62&gt;=($D$2-0.08),"-2.5kg","-5kg")))))</f>
        <v/>
      </c>
      <c r="Q62" s="9" t="n"/>
      <c r="R62" s="12" t="n"/>
      <c r="S62" s="12" t="n"/>
      <c r="T62" s="12" t="n"/>
    </row>
    <row r="63">
      <c r="A63" s="12" t="n">
        <v>3</v>
      </c>
      <c r="B63" s="9" t="n"/>
      <c r="C63" s="9" t="n"/>
      <c r="D63" s="9" t="n"/>
      <c r="E63" s="9" t="n"/>
      <c r="F63" s="9" t="n"/>
      <c r="G63" s="9" t="n"/>
      <c r="H63" s="9" t="n"/>
      <c r="I63" s="10">
        <f>IFERROR(INDEX(C63:H63,MATCH(TRUE,INDEX(C63:H63&lt;&gt;"",0),0)),"")</f>
        <v/>
      </c>
      <c r="J63" s="10">
        <f>IFERROR(MIN(IF(C63:H63&lt;&gt;"",C63:H63)),"")</f>
        <v/>
      </c>
      <c r="K63" s="10">
        <f>IFERROR(MATCH(I63,C63:H63,0),"")</f>
        <v/>
      </c>
      <c r="L63" s="10">
        <f>IF(OR(I63="",J63=""),"",ROUND((I63-J63)/I63*100,1))</f>
        <v/>
      </c>
      <c r="M63" s="10">
        <f>IF(L63="","",IF(L63&gt;=25,"是","否"))</f>
        <v/>
      </c>
      <c r="N63" s="10">
        <f>IF(J63="","",IF(J63&lt;0.15,"是","否"))</f>
        <v/>
      </c>
      <c r="O63" s="10">
        <f>IF(I63="","",IF(J63&lt;0.15,"SAFETY_STOP",IF(L63&gt;=25,"VL_THRESHOLD","PLANNED_END")))</f>
        <v/>
      </c>
      <c r="P63" s="10">
        <f>IF(I63="","",IF(I63&gt;($D$2+0.05),"+5kg",IF(I63&gt;($D$2+0.02),"+2.5kg",IF(I63&gt;=($D$2-0.05),"保持",IF(I63&gt;=($D$2-0.08),"-2.5kg","-5kg")))))</f>
        <v/>
      </c>
      <c r="Q63" s="9" t="n"/>
      <c r="R63" s="12" t="n"/>
      <c r="S63" s="12" t="n"/>
      <c r="T63" s="12" t="n"/>
    </row>
    <row r="64">
      <c r="A64" s="12" t="n">
        <v>4</v>
      </c>
      <c r="B64" s="9" t="n"/>
      <c r="C64" s="9" t="n"/>
      <c r="D64" s="9" t="n"/>
      <c r="E64" s="9" t="n"/>
      <c r="F64" s="9" t="n"/>
      <c r="G64" s="9" t="n"/>
      <c r="H64" s="9" t="n"/>
      <c r="I64" s="10">
        <f>IFERROR(INDEX(C64:H64,MATCH(TRUE,INDEX(C64:H64&lt;&gt;"",0),0)),"")</f>
        <v/>
      </c>
      <c r="J64" s="10">
        <f>IFERROR(MIN(IF(C64:H64&lt;&gt;"",C64:H64)),"")</f>
        <v/>
      </c>
      <c r="K64" s="10">
        <f>IFERROR(MATCH(I64,C64:H64,0),"")</f>
        <v/>
      </c>
      <c r="L64" s="10">
        <f>IF(OR(I64="",J64=""),"",ROUND((I64-J64)/I64*100,1))</f>
        <v/>
      </c>
      <c r="M64" s="10">
        <f>IF(L64="","",IF(L64&gt;=25,"是","否"))</f>
        <v/>
      </c>
      <c r="N64" s="10">
        <f>IF(J64="","",IF(J64&lt;0.15,"是","否"))</f>
        <v/>
      </c>
      <c r="O64" s="10">
        <f>IF(I64="","",IF(J64&lt;0.15,"SAFETY_STOP",IF(L64&gt;=25,"VL_THRESHOLD","PLANNED_END")))</f>
        <v/>
      </c>
      <c r="P64" s="10">
        <f>IF(I64="","",IF(I64&gt;($D$2+0.05),"+5kg",IF(I64&gt;($D$2+0.02),"+2.5kg",IF(I64&gt;=($D$2-0.05),"保持",IF(I64&gt;=($D$2-0.08),"-2.5kg","-5kg")))))</f>
        <v/>
      </c>
      <c r="Q64" s="9" t="n"/>
      <c r="R64" s="12" t="n"/>
      <c r="S64" s="12" t="n"/>
      <c r="T64" s="12" t="n"/>
    </row>
    <row r="65">
      <c r="A65" s="12" t="n">
        <v>5</v>
      </c>
      <c r="B65" s="9" t="n"/>
      <c r="C65" s="9" t="n"/>
      <c r="D65" s="9" t="n"/>
      <c r="E65" s="9" t="n"/>
      <c r="F65" s="9" t="n"/>
      <c r="G65" s="9" t="n"/>
      <c r="H65" s="9" t="n"/>
      <c r="I65" s="10">
        <f>IFERROR(INDEX(C65:H65,MATCH(TRUE,INDEX(C65:H65&lt;&gt;"",0),0)),"")</f>
        <v/>
      </c>
      <c r="J65" s="10">
        <f>IFERROR(MIN(IF(C65:H65&lt;&gt;"",C65:H65)),"")</f>
        <v/>
      </c>
      <c r="K65" s="10">
        <f>IFERROR(MATCH(I65,C65:H65,0),"")</f>
        <v/>
      </c>
      <c r="L65" s="10">
        <f>IF(OR(I65="",J65=""),"",ROUND((I65-J65)/I65*100,1))</f>
        <v/>
      </c>
      <c r="M65" s="10">
        <f>IF(L65="","",IF(L65&gt;=25,"是","否"))</f>
        <v/>
      </c>
      <c r="N65" s="10">
        <f>IF(J65="","",IF(J65&lt;0.15,"是","否"))</f>
        <v/>
      </c>
      <c r="O65" s="10">
        <f>IF(I65="","",IF(J65&lt;0.15,"SAFETY_STOP",IF(L65&gt;=25,"VL_THRESHOLD","PLANNED_END")))</f>
        <v/>
      </c>
      <c r="P65" s="10">
        <f>IF(I65="","",IF(I65&gt;($D$2+0.05),"+5kg",IF(I65&gt;($D$2+0.02),"+2.5kg",IF(I65&gt;=($D$2-0.05),"保持",IF(I65&gt;=($D$2-0.08),"-2.5kg","-5kg")))))</f>
        <v/>
      </c>
      <c r="Q65" s="9" t="n"/>
      <c r="R65" s="12" t="n"/>
      <c r="S65" s="12" t="n"/>
      <c r="T65" s="12" t="n"/>
    </row>
    <row r="66">
      <c r="A66" s="12" t="n">
        <v>6</v>
      </c>
      <c r="B66" s="9" t="n"/>
      <c r="C66" s="9" t="n"/>
      <c r="D66" s="9" t="n"/>
      <c r="E66" s="9" t="n"/>
      <c r="F66" s="9" t="n"/>
      <c r="G66" s="9" t="n"/>
      <c r="H66" s="9" t="n"/>
      <c r="I66" s="10">
        <f>IFERROR(INDEX(C66:H66,MATCH(TRUE,INDEX(C66:H66&lt;&gt;"",0),0)),"")</f>
        <v/>
      </c>
      <c r="J66" s="10">
        <f>IFERROR(MIN(IF(C66:H66&lt;&gt;"",C66:H66)),"")</f>
        <v/>
      </c>
      <c r="K66" s="10">
        <f>IFERROR(MATCH(I66,C66:H66,0),"")</f>
        <v/>
      </c>
      <c r="L66" s="10">
        <f>IF(OR(I66="",J66=""),"",ROUND((I66-J66)/I66*100,1))</f>
        <v/>
      </c>
      <c r="M66" s="10">
        <f>IF(L66="","",IF(L66&gt;=25,"是","否"))</f>
        <v/>
      </c>
      <c r="N66" s="10">
        <f>IF(J66="","",IF(J66&lt;0.15,"是","否"))</f>
        <v/>
      </c>
      <c r="O66" s="10">
        <f>IF(I66="","",IF(J66&lt;0.15,"SAFETY_STOP",IF(L66&gt;=25,"VL_THRESHOLD","PLANNED_END")))</f>
        <v/>
      </c>
      <c r="P66" s="10">
        <f>IF(I66="","",IF(I66&gt;($D$2+0.05),"+5kg",IF(I66&gt;($D$2+0.02),"+2.5kg",IF(I66&gt;=($D$2-0.05),"保持",IF(I66&gt;=($D$2-0.08),"-2.5kg","-5kg")))))</f>
        <v/>
      </c>
      <c r="Q66" s="9" t="n"/>
      <c r="R66" s="12" t="n"/>
      <c r="S66" s="12" t="n"/>
      <c r="T66" s="12" t="n"/>
    </row>
    <row r="67">
      <c r="A67" s="8" t="inlineStr">
        <is>
          <t>辅助动作</t>
        </is>
      </c>
      <c r="B67" s="8" t="inlineStr">
        <is>
          <t>动作名称</t>
        </is>
      </c>
      <c r="C67" s="8" t="inlineStr">
        <is>
          <t>负荷kg</t>
        </is>
      </c>
      <c r="D67" s="8" t="inlineStr">
        <is>
          <t>完成(组×次)</t>
        </is>
      </c>
    </row>
    <row r="68">
      <c r="A68" s="9" t="inlineStr"/>
      <c r="B68" s="9" t="n"/>
      <c r="C68" s="9" t="n"/>
      <c r="D68" s="9" t="n"/>
    </row>
    <row r="69">
      <c r="A69" s="8" t="inlineStr">
        <is>
          <t>训练后</t>
        </is>
      </c>
      <c r="B69" s="8" t="inlineStr">
        <is>
          <t>开始时间</t>
        </is>
      </c>
      <c r="C69" s="8" t="inlineStr">
        <is>
          <t>结束时间</t>
        </is>
      </c>
      <c r="D69" s="8" t="inlineStr">
        <is>
          <t>总时长min</t>
        </is>
      </c>
      <c r="E69" s="8" t="inlineStr">
        <is>
          <t>sRPE</t>
        </is>
      </c>
      <c r="F69" s="8" t="inlineStr">
        <is>
          <t>session_load</t>
        </is>
      </c>
      <c r="G69" s="8" t="inlineStr">
        <is>
          <t>有无不适</t>
        </is>
      </c>
      <c r="H69" s="8" t="inlineStr">
        <is>
          <t>备注</t>
        </is>
      </c>
      <c r="I69" s="8" t="inlineStr">
        <is>
          <t>研究员签名</t>
        </is>
      </c>
    </row>
    <row r="70">
      <c r="A70" s="13" t="inlineStr"/>
      <c r="B70" s="13" t="n"/>
      <c r="C70" s="13" t="n"/>
      <c r="D70" s="10">
        <f>IF(OR(B70="",C70=""),"",(C70-B70)*1440)</f>
        <v/>
      </c>
      <c r="E70" s="13" t="n"/>
      <c r="F70" s="10">
        <f>IF(OR(D70="",E70=""),"",D70*E70)</f>
        <v/>
      </c>
      <c r="G70" s="13" t="n"/>
      <c r="H70" s="13" t="n"/>
      <c r="I70" s="13" t="n"/>
    </row>
    <row r="72">
      <c r="A72" s="5" t="inlineStr">
        <is>
          <t>── P015 陈先栋 ──────────────────────────────────────────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7" t="n"/>
    </row>
    <row r="73">
      <c r="A73" s="8" t="inlineStr">
        <is>
          <t>编号</t>
        </is>
      </c>
      <c r="B73" s="8" t="inlineStr">
        <is>
          <t>姓名</t>
        </is>
      </c>
      <c r="C73" s="8" t="inlineStr">
        <is>
          <t>身高</t>
        </is>
      </c>
      <c r="D73" s="8" t="inlineStr">
        <is>
          <t>1RM</t>
        </is>
      </c>
      <c r="E73" s="8" t="inlineStr">
        <is>
          <t>睡眠</t>
        </is>
      </c>
      <c r="F73" s="8" t="inlineStr">
        <is>
          <t>压力</t>
        </is>
      </c>
      <c r="G73" s="8" t="inlineStr">
        <is>
          <t>疲劳</t>
        </is>
      </c>
      <c r="H73" s="8" t="inlineStr">
        <is>
          <t>酸痛</t>
        </is>
      </c>
      <c r="I73" s="8" t="inlineStr">
        <is>
          <t>Hooper总</t>
        </is>
      </c>
      <c r="J73" s="8" t="inlineStr">
        <is>
          <t>CMJ1</t>
        </is>
      </c>
      <c r="K73" s="8" t="inlineStr">
        <is>
          <t>CMJ2</t>
        </is>
      </c>
      <c r="L73" s="8" t="inlineStr">
        <is>
          <t>CMJ3</t>
        </is>
      </c>
      <c r="M73" s="8" t="inlineStr">
        <is>
          <t>CMJ均值</t>
        </is>
      </c>
      <c r="N73" s="8" t="inlineStr">
        <is>
          <t>&lt;95%?</t>
        </is>
      </c>
      <c r="O73" s="8" t="inlineStr">
        <is>
          <t>减组?</t>
        </is>
      </c>
      <c r="P73" s="8" t="inlineStr">
        <is>
          <t>实做组数</t>
        </is>
      </c>
      <c r="Q73" s="8" t="inlineStr">
        <is>
          <t>LVP_a</t>
        </is>
      </c>
      <c r="R73" s="8" t="inlineStr">
        <is>
          <t>LVP_b</t>
        </is>
      </c>
      <c r="S73" s="8" t="inlineStr">
        <is>
          <t>等级</t>
        </is>
      </c>
      <c r="T73" s="8" t="inlineStr">
        <is>
          <t>预测起始</t>
        </is>
      </c>
    </row>
    <row r="74">
      <c r="A74" s="9" t="inlineStr">
        <is>
          <t>P015</t>
        </is>
      </c>
      <c r="B74" s="9" t="inlineStr">
        <is>
          <t>陈先栋</t>
        </is>
      </c>
      <c r="C74" s="9" t="n">
        <v>175</v>
      </c>
      <c r="D74" s="9" t="n">
        <v>135</v>
      </c>
      <c r="E74" s="9" t="n"/>
      <c r="F74" s="9" t="n"/>
      <c r="G74" s="9" t="n"/>
      <c r="H74" s="9" t="n"/>
      <c r="I74" s="10">
        <f>IFERROR(SUM(E74:H74),"")</f>
        <v/>
      </c>
      <c r="J74" s="9" t="n"/>
      <c r="K74" s="9" t="n"/>
      <c r="L74" s="9" t="n"/>
      <c r="M74" s="10">
        <f>IFERROR(AVERAGE(J74:L74),"")</f>
        <v/>
      </c>
      <c r="N74" s="10">
        <f>IF(M74="","",IF(M74&lt;54.25,"是⚠","否"))</f>
        <v/>
      </c>
      <c r="O74" s="10">
        <f>IF(M74="","",IF(M74&lt;54.25,"减1组","正常"))</f>
        <v/>
      </c>
      <c r="P74" s="10">
        <f>IF(M74="","",IF(M74&lt;54.25,5-1,5))</f>
        <v/>
      </c>
      <c r="Q74" s="9" t="n">
        <v>1.77</v>
      </c>
      <c r="R74" s="9" t="n">
        <v>-0.01025</v>
      </c>
      <c r="S74" s="9" t="inlineStr">
        <is>
          <t>C</t>
        </is>
      </c>
      <c r="T74" s="10">
        <f>IFERROR(ROUND((0.475-1.77)/-0.01025,0.5),"")</f>
        <v/>
      </c>
    </row>
    <row r="75">
      <c r="A75" s="8" t="inlineStr">
        <is>
          <t>热身校准</t>
        </is>
      </c>
      <c r="B75" s="8" t="inlineStr">
        <is>
          <t>LVP_a</t>
        </is>
      </c>
      <c r="C75" s="8" t="inlineStr">
        <is>
          <t>LVP_b</t>
        </is>
      </c>
      <c r="D75" s="8" t="inlineStr">
        <is>
          <t>50%热身kg</t>
        </is>
      </c>
      <c r="E75" s="8" t="inlineStr">
        <is>
          <t>70%热身kg</t>
        </is>
      </c>
      <c r="F75" s="8" t="inlineStr">
        <is>
          <t>热身负荷kg</t>
        </is>
      </c>
      <c r="G75" s="8" t="inlineStr">
        <is>
          <t>实测MCV</t>
        </is>
      </c>
      <c r="H75" s="8" t="inlineStr">
        <is>
          <t>预测MCV</t>
        </is>
      </c>
      <c r="I75" s="8" t="inlineStr">
        <is>
          <t>Δv</t>
        </is>
      </c>
      <c r="J75" s="8" t="inlineStr">
        <is>
          <t>调整量kg</t>
        </is>
      </c>
      <c r="K75" s="8" t="inlineStr">
        <is>
          <t>校准后第1组kg</t>
        </is>
      </c>
    </row>
    <row r="76">
      <c r="A76" s="11" t="inlineStr"/>
      <c r="B76" s="11" t="n">
        <v>1.77</v>
      </c>
      <c r="C76" s="11" t="n">
        <v>-0.01025</v>
      </c>
      <c r="D76" s="10">
        <f>IFERROR(ROUND(T74*0.5,2.5),"")</f>
        <v/>
      </c>
      <c r="E76" s="10">
        <f>IFERROR(ROUND(T74*0.7,2.5),"")</f>
        <v/>
      </c>
      <c r="F76" s="10">
        <f>E76</f>
        <v/>
      </c>
      <c r="G76" s="9" t="n"/>
      <c r="H76" s="10">
        <f>IF(F76="","",B76+C76*F76)</f>
        <v/>
      </c>
      <c r="I76" s="10">
        <f>IF(OR(G76="",H76=""),"",G76-H76)</f>
        <v/>
      </c>
      <c r="J76" s="10">
        <f>IF(I76="","",IF(I76&gt;0.08,5,IF(I76&gt;0.04,2.5,IF(I76&gt;=-0.04,0,IF(I76&gt;=-0.08,-2.5,-5)))))</f>
        <v/>
      </c>
      <c r="K76" s="10">
        <f>IFERROR(ROUND(T74+J76,2.5),"")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8" t="inlineStr">
        <is>
          <t>组次</t>
        </is>
      </c>
      <c r="B77" s="8" t="inlineStr">
        <is>
          <t>负荷kg</t>
        </is>
      </c>
      <c r="C77" s="8" t="inlineStr">
        <is>
          <t>rep1</t>
        </is>
      </c>
      <c r="D77" s="8" t="inlineStr">
        <is>
          <t>rep2</t>
        </is>
      </c>
      <c r="E77" s="8" t="inlineStr">
        <is>
          <t>rep3</t>
        </is>
      </c>
      <c r="F77" s="8" t="inlineStr">
        <is>
          <t>rep4</t>
        </is>
      </c>
      <c r="G77" s="8" t="inlineStr">
        <is>
          <t>rep5</t>
        </is>
      </c>
      <c r="H77" s="8" t="inlineStr">
        <is>
          <t>rep6</t>
        </is>
      </c>
      <c r="I77" s="8" t="inlineStr">
        <is>
          <t>首rep</t>
        </is>
      </c>
      <c r="J77" s="8" t="inlineStr">
        <is>
          <t>最低速</t>
        </is>
      </c>
      <c r="K77" s="8" t="inlineStr">
        <is>
          <t>最低rep#</t>
        </is>
      </c>
      <c r="L77" s="8" t="inlineStr">
        <is>
          <t>VL%</t>
        </is>
      </c>
      <c r="M77" s="8" t="inlineStr">
        <is>
          <t>VL达标?</t>
        </is>
      </c>
      <c r="N77" s="8" t="inlineStr">
        <is>
          <t>安全停止?</t>
        </is>
      </c>
      <c r="O77" s="8" t="inlineStr">
        <is>
          <t>停组原因</t>
        </is>
      </c>
      <c r="P77" s="8" t="inlineStr">
        <is>
          <t>下组建议</t>
        </is>
      </c>
      <c r="Q77" s="8" t="inlineStr">
        <is>
          <t>实做次数</t>
        </is>
      </c>
    </row>
    <row r="78">
      <c r="A78" s="12" t="n">
        <v>1</v>
      </c>
      <c r="B78" s="10">
        <f>IF(K76="","",K76)</f>
        <v/>
      </c>
      <c r="C78" s="9" t="n"/>
      <c r="D78" s="9" t="n"/>
      <c r="E78" s="9" t="n"/>
      <c r="F78" s="9" t="n"/>
      <c r="G78" s="9" t="n"/>
      <c r="H78" s="9" t="n"/>
      <c r="I78" s="10">
        <f>IFERROR(INDEX(C78:H78,MATCH(TRUE,INDEX(C78:H78&lt;&gt;"",0),0)),"")</f>
        <v/>
      </c>
      <c r="J78" s="10">
        <f>IFERROR(MIN(IF(C78:H78&lt;&gt;"",C78:H78)),"")</f>
        <v/>
      </c>
      <c r="K78" s="10">
        <f>IFERROR(MATCH(I78,C78:H78,0),"")</f>
        <v/>
      </c>
      <c r="L78" s="10">
        <f>IF(OR(I78="",J78=""),"",ROUND((I78-J78)/I78*100,1))</f>
        <v/>
      </c>
      <c r="M78" s="10">
        <f>IF(L78="","",IF(L78&gt;=25,"是","否"))</f>
        <v/>
      </c>
      <c r="N78" s="10">
        <f>IF(J78="","",IF(J78&lt;0.15,"是","否"))</f>
        <v/>
      </c>
      <c r="O78" s="10">
        <f>IF(I78="","",IF(J78&lt;0.15,"SAFETY_STOP",IF(L78&gt;=25,"VL_THRESHOLD","PLANNED_END")))</f>
        <v/>
      </c>
      <c r="P78" s="10">
        <f>IF(I78="","",IF(I78&gt;($D$2+0.05),"+5kg",IF(I78&gt;($D$2+0.02),"+2.5kg",IF(I78&gt;=($D$2-0.05),"保持",IF(I78&gt;=($D$2-0.08),"-2.5kg","-5kg")))))</f>
        <v/>
      </c>
      <c r="Q78" s="9" t="n"/>
      <c r="R78" s="12" t="n"/>
      <c r="S78" s="12" t="n"/>
      <c r="T78" s="12" t="n"/>
    </row>
    <row r="79">
      <c r="A79" s="12" t="n">
        <v>2</v>
      </c>
      <c r="B79" s="9" t="n"/>
      <c r="C79" s="9" t="n"/>
      <c r="D79" s="9" t="n"/>
      <c r="E79" s="9" t="n"/>
      <c r="F79" s="9" t="n"/>
      <c r="G79" s="9" t="n"/>
      <c r="H79" s="9" t="n"/>
      <c r="I79" s="10">
        <f>IFERROR(INDEX(C79:H79,MATCH(TRUE,INDEX(C79:H79&lt;&gt;"",0),0)),"")</f>
        <v/>
      </c>
      <c r="J79" s="10">
        <f>IFERROR(MIN(IF(C79:H79&lt;&gt;"",C79:H79)),"")</f>
        <v/>
      </c>
      <c r="K79" s="10">
        <f>IFERROR(MATCH(I79,C79:H79,0),"")</f>
        <v/>
      </c>
      <c r="L79" s="10">
        <f>IF(OR(I79="",J79=""),"",ROUND((I79-J79)/I79*100,1))</f>
        <v/>
      </c>
      <c r="M79" s="10">
        <f>IF(L79="","",IF(L79&gt;=25,"是","否"))</f>
        <v/>
      </c>
      <c r="N79" s="10">
        <f>IF(J79="","",IF(J79&lt;0.15,"是","否"))</f>
        <v/>
      </c>
      <c r="O79" s="10">
        <f>IF(I79="","",IF(J79&lt;0.15,"SAFETY_STOP",IF(L79&gt;=25,"VL_THRESHOLD","PLANNED_END")))</f>
        <v/>
      </c>
      <c r="P79" s="10">
        <f>IF(I79="","",IF(I79&gt;($D$2+0.05),"+5kg",IF(I79&gt;($D$2+0.02),"+2.5kg",IF(I79&gt;=($D$2-0.05),"保持",IF(I79&gt;=($D$2-0.08),"-2.5kg","-5kg")))))</f>
        <v/>
      </c>
      <c r="Q79" s="9" t="n"/>
      <c r="R79" s="12" t="n"/>
      <c r="S79" s="12" t="n"/>
      <c r="T79" s="12" t="n"/>
    </row>
    <row r="80">
      <c r="A80" s="12" t="n">
        <v>3</v>
      </c>
      <c r="B80" s="9" t="n"/>
      <c r="C80" s="9" t="n"/>
      <c r="D80" s="9" t="n"/>
      <c r="E80" s="9" t="n"/>
      <c r="F80" s="9" t="n"/>
      <c r="G80" s="9" t="n"/>
      <c r="H80" s="9" t="n"/>
      <c r="I80" s="10">
        <f>IFERROR(INDEX(C80:H80,MATCH(TRUE,INDEX(C80:H80&lt;&gt;"",0),0)),"")</f>
        <v/>
      </c>
      <c r="J80" s="10">
        <f>IFERROR(MIN(IF(C80:H80&lt;&gt;"",C80:H80)),"")</f>
        <v/>
      </c>
      <c r="K80" s="10">
        <f>IFERROR(MATCH(I80,C80:H80,0),"")</f>
        <v/>
      </c>
      <c r="L80" s="10">
        <f>IF(OR(I80="",J80=""),"",ROUND((I80-J80)/I80*100,1))</f>
        <v/>
      </c>
      <c r="M80" s="10">
        <f>IF(L80="","",IF(L80&gt;=25,"是","否"))</f>
        <v/>
      </c>
      <c r="N80" s="10">
        <f>IF(J80="","",IF(J80&lt;0.15,"是","否"))</f>
        <v/>
      </c>
      <c r="O80" s="10">
        <f>IF(I80="","",IF(J80&lt;0.15,"SAFETY_STOP",IF(L80&gt;=25,"VL_THRESHOLD","PLANNED_END")))</f>
        <v/>
      </c>
      <c r="P80" s="10">
        <f>IF(I80="","",IF(I80&gt;($D$2+0.05),"+5kg",IF(I80&gt;($D$2+0.02),"+2.5kg",IF(I80&gt;=($D$2-0.05),"保持",IF(I80&gt;=($D$2-0.08),"-2.5kg","-5kg")))))</f>
        <v/>
      </c>
      <c r="Q80" s="9" t="n"/>
      <c r="R80" s="12" t="n"/>
      <c r="S80" s="12" t="n"/>
      <c r="T80" s="12" t="n"/>
    </row>
    <row r="81">
      <c r="A81" s="12" t="n">
        <v>4</v>
      </c>
      <c r="B81" s="9" t="n"/>
      <c r="C81" s="9" t="n"/>
      <c r="D81" s="9" t="n"/>
      <c r="E81" s="9" t="n"/>
      <c r="F81" s="9" t="n"/>
      <c r="G81" s="9" t="n"/>
      <c r="H81" s="9" t="n"/>
      <c r="I81" s="10">
        <f>IFERROR(INDEX(C81:H81,MATCH(TRUE,INDEX(C81:H81&lt;&gt;"",0),0)),"")</f>
        <v/>
      </c>
      <c r="J81" s="10">
        <f>IFERROR(MIN(IF(C81:H81&lt;&gt;"",C81:H81)),"")</f>
        <v/>
      </c>
      <c r="K81" s="10">
        <f>IFERROR(MATCH(I81,C81:H81,0),"")</f>
        <v/>
      </c>
      <c r="L81" s="10">
        <f>IF(OR(I81="",J81=""),"",ROUND((I81-J81)/I81*100,1))</f>
        <v/>
      </c>
      <c r="M81" s="10">
        <f>IF(L81="","",IF(L81&gt;=25,"是","否"))</f>
        <v/>
      </c>
      <c r="N81" s="10">
        <f>IF(J81="","",IF(J81&lt;0.15,"是","否"))</f>
        <v/>
      </c>
      <c r="O81" s="10">
        <f>IF(I81="","",IF(J81&lt;0.15,"SAFETY_STOP",IF(L81&gt;=25,"VL_THRESHOLD","PLANNED_END")))</f>
        <v/>
      </c>
      <c r="P81" s="10">
        <f>IF(I81="","",IF(I81&gt;($D$2+0.05),"+5kg",IF(I81&gt;($D$2+0.02),"+2.5kg",IF(I81&gt;=($D$2-0.05),"保持",IF(I81&gt;=($D$2-0.08),"-2.5kg","-5kg")))))</f>
        <v/>
      </c>
      <c r="Q81" s="9" t="n"/>
      <c r="R81" s="12" t="n"/>
      <c r="S81" s="12" t="n"/>
      <c r="T81" s="12" t="n"/>
    </row>
    <row r="82">
      <c r="A82" s="12" t="n">
        <v>5</v>
      </c>
      <c r="B82" s="9" t="n"/>
      <c r="C82" s="9" t="n"/>
      <c r="D82" s="9" t="n"/>
      <c r="E82" s="9" t="n"/>
      <c r="F82" s="9" t="n"/>
      <c r="G82" s="9" t="n"/>
      <c r="H82" s="9" t="n"/>
      <c r="I82" s="10">
        <f>IFERROR(INDEX(C82:H82,MATCH(TRUE,INDEX(C82:H82&lt;&gt;"",0),0)),"")</f>
        <v/>
      </c>
      <c r="J82" s="10">
        <f>IFERROR(MIN(IF(C82:H82&lt;&gt;"",C82:H82)),"")</f>
        <v/>
      </c>
      <c r="K82" s="10">
        <f>IFERROR(MATCH(I82,C82:H82,0),"")</f>
        <v/>
      </c>
      <c r="L82" s="10">
        <f>IF(OR(I82="",J82=""),"",ROUND((I82-J82)/I82*100,1))</f>
        <v/>
      </c>
      <c r="M82" s="10">
        <f>IF(L82="","",IF(L82&gt;=25,"是","否"))</f>
        <v/>
      </c>
      <c r="N82" s="10">
        <f>IF(J82="","",IF(J82&lt;0.15,"是","否"))</f>
        <v/>
      </c>
      <c r="O82" s="10">
        <f>IF(I82="","",IF(J82&lt;0.15,"SAFETY_STOP",IF(L82&gt;=25,"VL_THRESHOLD","PLANNED_END")))</f>
        <v/>
      </c>
      <c r="P82" s="10">
        <f>IF(I82="","",IF(I82&gt;($D$2+0.05),"+5kg",IF(I82&gt;($D$2+0.02),"+2.5kg",IF(I82&gt;=($D$2-0.05),"保持",IF(I82&gt;=($D$2-0.08),"-2.5kg","-5kg")))))</f>
        <v/>
      </c>
      <c r="Q82" s="9" t="n"/>
      <c r="R82" s="12" t="n"/>
      <c r="S82" s="12" t="n"/>
      <c r="T82" s="12" t="n"/>
    </row>
    <row r="83">
      <c r="A83" s="12" t="n">
        <v>6</v>
      </c>
      <c r="B83" s="9" t="n"/>
      <c r="C83" s="9" t="n"/>
      <c r="D83" s="9" t="n"/>
      <c r="E83" s="9" t="n"/>
      <c r="F83" s="9" t="n"/>
      <c r="G83" s="9" t="n"/>
      <c r="H83" s="9" t="n"/>
      <c r="I83" s="10">
        <f>IFERROR(INDEX(C83:H83,MATCH(TRUE,INDEX(C83:H83&lt;&gt;"",0),0)),"")</f>
        <v/>
      </c>
      <c r="J83" s="10">
        <f>IFERROR(MIN(IF(C83:H83&lt;&gt;"",C83:H83)),"")</f>
        <v/>
      </c>
      <c r="K83" s="10">
        <f>IFERROR(MATCH(I83,C83:H83,0),"")</f>
        <v/>
      </c>
      <c r="L83" s="10">
        <f>IF(OR(I83="",J83=""),"",ROUND((I83-J83)/I83*100,1))</f>
        <v/>
      </c>
      <c r="M83" s="10">
        <f>IF(L83="","",IF(L83&gt;=25,"是","否"))</f>
        <v/>
      </c>
      <c r="N83" s="10">
        <f>IF(J83="","",IF(J83&lt;0.15,"是","否"))</f>
        <v/>
      </c>
      <c r="O83" s="10">
        <f>IF(I83="","",IF(J83&lt;0.15,"SAFETY_STOP",IF(L83&gt;=25,"VL_THRESHOLD","PLANNED_END")))</f>
        <v/>
      </c>
      <c r="P83" s="10">
        <f>IF(I83="","",IF(I83&gt;($D$2+0.05),"+5kg",IF(I83&gt;($D$2+0.02),"+2.5kg",IF(I83&gt;=($D$2-0.05),"保持",IF(I83&gt;=($D$2-0.08),"-2.5kg","-5kg")))))</f>
        <v/>
      </c>
      <c r="Q83" s="9" t="n"/>
      <c r="R83" s="12" t="n"/>
      <c r="S83" s="12" t="n"/>
      <c r="T83" s="12" t="n"/>
    </row>
    <row r="84">
      <c r="A84" s="8" t="inlineStr">
        <is>
          <t>辅助动作</t>
        </is>
      </c>
      <c r="B84" s="8" t="inlineStr">
        <is>
          <t>动作名称</t>
        </is>
      </c>
      <c r="C84" s="8" t="inlineStr">
        <is>
          <t>负荷kg</t>
        </is>
      </c>
      <c r="D84" s="8" t="inlineStr">
        <is>
          <t>完成(组×次)</t>
        </is>
      </c>
    </row>
    <row r="85">
      <c r="A85" s="9" t="inlineStr"/>
      <c r="B85" s="9" t="n"/>
      <c r="C85" s="9" t="n"/>
      <c r="D85" s="9" t="n"/>
    </row>
    <row r="86">
      <c r="A86" s="8" t="inlineStr">
        <is>
          <t>训练后</t>
        </is>
      </c>
      <c r="B86" s="8" t="inlineStr">
        <is>
          <t>开始时间</t>
        </is>
      </c>
      <c r="C86" s="8" t="inlineStr">
        <is>
          <t>结束时间</t>
        </is>
      </c>
      <c r="D86" s="8" t="inlineStr">
        <is>
          <t>总时长min</t>
        </is>
      </c>
      <c r="E86" s="8" t="inlineStr">
        <is>
          <t>sRPE</t>
        </is>
      </c>
      <c r="F86" s="8" t="inlineStr">
        <is>
          <t>session_load</t>
        </is>
      </c>
      <c r="G86" s="8" t="inlineStr">
        <is>
          <t>有无不适</t>
        </is>
      </c>
      <c r="H86" s="8" t="inlineStr">
        <is>
          <t>备注</t>
        </is>
      </c>
      <c r="I86" s="8" t="inlineStr">
        <is>
          <t>研究员签名</t>
        </is>
      </c>
    </row>
    <row r="87">
      <c r="A87" s="13" t="inlineStr"/>
      <c r="B87" s="13" t="n"/>
      <c r="C87" s="13" t="n"/>
      <c r="D87" s="10">
        <f>IF(OR(B87="",C87=""),"",(C87-B87)*1440)</f>
        <v/>
      </c>
      <c r="E87" s="13" t="n"/>
      <c r="F87" s="10">
        <f>IF(OR(D87="",E87=""),"",D87*E87)</f>
        <v/>
      </c>
      <c r="G87" s="13" t="n"/>
      <c r="H87" s="13" t="n"/>
      <c r="I87" s="13" t="n"/>
    </row>
    <row r="89">
      <c r="A89" s="5" t="inlineStr">
        <is>
          <t>── P011 朱怀远 ──────────────────────────────────────────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" t="n"/>
    </row>
    <row r="90">
      <c r="A90" s="8" t="inlineStr">
        <is>
          <t>编号</t>
        </is>
      </c>
      <c r="B90" s="8" t="inlineStr">
        <is>
          <t>姓名</t>
        </is>
      </c>
      <c r="C90" s="8" t="inlineStr">
        <is>
          <t>身高</t>
        </is>
      </c>
      <c r="D90" s="8" t="inlineStr">
        <is>
          <t>1RM</t>
        </is>
      </c>
      <c r="E90" s="8" t="inlineStr">
        <is>
          <t>睡眠</t>
        </is>
      </c>
      <c r="F90" s="8" t="inlineStr">
        <is>
          <t>压力</t>
        </is>
      </c>
      <c r="G90" s="8" t="inlineStr">
        <is>
          <t>疲劳</t>
        </is>
      </c>
      <c r="H90" s="8" t="inlineStr">
        <is>
          <t>酸痛</t>
        </is>
      </c>
      <c r="I90" s="8" t="inlineStr">
        <is>
          <t>Hooper总</t>
        </is>
      </c>
      <c r="J90" s="8" t="inlineStr">
        <is>
          <t>CMJ1</t>
        </is>
      </c>
      <c r="K90" s="8" t="inlineStr">
        <is>
          <t>CMJ2</t>
        </is>
      </c>
      <c r="L90" s="8" t="inlineStr">
        <is>
          <t>CMJ3</t>
        </is>
      </c>
      <c r="M90" s="8" t="inlineStr">
        <is>
          <t>CMJ均值</t>
        </is>
      </c>
      <c r="N90" s="8" t="inlineStr">
        <is>
          <t>&lt;95%?</t>
        </is>
      </c>
      <c r="O90" s="8" t="inlineStr">
        <is>
          <t>减组?</t>
        </is>
      </c>
      <c r="P90" s="8" t="inlineStr">
        <is>
          <t>实做组数</t>
        </is>
      </c>
      <c r="Q90" s="8" t="inlineStr">
        <is>
          <t>LVP_a</t>
        </is>
      </c>
      <c r="R90" s="8" t="inlineStr">
        <is>
          <t>LVP_b</t>
        </is>
      </c>
      <c r="S90" s="8" t="inlineStr">
        <is>
          <t>等级</t>
        </is>
      </c>
      <c r="T90" s="8" t="inlineStr">
        <is>
          <t>预测起始</t>
        </is>
      </c>
    </row>
    <row r="91">
      <c r="A91" s="9" t="inlineStr">
        <is>
          <t>P011</t>
        </is>
      </c>
      <c r="B91" s="9" t="inlineStr">
        <is>
          <t>朱怀远</t>
        </is>
      </c>
      <c r="C91" s="9" t="n">
        <v>165</v>
      </c>
      <c r="D91" s="9" t="n">
        <v>125</v>
      </c>
      <c r="E91" s="9" t="n"/>
      <c r="F91" s="9" t="n"/>
      <c r="G91" s="9" t="n"/>
      <c r="H91" s="9" t="n"/>
      <c r="I91" s="10">
        <f>IFERROR(SUM(E91:H91),"")</f>
        <v/>
      </c>
      <c r="J91" s="9" t="n"/>
      <c r="K91" s="9" t="n"/>
      <c r="L91" s="9" t="n"/>
      <c r="M91" s="10">
        <f>IFERROR(AVERAGE(J91:L91),"")</f>
        <v/>
      </c>
      <c r="N91" s="10">
        <f>IF(M91="","",IF(M91&lt;64.98,"是⚠","否"))</f>
        <v/>
      </c>
      <c r="O91" s="10">
        <f>IF(M91="","",IF(M91&lt;64.98,"减1组","正常"))</f>
        <v/>
      </c>
      <c r="P91" s="10">
        <f>IF(M91="","",IF(M91&lt;64.98,5-1,5))</f>
        <v/>
      </c>
      <c r="Q91" s="9" t="n">
        <v>1.2583</v>
      </c>
      <c r="R91" s="9" t="n">
        <v>-0.006125</v>
      </c>
      <c r="S91" s="9" t="inlineStr">
        <is>
          <t>D</t>
        </is>
      </c>
      <c r="T91" s="10">
        <f>IFERROR(ROUND((0.475-1.2583)/-0.006125,0.5),"")</f>
        <v/>
      </c>
    </row>
    <row r="92">
      <c r="A92" s="8" t="inlineStr">
        <is>
          <t>热身校准</t>
        </is>
      </c>
      <c r="B92" s="8" t="inlineStr">
        <is>
          <t>LVP_a</t>
        </is>
      </c>
      <c r="C92" s="8" t="inlineStr">
        <is>
          <t>LVP_b</t>
        </is>
      </c>
      <c r="D92" s="8" t="inlineStr">
        <is>
          <t>50%热身kg</t>
        </is>
      </c>
      <c r="E92" s="8" t="inlineStr">
        <is>
          <t>70%热身kg</t>
        </is>
      </c>
      <c r="F92" s="8" t="inlineStr">
        <is>
          <t>热身负荷kg</t>
        </is>
      </c>
      <c r="G92" s="8" t="inlineStr">
        <is>
          <t>实测MCV</t>
        </is>
      </c>
      <c r="H92" s="8" t="inlineStr">
        <is>
          <t>预测MCV</t>
        </is>
      </c>
      <c r="I92" s="8" t="inlineStr">
        <is>
          <t>Δv</t>
        </is>
      </c>
      <c r="J92" s="8" t="inlineStr">
        <is>
          <t>调整量kg</t>
        </is>
      </c>
      <c r="K92" s="8" t="inlineStr">
        <is>
          <t>校准后第1组kg</t>
        </is>
      </c>
    </row>
    <row r="93">
      <c r="A93" s="11" t="inlineStr"/>
      <c r="B93" s="11" t="n">
        <v>1.2583</v>
      </c>
      <c r="C93" s="11" t="n">
        <v>-0.006125</v>
      </c>
      <c r="D93" s="10">
        <f>IFERROR(ROUND(T91*0.5,2.5),"")</f>
        <v/>
      </c>
      <c r="E93" s="10">
        <f>IFERROR(ROUND(T91*0.7,2.5),"")</f>
        <v/>
      </c>
      <c r="F93" s="10">
        <f>E93</f>
        <v/>
      </c>
      <c r="G93" s="9" t="n"/>
      <c r="H93" s="10">
        <f>IF(F93="","",B93+C93*F93)</f>
        <v/>
      </c>
      <c r="I93" s="10">
        <f>IF(OR(G93="",H93=""),"",G93-H93)</f>
        <v/>
      </c>
      <c r="J93" s="10">
        <f>IF(I93="","",IF(I93&gt;0.08,5,IF(I93&gt;0.04,2.5,IF(I93&gt;=-0.04,0,IF(I93&gt;=-0.08,-2.5,-5)))))</f>
        <v/>
      </c>
      <c r="K93" s="10">
        <f>IFERROR(ROUND(T91+J93,2.5),"")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8" t="inlineStr">
        <is>
          <t>组次</t>
        </is>
      </c>
      <c r="B94" s="8" t="inlineStr">
        <is>
          <t>负荷kg</t>
        </is>
      </c>
      <c r="C94" s="8" t="inlineStr">
        <is>
          <t>rep1</t>
        </is>
      </c>
      <c r="D94" s="8" t="inlineStr">
        <is>
          <t>rep2</t>
        </is>
      </c>
      <c r="E94" s="8" t="inlineStr">
        <is>
          <t>rep3</t>
        </is>
      </c>
      <c r="F94" s="8" t="inlineStr">
        <is>
          <t>rep4</t>
        </is>
      </c>
      <c r="G94" s="8" t="inlineStr">
        <is>
          <t>rep5</t>
        </is>
      </c>
      <c r="H94" s="8" t="inlineStr">
        <is>
          <t>rep6</t>
        </is>
      </c>
      <c r="I94" s="8" t="inlineStr">
        <is>
          <t>首rep</t>
        </is>
      </c>
      <c r="J94" s="8" t="inlineStr">
        <is>
          <t>最低速</t>
        </is>
      </c>
      <c r="K94" s="8" t="inlineStr">
        <is>
          <t>最低rep#</t>
        </is>
      </c>
      <c r="L94" s="8" t="inlineStr">
        <is>
          <t>VL%</t>
        </is>
      </c>
      <c r="M94" s="8" t="inlineStr">
        <is>
          <t>VL达标?</t>
        </is>
      </c>
      <c r="N94" s="8" t="inlineStr">
        <is>
          <t>安全停止?</t>
        </is>
      </c>
      <c r="O94" s="8" t="inlineStr">
        <is>
          <t>停组原因</t>
        </is>
      </c>
      <c r="P94" s="8" t="inlineStr">
        <is>
          <t>下组建议</t>
        </is>
      </c>
      <c r="Q94" s="8" t="inlineStr">
        <is>
          <t>实做次数</t>
        </is>
      </c>
    </row>
    <row r="95">
      <c r="A95" s="12" t="n">
        <v>1</v>
      </c>
      <c r="B95" s="10">
        <f>IF(K93="","",K93)</f>
        <v/>
      </c>
      <c r="C95" s="9" t="n"/>
      <c r="D95" s="9" t="n"/>
      <c r="E95" s="9" t="n"/>
      <c r="F95" s="9" t="n"/>
      <c r="G95" s="9" t="n"/>
      <c r="H95" s="9" t="n"/>
      <c r="I95" s="10">
        <f>IFERROR(INDEX(C95:H95,MATCH(TRUE,INDEX(C95:H95&lt;&gt;"",0),0)),"")</f>
        <v/>
      </c>
      <c r="J95" s="10">
        <f>IFERROR(MIN(IF(C95:H95&lt;&gt;"",C95:H95)),"")</f>
        <v/>
      </c>
      <c r="K95" s="10">
        <f>IFERROR(MATCH(I95,C95:H95,0),"")</f>
        <v/>
      </c>
      <c r="L95" s="10">
        <f>IF(OR(I95="",J95=""),"",ROUND((I95-J95)/I95*100,1))</f>
        <v/>
      </c>
      <c r="M95" s="10">
        <f>IF(L95="","",IF(L95&gt;=25,"是","否"))</f>
        <v/>
      </c>
      <c r="N95" s="10">
        <f>IF(J95="","",IF(J95&lt;0.15,"是","否"))</f>
        <v/>
      </c>
      <c r="O95" s="10">
        <f>IF(I95="","",IF(J95&lt;0.15,"SAFETY_STOP",IF(L95&gt;=25,"VL_THRESHOLD","PLANNED_END")))</f>
        <v/>
      </c>
      <c r="P95" s="10">
        <f>IF(I95="","",IF(I95&gt;($D$2+0.05),"+5kg",IF(I95&gt;($D$2+0.02),"+2.5kg",IF(I95&gt;=($D$2-0.05),"保持",IF(I95&gt;=($D$2-0.08),"-2.5kg","-5kg")))))</f>
        <v/>
      </c>
      <c r="Q95" s="9" t="n"/>
      <c r="R95" s="12" t="n"/>
      <c r="S95" s="12" t="n"/>
      <c r="T95" s="12" t="n"/>
    </row>
    <row r="96">
      <c r="A96" s="12" t="n">
        <v>2</v>
      </c>
      <c r="B96" s="9" t="n"/>
      <c r="C96" s="9" t="n"/>
      <c r="D96" s="9" t="n"/>
      <c r="E96" s="9" t="n"/>
      <c r="F96" s="9" t="n"/>
      <c r="G96" s="9" t="n"/>
      <c r="H96" s="9" t="n"/>
      <c r="I96" s="10">
        <f>IFERROR(INDEX(C96:H96,MATCH(TRUE,INDEX(C96:H96&lt;&gt;"",0),0)),"")</f>
        <v/>
      </c>
      <c r="J96" s="10">
        <f>IFERROR(MIN(IF(C96:H96&lt;&gt;"",C96:H96)),"")</f>
        <v/>
      </c>
      <c r="K96" s="10">
        <f>IFERROR(MATCH(I96,C96:H96,0),"")</f>
        <v/>
      </c>
      <c r="L96" s="10">
        <f>IF(OR(I96="",J96=""),"",ROUND((I96-J96)/I96*100,1))</f>
        <v/>
      </c>
      <c r="M96" s="10">
        <f>IF(L96="","",IF(L96&gt;=25,"是","否"))</f>
        <v/>
      </c>
      <c r="N96" s="10">
        <f>IF(J96="","",IF(J96&lt;0.15,"是","否"))</f>
        <v/>
      </c>
      <c r="O96" s="10">
        <f>IF(I96="","",IF(J96&lt;0.15,"SAFETY_STOP",IF(L96&gt;=25,"VL_THRESHOLD","PLANNED_END")))</f>
        <v/>
      </c>
      <c r="P96" s="10">
        <f>IF(I96="","",IF(I96&gt;($D$2+0.05),"+5kg",IF(I96&gt;($D$2+0.02),"+2.5kg",IF(I96&gt;=($D$2-0.05),"保持",IF(I96&gt;=($D$2-0.08),"-2.5kg","-5kg")))))</f>
        <v/>
      </c>
      <c r="Q96" s="9" t="n"/>
      <c r="R96" s="12" t="n"/>
      <c r="S96" s="12" t="n"/>
      <c r="T96" s="12" t="n"/>
    </row>
    <row r="97">
      <c r="A97" s="12" t="n">
        <v>3</v>
      </c>
      <c r="B97" s="9" t="n"/>
      <c r="C97" s="9" t="n"/>
      <c r="D97" s="9" t="n"/>
      <c r="E97" s="9" t="n"/>
      <c r="F97" s="9" t="n"/>
      <c r="G97" s="9" t="n"/>
      <c r="H97" s="9" t="n"/>
      <c r="I97" s="10">
        <f>IFERROR(INDEX(C97:H97,MATCH(TRUE,INDEX(C97:H97&lt;&gt;"",0),0)),"")</f>
        <v/>
      </c>
      <c r="J97" s="10">
        <f>IFERROR(MIN(IF(C97:H97&lt;&gt;"",C97:H97)),"")</f>
        <v/>
      </c>
      <c r="K97" s="10">
        <f>IFERROR(MATCH(I97,C97:H97,0),"")</f>
        <v/>
      </c>
      <c r="L97" s="10">
        <f>IF(OR(I97="",J97=""),"",ROUND((I97-J97)/I97*100,1))</f>
        <v/>
      </c>
      <c r="M97" s="10">
        <f>IF(L97="","",IF(L97&gt;=25,"是","否"))</f>
        <v/>
      </c>
      <c r="N97" s="10">
        <f>IF(J97="","",IF(J97&lt;0.15,"是","否"))</f>
        <v/>
      </c>
      <c r="O97" s="10">
        <f>IF(I97="","",IF(J97&lt;0.15,"SAFETY_STOP",IF(L97&gt;=25,"VL_THRESHOLD","PLANNED_END")))</f>
        <v/>
      </c>
      <c r="P97" s="10">
        <f>IF(I97="","",IF(I97&gt;($D$2+0.05),"+5kg",IF(I97&gt;($D$2+0.02),"+2.5kg",IF(I97&gt;=($D$2-0.05),"保持",IF(I97&gt;=($D$2-0.08),"-2.5kg","-5kg")))))</f>
        <v/>
      </c>
      <c r="Q97" s="9" t="n"/>
      <c r="R97" s="12" t="n"/>
      <c r="S97" s="12" t="n"/>
      <c r="T97" s="12" t="n"/>
    </row>
    <row r="98">
      <c r="A98" s="12" t="n">
        <v>4</v>
      </c>
      <c r="B98" s="9" t="n"/>
      <c r="C98" s="9" t="n"/>
      <c r="D98" s="9" t="n"/>
      <c r="E98" s="9" t="n"/>
      <c r="F98" s="9" t="n"/>
      <c r="G98" s="9" t="n"/>
      <c r="H98" s="9" t="n"/>
      <c r="I98" s="10">
        <f>IFERROR(INDEX(C98:H98,MATCH(TRUE,INDEX(C98:H98&lt;&gt;"",0),0)),"")</f>
        <v/>
      </c>
      <c r="J98" s="10">
        <f>IFERROR(MIN(IF(C98:H98&lt;&gt;"",C98:H98)),"")</f>
        <v/>
      </c>
      <c r="K98" s="10">
        <f>IFERROR(MATCH(I98,C98:H98,0),"")</f>
        <v/>
      </c>
      <c r="L98" s="10">
        <f>IF(OR(I98="",J98=""),"",ROUND((I98-J98)/I98*100,1))</f>
        <v/>
      </c>
      <c r="M98" s="10">
        <f>IF(L98="","",IF(L98&gt;=25,"是","否"))</f>
        <v/>
      </c>
      <c r="N98" s="10">
        <f>IF(J98="","",IF(J98&lt;0.15,"是","否"))</f>
        <v/>
      </c>
      <c r="O98" s="10">
        <f>IF(I98="","",IF(J98&lt;0.15,"SAFETY_STOP",IF(L98&gt;=25,"VL_THRESHOLD","PLANNED_END")))</f>
        <v/>
      </c>
      <c r="P98" s="10">
        <f>IF(I98="","",IF(I98&gt;($D$2+0.05),"+5kg",IF(I98&gt;($D$2+0.02),"+2.5kg",IF(I98&gt;=($D$2-0.05),"保持",IF(I98&gt;=($D$2-0.08),"-2.5kg","-5kg")))))</f>
        <v/>
      </c>
      <c r="Q98" s="9" t="n"/>
      <c r="R98" s="12" t="n"/>
      <c r="S98" s="12" t="n"/>
      <c r="T98" s="12" t="n"/>
    </row>
    <row r="99">
      <c r="A99" s="12" t="n">
        <v>5</v>
      </c>
      <c r="B99" s="9" t="n"/>
      <c r="C99" s="9" t="n"/>
      <c r="D99" s="9" t="n"/>
      <c r="E99" s="9" t="n"/>
      <c r="F99" s="9" t="n"/>
      <c r="G99" s="9" t="n"/>
      <c r="H99" s="9" t="n"/>
      <c r="I99" s="10">
        <f>IFERROR(INDEX(C99:H99,MATCH(TRUE,INDEX(C99:H99&lt;&gt;"",0),0)),"")</f>
        <v/>
      </c>
      <c r="J99" s="10">
        <f>IFERROR(MIN(IF(C99:H99&lt;&gt;"",C99:H99)),"")</f>
        <v/>
      </c>
      <c r="K99" s="10">
        <f>IFERROR(MATCH(I99,C99:H99,0),"")</f>
        <v/>
      </c>
      <c r="L99" s="10">
        <f>IF(OR(I99="",J99=""),"",ROUND((I99-J99)/I99*100,1))</f>
        <v/>
      </c>
      <c r="M99" s="10">
        <f>IF(L99="","",IF(L99&gt;=25,"是","否"))</f>
        <v/>
      </c>
      <c r="N99" s="10">
        <f>IF(J99="","",IF(J99&lt;0.15,"是","否"))</f>
        <v/>
      </c>
      <c r="O99" s="10">
        <f>IF(I99="","",IF(J99&lt;0.15,"SAFETY_STOP",IF(L99&gt;=25,"VL_THRESHOLD","PLANNED_END")))</f>
        <v/>
      </c>
      <c r="P99" s="10">
        <f>IF(I99="","",IF(I99&gt;($D$2+0.05),"+5kg",IF(I99&gt;($D$2+0.02),"+2.5kg",IF(I99&gt;=($D$2-0.05),"保持",IF(I99&gt;=($D$2-0.08),"-2.5kg","-5kg")))))</f>
        <v/>
      </c>
      <c r="Q99" s="9" t="n"/>
      <c r="R99" s="12" t="n"/>
      <c r="S99" s="12" t="n"/>
      <c r="T99" s="12" t="n"/>
    </row>
    <row r="100">
      <c r="A100" s="12" t="n">
        <v>6</v>
      </c>
      <c r="B100" s="9" t="n"/>
      <c r="C100" s="9" t="n"/>
      <c r="D100" s="9" t="n"/>
      <c r="E100" s="9" t="n"/>
      <c r="F100" s="9" t="n"/>
      <c r="G100" s="9" t="n"/>
      <c r="H100" s="9" t="n"/>
      <c r="I100" s="10">
        <f>IFERROR(INDEX(C100:H100,MATCH(TRUE,INDEX(C100:H100&lt;&gt;"",0),0)),"")</f>
        <v/>
      </c>
      <c r="J100" s="10">
        <f>IFERROR(MIN(IF(C100:H100&lt;&gt;"",C100:H100)),"")</f>
        <v/>
      </c>
      <c r="K100" s="10">
        <f>IFERROR(MATCH(I100,C100:H100,0),"")</f>
        <v/>
      </c>
      <c r="L100" s="10">
        <f>IF(OR(I100="",J100=""),"",ROUND((I100-J100)/I100*100,1))</f>
        <v/>
      </c>
      <c r="M100" s="10">
        <f>IF(L100="","",IF(L100&gt;=25,"是","否"))</f>
        <v/>
      </c>
      <c r="N100" s="10">
        <f>IF(J100="","",IF(J100&lt;0.15,"是","否"))</f>
        <v/>
      </c>
      <c r="O100" s="10">
        <f>IF(I100="","",IF(J100&lt;0.15,"SAFETY_STOP",IF(L100&gt;=25,"VL_THRESHOLD","PLANNED_END")))</f>
        <v/>
      </c>
      <c r="P100" s="10">
        <f>IF(I100="","",IF(I100&gt;($D$2+0.05),"+5kg",IF(I100&gt;($D$2+0.02),"+2.5kg",IF(I100&gt;=($D$2-0.05),"保持",IF(I100&gt;=($D$2-0.08),"-2.5kg","-5kg")))))</f>
        <v/>
      </c>
      <c r="Q100" s="9" t="n"/>
      <c r="R100" s="12" t="n"/>
      <c r="S100" s="12" t="n"/>
      <c r="T100" s="12" t="n"/>
    </row>
    <row r="101">
      <c r="A101" s="8" t="inlineStr">
        <is>
          <t>辅助动作</t>
        </is>
      </c>
      <c r="B101" s="8" t="inlineStr">
        <is>
          <t>动作名称</t>
        </is>
      </c>
      <c r="C101" s="8" t="inlineStr">
        <is>
          <t>负荷kg</t>
        </is>
      </c>
      <c r="D101" s="8" t="inlineStr">
        <is>
          <t>完成(组×次)</t>
        </is>
      </c>
    </row>
    <row r="102">
      <c r="A102" s="9" t="inlineStr"/>
      <c r="B102" s="9" t="n"/>
      <c r="C102" s="9" t="n"/>
      <c r="D102" s="9" t="n"/>
    </row>
    <row r="103">
      <c r="A103" s="8" t="inlineStr">
        <is>
          <t>训练后</t>
        </is>
      </c>
      <c r="B103" s="8" t="inlineStr">
        <is>
          <t>开始时间</t>
        </is>
      </c>
      <c r="C103" s="8" t="inlineStr">
        <is>
          <t>结束时间</t>
        </is>
      </c>
      <c r="D103" s="8" t="inlineStr">
        <is>
          <t>总时长min</t>
        </is>
      </c>
      <c r="E103" s="8" t="inlineStr">
        <is>
          <t>sRPE</t>
        </is>
      </c>
      <c r="F103" s="8" t="inlineStr">
        <is>
          <t>session_load</t>
        </is>
      </c>
      <c r="G103" s="8" t="inlineStr">
        <is>
          <t>有无不适</t>
        </is>
      </c>
      <c r="H103" s="8" t="inlineStr">
        <is>
          <t>备注</t>
        </is>
      </c>
      <c r="I103" s="8" t="inlineStr">
        <is>
          <t>研究员签名</t>
        </is>
      </c>
    </row>
    <row r="104">
      <c r="A104" s="13" t="inlineStr"/>
      <c r="B104" s="13" t="n"/>
      <c r="C104" s="13" t="n"/>
      <c r="D104" s="10">
        <f>IF(OR(B104="",C104=""),"",(C104-B104)*1440)</f>
        <v/>
      </c>
      <c r="E104" s="13" t="n"/>
      <c r="F104" s="10">
        <f>IF(OR(D104="",E104=""),"",D104*E104)</f>
        <v/>
      </c>
      <c r="G104" s="13" t="n"/>
      <c r="H104" s="13" t="n"/>
      <c r="I104" s="13" t="n"/>
    </row>
    <row r="106">
      <c r="A106" s="5" t="inlineStr">
        <is>
          <t>── P016 杜遥 ──────────────────────────────────────────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7" t="n"/>
    </row>
    <row r="107">
      <c r="A107" s="8" t="inlineStr">
        <is>
          <t>编号</t>
        </is>
      </c>
      <c r="B107" s="8" t="inlineStr">
        <is>
          <t>姓名</t>
        </is>
      </c>
      <c r="C107" s="8" t="inlineStr">
        <is>
          <t>身高</t>
        </is>
      </c>
      <c r="D107" s="8" t="inlineStr">
        <is>
          <t>1RM</t>
        </is>
      </c>
      <c r="E107" s="8" t="inlineStr">
        <is>
          <t>睡眠</t>
        </is>
      </c>
      <c r="F107" s="8" t="inlineStr">
        <is>
          <t>压力</t>
        </is>
      </c>
      <c r="G107" s="8" t="inlineStr">
        <is>
          <t>疲劳</t>
        </is>
      </c>
      <c r="H107" s="8" t="inlineStr">
        <is>
          <t>酸痛</t>
        </is>
      </c>
      <c r="I107" s="8" t="inlineStr">
        <is>
          <t>Hooper总</t>
        </is>
      </c>
      <c r="J107" s="8" t="inlineStr">
        <is>
          <t>CMJ1</t>
        </is>
      </c>
      <c r="K107" s="8" t="inlineStr">
        <is>
          <t>CMJ2</t>
        </is>
      </c>
      <c r="L107" s="8" t="inlineStr">
        <is>
          <t>CMJ3</t>
        </is>
      </c>
      <c r="M107" s="8" t="inlineStr">
        <is>
          <t>CMJ均值</t>
        </is>
      </c>
      <c r="N107" s="8" t="inlineStr">
        <is>
          <t>&lt;95%?</t>
        </is>
      </c>
      <c r="O107" s="8" t="inlineStr">
        <is>
          <t>减组?</t>
        </is>
      </c>
      <c r="P107" s="8" t="inlineStr">
        <is>
          <t>实做组数</t>
        </is>
      </c>
      <c r="Q107" s="8" t="inlineStr">
        <is>
          <t>LVP_a</t>
        </is>
      </c>
      <c r="R107" s="8" t="inlineStr">
        <is>
          <t>LVP_b</t>
        </is>
      </c>
      <c r="S107" s="8" t="inlineStr">
        <is>
          <t>等级</t>
        </is>
      </c>
      <c r="T107" s="8" t="inlineStr">
        <is>
          <t>预测起始</t>
        </is>
      </c>
    </row>
    <row r="108">
      <c r="A108" s="9" t="inlineStr">
        <is>
          <t>P016</t>
        </is>
      </c>
      <c r="B108" s="9" t="inlineStr">
        <is>
          <t>杜遥</t>
        </is>
      </c>
      <c r="C108" s="9" t="n">
        <v>180</v>
      </c>
      <c r="D108" s="9" t="n">
        <v>135</v>
      </c>
      <c r="E108" s="9" t="n"/>
      <c r="F108" s="9" t="n"/>
      <c r="G108" s="9" t="n"/>
      <c r="H108" s="9" t="n"/>
      <c r="I108" s="10">
        <f>IFERROR(SUM(E108:H108),"")</f>
        <v/>
      </c>
      <c r="J108" s="9" t="n"/>
      <c r="K108" s="9" t="n"/>
      <c r="L108" s="9" t="n"/>
      <c r="M108" s="10">
        <f>IFERROR(AVERAGE(J108:L108),"")</f>
        <v/>
      </c>
      <c r="N108" s="10">
        <f>IF(M108="","",IF(M108&lt;49.75,"是⚠","否"))</f>
        <v/>
      </c>
      <c r="O108" s="10">
        <f>IF(M108="","",IF(M108&lt;49.75,"减1组","正常"))</f>
        <v/>
      </c>
      <c r="P108" s="10">
        <f>IF(M108="","",IF(M108&lt;49.75,5-1,5))</f>
        <v/>
      </c>
      <c r="Q108" s="9" t="n">
        <v>1.54</v>
      </c>
      <c r="R108" s="9" t="n">
        <v>-0.008500000000000001</v>
      </c>
      <c r="S108" s="9" t="inlineStr">
        <is>
          <t>B</t>
        </is>
      </c>
      <c r="T108" s="10">
        <f>IFERROR(ROUND((0.475-1.54)/-0.0085,0.5),"")</f>
        <v/>
      </c>
    </row>
    <row r="109">
      <c r="A109" s="8" t="inlineStr">
        <is>
          <t>热身校准</t>
        </is>
      </c>
      <c r="B109" s="8" t="inlineStr">
        <is>
          <t>LVP_a</t>
        </is>
      </c>
      <c r="C109" s="8" t="inlineStr">
        <is>
          <t>LVP_b</t>
        </is>
      </c>
      <c r="D109" s="8" t="inlineStr">
        <is>
          <t>50%热身kg</t>
        </is>
      </c>
      <c r="E109" s="8" t="inlineStr">
        <is>
          <t>70%热身kg</t>
        </is>
      </c>
      <c r="F109" s="8" t="inlineStr">
        <is>
          <t>热身负荷kg</t>
        </is>
      </c>
      <c r="G109" s="8" t="inlineStr">
        <is>
          <t>实测MCV</t>
        </is>
      </c>
      <c r="H109" s="8" t="inlineStr">
        <is>
          <t>预测MCV</t>
        </is>
      </c>
      <c r="I109" s="8" t="inlineStr">
        <is>
          <t>Δv</t>
        </is>
      </c>
      <c r="J109" s="8" t="inlineStr">
        <is>
          <t>调整量kg</t>
        </is>
      </c>
      <c r="K109" s="8" t="inlineStr">
        <is>
          <t>校准后第1组kg</t>
        </is>
      </c>
    </row>
    <row r="110">
      <c r="A110" s="11" t="inlineStr"/>
      <c r="B110" s="11" t="n">
        <v>1.54</v>
      </c>
      <c r="C110" s="11" t="n">
        <v>-0.008500000000000001</v>
      </c>
      <c r="D110" s="10">
        <f>IFERROR(ROUND(T108*0.5,2.5),"")</f>
        <v/>
      </c>
      <c r="E110" s="10">
        <f>IFERROR(ROUND(T108*0.7,2.5),"")</f>
        <v/>
      </c>
      <c r="F110" s="10">
        <f>E110</f>
        <v/>
      </c>
      <c r="G110" s="9" t="n"/>
      <c r="H110" s="10">
        <f>IF(F110="","",B110+C110*F110)</f>
        <v/>
      </c>
      <c r="I110" s="10">
        <f>IF(OR(G110="",H110=""),"",G110-H110)</f>
        <v/>
      </c>
      <c r="J110" s="10">
        <f>IF(I110="","",IF(I110&gt;0.08,5,IF(I110&gt;0.04,2.5,IF(I110&gt;=-0.04,0,IF(I110&gt;=-0.08,-2.5,-5)))))</f>
        <v/>
      </c>
      <c r="K110" s="10">
        <f>IFERROR(ROUND(T108+J110,2.5),"")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8" t="inlineStr">
        <is>
          <t>组次</t>
        </is>
      </c>
      <c r="B111" s="8" t="inlineStr">
        <is>
          <t>负荷kg</t>
        </is>
      </c>
      <c r="C111" s="8" t="inlineStr">
        <is>
          <t>rep1</t>
        </is>
      </c>
      <c r="D111" s="8" t="inlineStr">
        <is>
          <t>rep2</t>
        </is>
      </c>
      <c r="E111" s="8" t="inlineStr">
        <is>
          <t>rep3</t>
        </is>
      </c>
      <c r="F111" s="8" t="inlineStr">
        <is>
          <t>rep4</t>
        </is>
      </c>
      <c r="G111" s="8" t="inlineStr">
        <is>
          <t>rep5</t>
        </is>
      </c>
      <c r="H111" s="8" t="inlineStr">
        <is>
          <t>rep6</t>
        </is>
      </c>
      <c r="I111" s="8" t="inlineStr">
        <is>
          <t>首rep</t>
        </is>
      </c>
      <c r="J111" s="8" t="inlineStr">
        <is>
          <t>最低速</t>
        </is>
      </c>
      <c r="K111" s="8" t="inlineStr">
        <is>
          <t>最低rep#</t>
        </is>
      </c>
      <c r="L111" s="8" t="inlineStr">
        <is>
          <t>VL%</t>
        </is>
      </c>
      <c r="M111" s="8" t="inlineStr">
        <is>
          <t>VL达标?</t>
        </is>
      </c>
      <c r="N111" s="8" t="inlineStr">
        <is>
          <t>安全停止?</t>
        </is>
      </c>
      <c r="O111" s="8" t="inlineStr">
        <is>
          <t>停组原因</t>
        </is>
      </c>
      <c r="P111" s="8" t="inlineStr">
        <is>
          <t>下组建议</t>
        </is>
      </c>
      <c r="Q111" s="8" t="inlineStr">
        <is>
          <t>实做次数</t>
        </is>
      </c>
    </row>
    <row r="112">
      <c r="A112" s="12" t="n">
        <v>1</v>
      </c>
      <c r="B112" s="10">
        <f>IF(K110="","",K110)</f>
        <v/>
      </c>
      <c r="C112" s="9" t="n"/>
      <c r="D112" s="9" t="n"/>
      <c r="E112" s="9" t="n"/>
      <c r="F112" s="9" t="n"/>
      <c r="G112" s="9" t="n"/>
      <c r="H112" s="9" t="n"/>
      <c r="I112" s="10">
        <f>IFERROR(INDEX(C112:H112,MATCH(TRUE,INDEX(C112:H112&lt;&gt;"",0),0)),"")</f>
        <v/>
      </c>
      <c r="J112" s="10">
        <f>IFERROR(MIN(IF(C112:H112&lt;&gt;"",C112:H112)),"")</f>
        <v/>
      </c>
      <c r="K112" s="10">
        <f>IFERROR(MATCH(I112,C112:H112,0),"")</f>
        <v/>
      </c>
      <c r="L112" s="10">
        <f>IF(OR(I112="",J112=""),"",ROUND((I112-J112)/I112*100,1))</f>
        <v/>
      </c>
      <c r="M112" s="10">
        <f>IF(L112="","",IF(L112&gt;=25,"是","否"))</f>
        <v/>
      </c>
      <c r="N112" s="10">
        <f>IF(J112="","",IF(J112&lt;0.15,"是","否"))</f>
        <v/>
      </c>
      <c r="O112" s="10">
        <f>IF(I112="","",IF(J112&lt;0.15,"SAFETY_STOP",IF(L112&gt;=25,"VL_THRESHOLD","PLANNED_END")))</f>
        <v/>
      </c>
      <c r="P112" s="10">
        <f>IF(I112="","",IF(I112&gt;($D$2+0.05),"+5kg",IF(I112&gt;($D$2+0.02),"+2.5kg",IF(I112&gt;=($D$2-0.05),"保持",IF(I112&gt;=($D$2-0.08),"-2.5kg","-5kg")))))</f>
        <v/>
      </c>
      <c r="Q112" s="9" t="n"/>
      <c r="R112" s="12" t="n"/>
      <c r="S112" s="12" t="n"/>
      <c r="T112" s="12" t="n"/>
    </row>
    <row r="113">
      <c r="A113" s="12" t="n">
        <v>2</v>
      </c>
      <c r="B113" s="9" t="n"/>
      <c r="C113" s="9" t="n"/>
      <c r="D113" s="9" t="n"/>
      <c r="E113" s="9" t="n"/>
      <c r="F113" s="9" t="n"/>
      <c r="G113" s="9" t="n"/>
      <c r="H113" s="9" t="n"/>
      <c r="I113" s="10">
        <f>IFERROR(INDEX(C113:H113,MATCH(TRUE,INDEX(C113:H113&lt;&gt;"",0),0)),"")</f>
        <v/>
      </c>
      <c r="J113" s="10">
        <f>IFERROR(MIN(IF(C113:H113&lt;&gt;"",C113:H113)),"")</f>
        <v/>
      </c>
      <c r="K113" s="10">
        <f>IFERROR(MATCH(I113,C113:H113,0),"")</f>
        <v/>
      </c>
      <c r="L113" s="10">
        <f>IF(OR(I113="",J113=""),"",ROUND((I113-J113)/I113*100,1))</f>
        <v/>
      </c>
      <c r="M113" s="10">
        <f>IF(L113="","",IF(L113&gt;=25,"是","否"))</f>
        <v/>
      </c>
      <c r="N113" s="10">
        <f>IF(J113="","",IF(J113&lt;0.15,"是","否"))</f>
        <v/>
      </c>
      <c r="O113" s="10">
        <f>IF(I113="","",IF(J113&lt;0.15,"SAFETY_STOP",IF(L113&gt;=25,"VL_THRESHOLD","PLANNED_END")))</f>
        <v/>
      </c>
      <c r="P113" s="10">
        <f>IF(I113="","",IF(I113&gt;($D$2+0.05),"+5kg",IF(I113&gt;($D$2+0.02),"+2.5kg",IF(I113&gt;=($D$2-0.05),"保持",IF(I113&gt;=($D$2-0.08),"-2.5kg","-5kg")))))</f>
        <v/>
      </c>
      <c r="Q113" s="9" t="n"/>
      <c r="R113" s="12" t="n"/>
      <c r="S113" s="12" t="n"/>
      <c r="T113" s="12" t="n"/>
    </row>
    <row r="114">
      <c r="A114" s="12" t="n">
        <v>3</v>
      </c>
      <c r="B114" s="9" t="n"/>
      <c r="C114" s="9" t="n"/>
      <c r="D114" s="9" t="n"/>
      <c r="E114" s="9" t="n"/>
      <c r="F114" s="9" t="n"/>
      <c r="G114" s="9" t="n"/>
      <c r="H114" s="9" t="n"/>
      <c r="I114" s="10">
        <f>IFERROR(INDEX(C114:H114,MATCH(TRUE,INDEX(C114:H114&lt;&gt;"",0),0)),"")</f>
        <v/>
      </c>
      <c r="J114" s="10">
        <f>IFERROR(MIN(IF(C114:H114&lt;&gt;"",C114:H114)),"")</f>
        <v/>
      </c>
      <c r="K114" s="10">
        <f>IFERROR(MATCH(I114,C114:H114,0),"")</f>
        <v/>
      </c>
      <c r="L114" s="10">
        <f>IF(OR(I114="",J114=""),"",ROUND((I114-J114)/I114*100,1))</f>
        <v/>
      </c>
      <c r="M114" s="10">
        <f>IF(L114="","",IF(L114&gt;=25,"是","否"))</f>
        <v/>
      </c>
      <c r="N114" s="10">
        <f>IF(J114="","",IF(J114&lt;0.15,"是","否"))</f>
        <v/>
      </c>
      <c r="O114" s="10">
        <f>IF(I114="","",IF(J114&lt;0.15,"SAFETY_STOP",IF(L114&gt;=25,"VL_THRESHOLD","PLANNED_END")))</f>
        <v/>
      </c>
      <c r="P114" s="10">
        <f>IF(I114="","",IF(I114&gt;($D$2+0.05),"+5kg",IF(I114&gt;($D$2+0.02),"+2.5kg",IF(I114&gt;=($D$2-0.05),"保持",IF(I114&gt;=($D$2-0.08),"-2.5kg","-5kg")))))</f>
        <v/>
      </c>
      <c r="Q114" s="9" t="n"/>
      <c r="R114" s="12" t="n"/>
      <c r="S114" s="12" t="n"/>
      <c r="T114" s="12" t="n"/>
    </row>
    <row r="115">
      <c r="A115" s="12" t="n">
        <v>4</v>
      </c>
      <c r="B115" s="9" t="n"/>
      <c r="C115" s="9" t="n"/>
      <c r="D115" s="9" t="n"/>
      <c r="E115" s="9" t="n"/>
      <c r="F115" s="9" t="n"/>
      <c r="G115" s="9" t="n"/>
      <c r="H115" s="9" t="n"/>
      <c r="I115" s="10">
        <f>IFERROR(INDEX(C115:H115,MATCH(TRUE,INDEX(C115:H115&lt;&gt;"",0),0)),"")</f>
        <v/>
      </c>
      <c r="J115" s="10">
        <f>IFERROR(MIN(IF(C115:H115&lt;&gt;"",C115:H115)),"")</f>
        <v/>
      </c>
      <c r="K115" s="10">
        <f>IFERROR(MATCH(I115,C115:H115,0),"")</f>
        <v/>
      </c>
      <c r="L115" s="10">
        <f>IF(OR(I115="",J115=""),"",ROUND((I115-J115)/I115*100,1))</f>
        <v/>
      </c>
      <c r="M115" s="10">
        <f>IF(L115="","",IF(L115&gt;=25,"是","否"))</f>
        <v/>
      </c>
      <c r="N115" s="10">
        <f>IF(J115="","",IF(J115&lt;0.15,"是","否"))</f>
        <v/>
      </c>
      <c r="O115" s="10">
        <f>IF(I115="","",IF(J115&lt;0.15,"SAFETY_STOP",IF(L115&gt;=25,"VL_THRESHOLD","PLANNED_END")))</f>
        <v/>
      </c>
      <c r="P115" s="10">
        <f>IF(I115="","",IF(I115&gt;($D$2+0.05),"+5kg",IF(I115&gt;($D$2+0.02),"+2.5kg",IF(I115&gt;=($D$2-0.05),"保持",IF(I115&gt;=($D$2-0.08),"-2.5kg","-5kg")))))</f>
        <v/>
      </c>
      <c r="Q115" s="9" t="n"/>
      <c r="R115" s="12" t="n"/>
      <c r="S115" s="12" t="n"/>
      <c r="T115" s="12" t="n"/>
    </row>
    <row r="116">
      <c r="A116" s="12" t="n">
        <v>5</v>
      </c>
      <c r="B116" s="9" t="n"/>
      <c r="C116" s="9" t="n"/>
      <c r="D116" s="9" t="n"/>
      <c r="E116" s="9" t="n"/>
      <c r="F116" s="9" t="n"/>
      <c r="G116" s="9" t="n"/>
      <c r="H116" s="9" t="n"/>
      <c r="I116" s="10">
        <f>IFERROR(INDEX(C116:H116,MATCH(TRUE,INDEX(C116:H116&lt;&gt;"",0),0)),"")</f>
        <v/>
      </c>
      <c r="J116" s="10">
        <f>IFERROR(MIN(IF(C116:H116&lt;&gt;"",C116:H116)),"")</f>
        <v/>
      </c>
      <c r="K116" s="10">
        <f>IFERROR(MATCH(I116,C116:H116,0),"")</f>
        <v/>
      </c>
      <c r="L116" s="10">
        <f>IF(OR(I116="",J116=""),"",ROUND((I116-J116)/I116*100,1))</f>
        <v/>
      </c>
      <c r="M116" s="10">
        <f>IF(L116="","",IF(L116&gt;=25,"是","否"))</f>
        <v/>
      </c>
      <c r="N116" s="10">
        <f>IF(J116="","",IF(J116&lt;0.15,"是","否"))</f>
        <v/>
      </c>
      <c r="O116" s="10">
        <f>IF(I116="","",IF(J116&lt;0.15,"SAFETY_STOP",IF(L116&gt;=25,"VL_THRESHOLD","PLANNED_END")))</f>
        <v/>
      </c>
      <c r="P116" s="10">
        <f>IF(I116="","",IF(I116&gt;($D$2+0.05),"+5kg",IF(I116&gt;($D$2+0.02),"+2.5kg",IF(I116&gt;=($D$2-0.05),"保持",IF(I116&gt;=($D$2-0.08),"-2.5kg","-5kg")))))</f>
        <v/>
      </c>
      <c r="Q116" s="9" t="n"/>
      <c r="R116" s="12" t="n"/>
      <c r="S116" s="12" t="n"/>
      <c r="T116" s="12" t="n"/>
    </row>
    <row r="117">
      <c r="A117" s="12" t="n">
        <v>6</v>
      </c>
      <c r="B117" s="9" t="n"/>
      <c r="C117" s="9" t="n"/>
      <c r="D117" s="9" t="n"/>
      <c r="E117" s="9" t="n"/>
      <c r="F117" s="9" t="n"/>
      <c r="G117" s="9" t="n"/>
      <c r="H117" s="9" t="n"/>
      <c r="I117" s="10">
        <f>IFERROR(INDEX(C117:H117,MATCH(TRUE,INDEX(C117:H117&lt;&gt;"",0),0)),"")</f>
        <v/>
      </c>
      <c r="J117" s="10">
        <f>IFERROR(MIN(IF(C117:H117&lt;&gt;"",C117:H117)),"")</f>
        <v/>
      </c>
      <c r="K117" s="10">
        <f>IFERROR(MATCH(I117,C117:H117,0),"")</f>
        <v/>
      </c>
      <c r="L117" s="10">
        <f>IF(OR(I117="",J117=""),"",ROUND((I117-J117)/I117*100,1))</f>
        <v/>
      </c>
      <c r="M117" s="10">
        <f>IF(L117="","",IF(L117&gt;=25,"是","否"))</f>
        <v/>
      </c>
      <c r="N117" s="10">
        <f>IF(J117="","",IF(J117&lt;0.15,"是","否"))</f>
        <v/>
      </c>
      <c r="O117" s="10">
        <f>IF(I117="","",IF(J117&lt;0.15,"SAFETY_STOP",IF(L117&gt;=25,"VL_THRESHOLD","PLANNED_END")))</f>
        <v/>
      </c>
      <c r="P117" s="10">
        <f>IF(I117="","",IF(I117&gt;($D$2+0.05),"+5kg",IF(I117&gt;($D$2+0.02),"+2.5kg",IF(I117&gt;=($D$2-0.05),"保持",IF(I117&gt;=($D$2-0.08),"-2.5kg","-5kg")))))</f>
        <v/>
      </c>
      <c r="Q117" s="9" t="n"/>
      <c r="R117" s="12" t="n"/>
      <c r="S117" s="12" t="n"/>
      <c r="T117" s="12" t="n"/>
    </row>
    <row r="118">
      <c r="A118" s="8" t="inlineStr">
        <is>
          <t>辅助动作</t>
        </is>
      </c>
      <c r="B118" s="8" t="inlineStr">
        <is>
          <t>动作名称</t>
        </is>
      </c>
      <c r="C118" s="8" t="inlineStr">
        <is>
          <t>负荷kg</t>
        </is>
      </c>
      <c r="D118" s="8" t="inlineStr">
        <is>
          <t>完成(组×次)</t>
        </is>
      </c>
    </row>
    <row r="119">
      <c r="A119" s="9" t="inlineStr"/>
      <c r="B119" s="9" t="n"/>
      <c r="C119" s="9" t="n"/>
      <c r="D119" s="9" t="n"/>
    </row>
    <row r="120">
      <c r="A120" s="8" t="inlineStr">
        <is>
          <t>训练后</t>
        </is>
      </c>
      <c r="B120" s="8" t="inlineStr">
        <is>
          <t>开始时间</t>
        </is>
      </c>
      <c r="C120" s="8" t="inlineStr">
        <is>
          <t>结束时间</t>
        </is>
      </c>
      <c r="D120" s="8" t="inlineStr">
        <is>
          <t>总时长min</t>
        </is>
      </c>
      <c r="E120" s="8" t="inlineStr">
        <is>
          <t>sRPE</t>
        </is>
      </c>
      <c r="F120" s="8" t="inlineStr">
        <is>
          <t>session_load</t>
        </is>
      </c>
      <c r="G120" s="8" t="inlineStr">
        <is>
          <t>有无不适</t>
        </is>
      </c>
      <c r="H120" s="8" t="inlineStr">
        <is>
          <t>备注</t>
        </is>
      </c>
      <c r="I120" s="8" t="inlineStr">
        <is>
          <t>研究员签名</t>
        </is>
      </c>
    </row>
    <row r="121">
      <c r="A121" s="13" t="inlineStr"/>
      <c r="B121" s="13" t="n"/>
      <c r="C121" s="13" t="n"/>
      <c r="D121" s="10">
        <f>IF(OR(B121="",C121=""),"",(C121-B121)*1440)</f>
        <v/>
      </c>
      <c r="E121" s="13" t="n"/>
      <c r="F121" s="10">
        <f>IF(OR(D121="",E121=""),"",D121*E121)</f>
        <v/>
      </c>
      <c r="G121" s="13" t="n"/>
      <c r="H121" s="13" t="n"/>
      <c r="I121" s="13" t="n"/>
    </row>
    <row r="123">
      <c r="A123" s="5" t="inlineStr">
        <is>
          <t>── P025 范芳忠 ──────────────────────────────────────────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7" t="n"/>
    </row>
    <row r="124">
      <c r="A124" s="8" t="inlineStr">
        <is>
          <t>编号</t>
        </is>
      </c>
      <c r="B124" s="8" t="inlineStr">
        <is>
          <t>姓名</t>
        </is>
      </c>
      <c r="C124" s="8" t="inlineStr">
        <is>
          <t>身高</t>
        </is>
      </c>
      <c r="D124" s="8" t="inlineStr">
        <is>
          <t>1RM</t>
        </is>
      </c>
      <c r="E124" s="8" t="inlineStr">
        <is>
          <t>睡眠</t>
        </is>
      </c>
      <c r="F124" s="8" t="inlineStr">
        <is>
          <t>压力</t>
        </is>
      </c>
      <c r="G124" s="8" t="inlineStr">
        <is>
          <t>疲劳</t>
        </is>
      </c>
      <c r="H124" s="8" t="inlineStr">
        <is>
          <t>酸痛</t>
        </is>
      </c>
      <c r="I124" s="8" t="inlineStr">
        <is>
          <t>Hooper总</t>
        </is>
      </c>
      <c r="J124" s="8" t="inlineStr">
        <is>
          <t>CMJ1</t>
        </is>
      </c>
      <c r="K124" s="8" t="inlineStr">
        <is>
          <t>CMJ2</t>
        </is>
      </c>
      <c r="L124" s="8" t="inlineStr">
        <is>
          <t>CMJ3</t>
        </is>
      </c>
      <c r="M124" s="8" t="inlineStr">
        <is>
          <t>CMJ均值</t>
        </is>
      </c>
      <c r="N124" s="8" t="inlineStr">
        <is>
          <t>&lt;95%?</t>
        </is>
      </c>
      <c r="O124" s="8" t="inlineStr">
        <is>
          <t>减组?</t>
        </is>
      </c>
      <c r="P124" s="8" t="inlineStr">
        <is>
          <t>实做组数</t>
        </is>
      </c>
      <c r="Q124" s="8" t="inlineStr">
        <is>
          <t>LVP_a</t>
        </is>
      </c>
      <c r="R124" s="8" t="inlineStr">
        <is>
          <t>LVP_b</t>
        </is>
      </c>
      <c r="S124" s="8" t="inlineStr">
        <is>
          <t>等级</t>
        </is>
      </c>
      <c r="T124" s="8" t="inlineStr">
        <is>
          <t>预测起始</t>
        </is>
      </c>
    </row>
    <row r="125">
      <c r="A125" s="9" t="inlineStr">
        <is>
          <t>P025</t>
        </is>
      </c>
      <c r="B125" s="9" t="inlineStr">
        <is>
          <t>范芳忠</t>
        </is>
      </c>
      <c r="C125" s="9" t="n">
        <v>178</v>
      </c>
      <c r="D125" s="9" t="n">
        <v>135</v>
      </c>
      <c r="E125" s="9" t="n"/>
      <c r="F125" s="9" t="n"/>
      <c r="G125" s="9" t="n"/>
      <c r="H125" s="9" t="n"/>
      <c r="I125" s="10">
        <f>IFERROR(SUM(E125:H125),"")</f>
        <v/>
      </c>
      <c r="J125" s="9" t="n"/>
      <c r="K125" s="9" t="n"/>
      <c r="L125" s="9" t="n"/>
      <c r="M125" s="10">
        <f>IFERROR(AVERAGE(J125:L125),"")</f>
        <v/>
      </c>
      <c r="N125" s="10">
        <f>IF(M125="","",IF(M125&lt;58.43,"是⚠","否"))</f>
        <v/>
      </c>
      <c r="O125" s="10">
        <f>IF(M125="","",IF(M125&lt;58.43,"减1组","正常"))</f>
        <v/>
      </c>
      <c r="P125" s="10">
        <f>IF(M125="","",IF(M125&lt;58.43,5-1,5))</f>
        <v/>
      </c>
      <c r="Q125" s="9" t="n">
        <v>1.77</v>
      </c>
      <c r="R125" s="9" t="n">
        <v>-0.0105</v>
      </c>
      <c r="S125" s="9" t="inlineStr">
        <is>
          <t>A</t>
        </is>
      </c>
      <c r="T125" s="10">
        <f>IFERROR(ROUND((0.475-1.77)/-0.0105,0.5),"")</f>
        <v/>
      </c>
    </row>
    <row r="126">
      <c r="A126" s="8" t="inlineStr">
        <is>
          <t>热身校准</t>
        </is>
      </c>
      <c r="B126" s="8" t="inlineStr">
        <is>
          <t>LVP_a</t>
        </is>
      </c>
      <c r="C126" s="8" t="inlineStr">
        <is>
          <t>LVP_b</t>
        </is>
      </c>
      <c r="D126" s="8" t="inlineStr">
        <is>
          <t>50%热身kg</t>
        </is>
      </c>
      <c r="E126" s="8" t="inlineStr">
        <is>
          <t>70%热身kg</t>
        </is>
      </c>
      <c r="F126" s="8" t="inlineStr">
        <is>
          <t>热身负荷kg</t>
        </is>
      </c>
      <c r="G126" s="8" t="inlineStr">
        <is>
          <t>实测MCV</t>
        </is>
      </c>
      <c r="H126" s="8" t="inlineStr">
        <is>
          <t>预测MCV</t>
        </is>
      </c>
      <c r="I126" s="8" t="inlineStr">
        <is>
          <t>Δv</t>
        </is>
      </c>
      <c r="J126" s="8" t="inlineStr">
        <is>
          <t>调整量kg</t>
        </is>
      </c>
      <c r="K126" s="8" t="inlineStr">
        <is>
          <t>校准后第1组kg</t>
        </is>
      </c>
    </row>
    <row r="127">
      <c r="A127" s="11" t="inlineStr"/>
      <c r="B127" s="11" t="n">
        <v>1.77</v>
      </c>
      <c r="C127" s="11" t="n">
        <v>-0.0105</v>
      </c>
      <c r="D127" s="10">
        <f>IFERROR(ROUND(T125*0.5,2.5),"")</f>
        <v/>
      </c>
      <c r="E127" s="10">
        <f>IFERROR(ROUND(T125*0.7,2.5),"")</f>
        <v/>
      </c>
      <c r="F127" s="10">
        <f>E127</f>
        <v/>
      </c>
      <c r="G127" s="9" t="n"/>
      <c r="H127" s="10">
        <f>IF(F127="","",B127+C127*F127)</f>
        <v/>
      </c>
      <c r="I127" s="10">
        <f>IF(OR(G127="",H127=""),"",G127-H127)</f>
        <v/>
      </c>
      <c r="J127" s="10">
        <f>IF(I127="","",IF(I127&gt;0.08,5,IF(I127&gt;0.04,2.5,IF(I127&gt;=-0.04,0,IF(I127&gt;=-0.08,-2.5,-5)))))</f>
        <v/>
      </c>
      <c r="K127" s="10">
        <f>IFERROR(ROUND(T125+J127,2.5),"")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8" t="inlineStr">
        <is>
          <t>组次</t>
        </is>
      </c>
      <c r="B128" s="8" t="inlineStr">
        <is>
          <t>负荷kg</t>
        </is>
      </c>
      <c r="C128" s="8" t="inlineStr">
        <is>
          <t>rep1</t>
        </is>
      </c>
      <c r="D128" s="8" t="inlineStr">
        <is>
          <t>rep2</t>
        </is>
      </c>
      <c r="E128" s="8" t="inlineStr">
        <is>
          <t>rep3</t>
        </is>
      </c>
      <c r="F128" s="8" t="inlineStr">
        <is>
          <t>rep4</t>
        </is>
      </c>
      <c r="G128" s="8" t="inlineStr">
        <is>
          <t>rep5</t>
        </is>
      </c>
      <c r="H128" s="8" t="inlineStr">
        <is>
          <t>rep6</t>
        </is>
      </c>
      <c r="I128" s="8" t="inlineStr">
        <is>
          <t>首rep</t>
        </is>
      </c>
      <c r="J128" s="8" t="inlineStr">
        <is>
          <t>最低速</t>
        </is>
      </c>
      <c r="K128" s="8" t="inlineStr">
        <is>
          <t>最低rep#</t>
        </is>
      </c>
      <c r="L128" s="8" t="inlineStr">
        <is>
          <t>VL%</t>
        </is>
      </c>
      <c r="M128" s="8" t="inlineStr">
        <is>
          <t>VL达标?</t>
        </is>
      </c>
      <c r="N128" s="8" t="inlineStr">
        <is>
          <t>安全停止?</t>
        </is>
      </c>
      <c r="O128" s="8" t="inlineStr">
        <is>
          <t>停组原因</t>
        </is>
      </c>
      <c r="P128" s="8" t="inlineStr">
        <is>
          <t>下组建议</t>
        </is>
      </c>
      <c r="Q128" s="8" t="inlineStr">
        <is>
          <t>实做次数</t>
        </is>
      </c>
    </row>
    <row r="129">
      <c r="A129" s="12" t="n">
        <v>1</v>
      </c>
      <c r="B129" s="10">
        <f>IF(K127="","",K127)</f>
        <v/>
      </c>
      <c r="C129" s="9" t="n"/>
      <c r="D129" s="9" t="n"/>
      <c r="E129" s="9" t="n"/>
      <c r="F129" s="9" t="n"/>
      <c r="G129" s="9" t="n"/>
      <c r="H129" s="9" t="n"/>
      <c r="I129" s="10">
        <f>IFERROR(INDEX(C129:H129,MATCH(TRUE,INDEX(C129:H129&lt;&gt;"",0),0)),"")</f>
        <v/>
      </c>
      <c r="J129" s="10">
        <f>IFERROR(MIN(IF(C129:H129&lt;&gt;"",C129:H129)),"")</f>
        <v/>
      </c>
      <c r="K129" s="10">
        <f>IFERROR(MATCH(I129,C129:H129,0),"")</f>
        <v/>
      </c>
      <c r="L129" s="10">
        <f>IF(OR(I129="",J129=""),"",ROUND((I129-J129)/I129*100,1))</f>
        <v/>
      </c>
      <c r="M129" s="10">
        <f>IF(L129="","",IF(L129&gt;=25,"是","否"))</f>
        <v/>
      </c>
      <c r="N129" s="10">
        <f>IF(J129="","",IF(J129&lt;0.15,"是","否"))</f>
        <v/>
      </c>
      <c r="O129" s="10">
        <f>IF(I129="","",IF(J129&lt;0.15,"SAFETY_STOP",IF(L129&gt;=25,"VL_THRESHOLD","PLANNED_END")))</f>
        <v/>
      </c>
      <c r="P129" s="10">
        <f>IF(I129="","",IF(I129&gt;($D$2+0.05),"+5kg",IF(I129&gt;($D$2+0.02),"+2.5kg",IF(I129&gt;=($D$2-0.05),"保持",IF(I129&gt;=($D$2-0.08),"-2.5kg","-5kg")))))</f>
        <v/>
      </c>
      <c r="Q129" s="9" t="n"/>
      <c r="R129" s="12" t="n"/>
      <c r="S129" s="12" t="n"/>
      <c r="T129" s="12" t="n"/>
    </row>
    <row r="130">
      <c r="A130" s="12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10">
        <f>IFERROR(INDEX(C130:H130,MATCH(TRUE,INDEX(C130:H130&lt;&gt;"",0),0)),"")</f>
        <v/>
      </c>
      <c r="J130" s="10">
        <f>IFERROR(MIN(IF(C130:H130&lt;&gt;"",C130:H130)),"")</f>
        <v/>
      </c>
      <c r="K130" s="10">
        <f>IFERROR(MATCH(I130,C130:H130,0),"")</f>
        <v/>
      </c>
      <c r="L130" s="10">
        <f>IF(OR(I130="",J130=""),"",ROUND((I130-J130)/I130*100,1))</f>
        <v/>
      </c>
      <c r="M130" s="10">
        <f>IF(L130="","",IF(L130&gt;=25,"是","否"))</f>
        <v/>
      </c>
      <c r="N130" s="10">
        <f>IF(J130="","",IF(J130&lt;0.15,"是","否"))</f>
        <v/>
      </c>
      <c r="O130" s="10">
        <f>IF(I130="","",IF(J130&lt;0.15,"SAFETY_STOP",IF(L130&gt;=25,"VL_THRESHOLD","PLANNED_END")))</f>
        <v/>
      </c>
      <c r="P130" s="10">
        <f>IF(I130="","",IF(I130&gt;($D$2+0.05),"+5kg",IF(I130&gt;($D$2+0.02),"+2.5kg",IF(I130&gt;=($D$2-0.05),"保持",IF(I130&gt;=($D$2-0.08),"-2.5kg","-5kg")))))</f>
        <v/>
      </c>
      <c r="Q130" s="9" t="n"/>
      <c r="R130" s="12" t="n"/>
      <c r="S130" s="12" t="n"/>
      <c r="T130" s="12" t="n"/>
    </row>
    <row r="131">
      <c r="A131" s="12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10">
        <f>IFERROR(INDEX(C131:H131,MATCH(TRUE,INDEX(C131:H131&lt;&gt;"",0),0)),"")</f>
        <v/>
      </c>
      <c r="J131" s="10">
        <f>IFERROR(MIN(IF(C131:H131&lt;&gt;"",C131:H131)),"")</f>
        <v/>
      </c>
      <c r="K131" s="10">
        <f>IFERROR(MATCH(I131,C131:H131,0),"")</f>
        <v/>
      </c>
      <c r="L131" s="10">
        <f>IF(OR(I131="",J131=""),"",ROUND((I131-J131)/I131*100,1))</f>
        <v/>
      </c>
      <c r="M131" s="10">
        <f>IF(L131="","",IF(L131&gt;=25,"是","否"))</f>
        <v/>
      </c>
      <c r="N131" s="10">
        <f>IF(J131="","",IF(J131&lt;0.15,"是","否"))</f>
        <v/>
      </c>
      <c r="O131" s="10">
        <f>IF(I131="","",IF(J131&lt;0.15,"SAFETY_STOP",IF(L131&gt;=25,"VL_THRESHOLD","PLANNED_END")))</f>
        <v/>
      </c>
      <c r="P131" s="10">
        <f>IF(I131="","",IF(I131&gt;($D$2+0.05),"+5kg",IF(I131&gt;($D$2+0.02),"+2.5kg",IF(I131&gt;=($D$2-0.05),"保持",IF(I131&gt;=($D$2-0.08),"-2.5kg","-5kg")))))</f>
        <v/>
      </c>
      <c r="Q131" s="9" t="n"/>
      <c r="R131" s="12" t="n"/>
      <c r="S131" s="12" t="n"/>
      <c r="T131" s="12" t="n"/>
    </row>
    <row r="132">
      <c r="A132" s="12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10">
        <f>IFERROR(INDEX(C132:H132,MATCH(TRUE,INDEX(C132:H132&lt;&gt;"",0),0)),"")</f>
        <v/>
      </c>
      <c r="J132" s="10">
        <f>IFERROR(MIN(IF(C132:H132&lt;&gt;"",C132:H132)),"")</f>
        <v/>
      </c>
      <c r="K132" s="10">
        <f>IFERROR(MATCH(I132,C132:H132,0),"")</f>
        <v/>
      </c>
      <c r="L132" s="10">
        <f>IF(OR(I132="",J132=""),"",ROUND((I132-J132)/I132*100,1))</f>
        <v/>
      </c>
      <c r="M132" s="10">
        <f>IF(L132="","",IF(L132&gt;=25,"是","否"))</f>
        <v/>
      </c>
      <c r="N132" s="10">
        <f>IF(J132="","",IF(J132&lt;0.15,"是","否"))</f>
        <v/>
      </c>
      <c r="O132" s="10">
        <f>IF(I132="","",IF(J132&lt;0.15,"SAFETY_STOP",IF(L132&gt;=25,"VL_THRESHOLD","PLANNED_END")))</f>
        <v/>
      </c>
      <c r="P132" s="10">
        <f>IF(I132="","",IF(I132&gt;($D$2+0.05),"+5kg",IF(I132&gt;($D$2+0.02),"+2.5kg",IF(I132&gt;=($D$2-0.05),"保持",IF(I132&gt;=($D$2-0.08),"-2.5kg","-5kg")))))</f>
        <v/>
      </c>
      <c r="Q132" s="9" t="n"/>
      <c r="R132" s="12" t="n"/>
      <c r="S132" s="12" t="n"/>
      <c r="T132" s="12" t="n"/>
    </row>
    <row r="133">
      <c r="A133" s="12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10">
        <f>IFERROR(INDEX(C133:H133,MATCH(TRUE,INDEX(C133:H133&lt;&gt;"",0),0)),"")</f>
        <v/>
      </c>
      <c r="J133" s="10">
        <f>IFERROR(MIN(IF(C133:H133&lt;&gt;"",C133:H133)),"")</f>
        <v/>
      </c>
      <c r="K133" s="10">
        <f>IFERROR(MATCH(I133,C133:H133,0),"")</f>
        <v/>
      </c>
      <c r="L133" s="10">
        <f>IF(OR(I133="",J133=""),"",ROUND((I133-J133)/I133*100,1))</f>
        <v/>
      </c>
      <c r="M133" s="10">
        <f>IF(L133="","",IF(L133&gt;=25,"是","否"))</f>
        <v/>
      </c>
      <c r="N133" s="10">
        <f>IF(J133="","",IF(J133&lt;0.15,"是","否"))</f>
        <v/>
      </c>
      <c r="O133" s="10">
        <f>IF(I133="","",IF(J133&lt;0.15,"SAFETY_STOP",IF(L133&gt;=25,"VL_THRESHOLD","PLANNED_END")))</f>
        <v/>
      </c>
      <c r="P133" s="10">
        <f>IF(I133="","",IF(I133&gt;($D$2+0.05),"+5kg",IF(I133&gt;($D$2+0.02),"+2.5kg",IF(I133&gt;=($D$2-0.05),"保持",IF(I133&gt;=($D$2-0.08),"-2.5kg","-5kg")))))</f>
        <v/>
      </c>
      <c r="Q133" s="9" t="n"/>
      <c r="R133" s="12" t="n"/>
      <c r="S133" s="12" t="n"/>
      <c r="T133" s="12" t="n"/>
    </row>
    <row r="134">
      <c r="A134" s="12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10">
        <f>IFERROR(INDEX(C134:H134,MATCH(TRUE,INDEX(C134:H134&lt;&gt;"",0),0)),"")</f>
        <v/>
      </c>
      <c r="J134" s="10">
        <f>IFERROR(MIN(IF(C134:H134&lt;&gt;"",C134:H134)),"")</f>
        <v/>
      </c>
      <c r="K134" s="10">
        <f>IFERROR(MATCH(I134,C134:H134,0),"")</f>
        <v/>
      </c>
      <c r="L134" s="10">
        <f>IF(OR(I134="",J134=""),"",ROUND((I134-J134)/I134*100,1))</f>
        <v/>
      </c>
      <c r="M134" s="10">
        <f>IF(L134="","",IF(L134&gt;=25,"是","否"))</f>
        <v/>
      </c>
      <c r="N134" s="10">
        <f>IF(J134="","",IF(J134&lt;0.15,"是","否"))</f>
        <v/>
      </c>
      <c r="O134" s="10">
        <f>IF(I134="","",IF(J134&lt;0.15,"SAFETY_STOP",IF(L134&gt;=25,"VL_THRESHOLD","PLANNED_END")))</f>
        <v/>
      </c>
      <c r="P134" s="10">
        <f>IF(I134="","",IF(I134&gt;($D$2+0.05),"+5kg",IF(I134&gt;($D$2+0.02),"+2.5kg",IF(I134&gt;=($D$2-0.05),"保持",IF(I134&gt;=($D$2-0.08),"-2.5kg","-5kg")))))</f>
        <v/>
      </c>
      <c r="Q134" s="9" t="n"/>
      <c r="R134" s="12" t="n"/>
      <c r="S134" s="12" t="n"/>
      <c r="T134" s="12" t="n"/>
    </row>
    <row r="135">
      <c r="A135" s="8" t="inlineStr">
        <is>
          <t>辅助动作</t>
        </is>
      </c>
      <c r="B135" s="8" t="inlineStr">
        <is>
          <t>动作名称</t>
        </is>
      </c>
      <c r="C135" s="8" t="inlineStr">
        <is>
          <t>负荷kg</t>
        </is>
      </c>
      <c r="D135" s="8" t="inlineStr">
        <is>
          <t>完成(组×次)</t>
        </is>
      </c>
    </row>
    <row r="136">
      <c r="A136" s="9" t="inlineStr"/>
      <c r="B136" s="9" t="n"/>
      <c r="C136" s="9" t="n"/>
      <c r="D136" s="9" t="n"/>
    </row>
    <row r="137">
      <c r="A137" s="8" t="inlineStr">
        <is>
          <t>训练后</t>
        </is>
      </c>
      <c r="B137" s="8" t="inlineStr">
        <is>
          <t>开始时间</t>
        </is>
      </c>
      <c r="C137" s="8" t="inlineStr">
        <is>
          <t>结束时间</t>
        </is>
      </c>
      <c r="D137" s="8" t="inlineStr">
        <is>
          <t>总时长min</t>
        </is>
      </c>
      <c r="E137" s="8" t="inlineStr">
        <is>
          <t>sRPE</t>
        </is>
      </c>
      <c r="F137" s="8" t="inlineStr">
        <is>
          <t>session_load</t>
        </is>
      </c>
      <c r="G137" s="8" t="inlineStr">
        <is>
          <t>有无不适</t>
        </is>
      </c>
      <c r="H137" s="8" t="inlineStr">
        <is>
          <t>备注</t>
        </is>
      </c>
      <c r="I137" s="8" t="inlineStr">
        <is>
          <t>研究员签名</t>
        </is>
      </c>
    </row>
    <row r="138">
      <c r="A138" s="13" t="inlineStr"/>
      <c r="B138" s="13" t="n"/>
      <c r="C138" s="13" t="n"/>
      <c r="D138" s="10">
        <f>IF(OR(B138="",C138=""),"",(C138-B138)*1440)</f>
        <v/>
      </c>
      <c r="E138" s="13" t="n"/>
      <c r="F138" s="10">
        <f>IF(OR(D138="",E138=""),"",D138*E138)</f>
        <v/>
      </c>
      <c r="G138" s="13" t="n"/>
      <c r="H138" s="13" t="n"/>
      <c r="I138" s="13" t="n"/>
    </row>
    <row r="140">
      <c r="A140" s="5" t="inlineStr">
        <is>
          <t>── P018 孟维宇 ──────────────────────────────────────────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7" t="n"/>
    </row>
    <row r="141">
      <c r="A141" s="8" t="inlineStr">
        <is>
          <t>编号</t>
        </is>
      </c>
      <c r="B141" s="8" t="inlineStr">
        <is>
          <t>姓名</t>
        </is>
      </c>
      <c r="C141" s="8" t="inlineStr">
        <is>
          <t>身高</t>
        </is>
      </c>
      <c r="D141" s="8" t="inlineStr">
        <is>
          <t>1RM</t>
        </is>
      </c>
      <c r="E141" s="8" t="inlineStr">
        <is>
          <t>睡眠</t>
        </is>
      </c>
      <c r="F141" s="8" t="inlineStr">
        <is>
          <t>压力</t>
        </is>
      </c>
      <c r="G141" s="8" t="inlineStr">
        <is>
          <t>疲劳</t>
        </is>
      </c>
      <c r="H141" s="8" t="inlineStr">
        <is>
          <t>酸痛</t>
        </is>
      </c>
      <c r="I141" s="8" t="inlineStr">
        <is>
          <t>Hooper总</t>
        </is>
      </c>
      <c r="J141" s="8" t="inlineStr">
        <is>
          <t>CMJ1</t>
        </is>
      </c>
      <c r="K141" s="8" t="inlineStr">
        <is>
          <t>CMJ2</t>
        </is>
      </c>
      <c r="L141" s="8" t="inlineStr">
        <is>
          <t>CMJ3</t>
        </is>
      </c>
      <c r="M141" s="8" t="inlineStr">
        <is>
          <t>CMJ均值</t>
        </is>
      </c>
      <c r="N141" s="8" t="inlineStr">
        <is>
          <t>&lt;95%?</t>
        </is>
      </c>
      <c r="O141" s="8" t="inlineStr">
        <is>
          <t>减组?</t>
        </is>
      </c>
      <c r="P141" s="8" t="inlineStr">
        <is>
          <t>实做组数</t>
        </is>
      </c>
      <c r="Q141" s="8" t="inlineStr">
        <is>
          <t>LVP_a</t>
        </is>
      </c>
      <c r="R141" s="8" t="inlineStr">
        <is>
          <t>LVP_b</t>
        </is>
      </c>
      <c r="S141" s="8" t="inlineStr">
        <is>
          <t>等级</t>
        </is>
      </c>
      <c r="T141" s="8" t="inlineStr">
        <is>
          <t>预测起始</t>
        </is>
      </c>
    </row>
    <row r="142">
      <c r="A142" s="9" t="inlineStr">
        <is>
          <t>P018</t>
        </is>
      </c>
      <c r="B142" s="9" t="inlineStr">
        <is>
          <t>孟维宇</t>
        </is>
      </c>
      <c r="C142" s="9" t="n">
        <v>173</v>
      </c>
      <c r="D142" s="9" t="n">
        <v>122.5</v>
      </c>
      <c r="E142" s="9" t="n"/>
      <c r="F142" s="9" t="n"/>
      <c r="G142" s="9" t="n"/>
      <c r="H142" s="9" t="n"/>
      <c r="I142" s="10">
        <f>IFERROR(SUM(E142:H142),"")</f>
        <v/>
      </c>
      <c r="J142" s="9" t="n"/>
      <c r="K142" s="9" t="n"/>
      <c r="L142" s="9" t="n"/>
      <c r="M142" s="10">
        <f>IFERROR(AVERAGE(J142:L142),"")</f>
        <v/>
      </c>
      <c r="N142" s="10">
        <f>IF(M142="","",IF(M142&lt;52.6,"是⚠","否"))</f>
        <v/>
      </c>
      <c r="O142" s="10">
        <f>IF(M142="","",IF(M142&lt;52.6,"减1组","正常"))</f>
        <v/>
      </c>
      <c r="P142" s="10">
        <f>IF(M142="","",IF(M142&lt;52.6,5-1,5))</f>
        <v/>
      </c>
      <c r="Q142" s="9" t="n">
        <v>1.71</v>
      </c>
      <c r="R142" s="9" t="n">
        <v>-0.0105</v>
      </c>
      <c r="S142" s="9" t="inlineStr">
        <is>
          <t>B</t>
        </is>
      </c>
      <c r="T142" s="10">
        <f>IFERROR(ROUND((0.475-1.71)/-0.0105,0.5),"")</f>
        <v/>
      </c>
    </row>
    <row r="143">
      <c r="A143" s="8" t="inlineStr">
        <is>
          <t>热身校准</t>
        </is>
      </c>
      <c r="B143" s="8" t="inlineStr">
        <is>
          <t>LVP_a</t>
        </is>
      </c>
      <c r="C143" s="8" t="inlineStr">
        <is>
          <t>LVP_b</t>
        </is>
      </c>
      <c r="D143" s="8" t="inlineStr">
        <is>
          <t>50%热身kg</t>
        </is>
      </c>
      <c r="E143" s="8" t="inlineStr">
        <is>
          <t>70%热身kg</t>
        </is>
      </c>
      <c r="F143" s="8" t="inlineStr">
        <is>
          <t>热身负荷kg</t>
        </is>
      </c>
      <c r="G143" s="8" t="inlineStr">
        <is>
          <t>实测MCV</t>
        </is>
      </c>
      <c r="H143" s="8" t="inlineStr">
        <is>
          <t>预测MCV</t>
        </is>
      </c>
      <c r="I143" s="8" t="inlineStr">
        <is>
          <t>Δv</t>
        </is>
      </c>
      <c r="J143" s="8" t="inlineStr">
        <is>
          <t>调整量kg</t>
        </is>
      </c>
      <c r="K143" s="8" t="inlineStr">
        <is>
          <t>校准后第1组kg</t>
        </is>
      </c>
    </row>
    <row r="144">
      <c r="A144" s="11" t="inlineStr"/>
      <c r="B144" s="11" t="n">
        <v>1.71</v>
      </c>
      <c r="C144" s="11" t="n">
        <v>-0.0105</v>
      </c>
      <c r="D144" s="10">
        <f>IFERROR(ROUND(T142*0.5,2.5),"")</f>
        <v/>
      </c>
      <c r="E144" s="10">
        <f>IFERROR(ROUND(T142*0.7,2.5),"")</f>
        <v/>
      </c>
      <c r="F144" s="10">
        <f>E144</f>
        <v/>
      </c>
      <c r="G144" s="9" t="n"/>
      <c r="H144" s="10">
        <f>IF(F144="","",B144+C144*F144)</f>
        <v/>
      </c>
      <c r="I144" s="10">
        <f>IF(OR(G144="",H144=""),"",G144-H144)</f>
        <v/>
      </c>
      <c r="J144" s="10">
        <f>IF(I144="","",IF(I144&gt;0.08,5,IF(I144&gt;0.04,2.5,IF(I144&gt;=-0.04,0,IF(I144&gt;=-0.08,-2.5,-5)))))</f>
        <v/>
      </c>
      <c r="K144" s="10">
        <f>IFERROR(ROUND(T142+J144,2.5),"")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8" t="inlineStr">
        <is>
          <t>组次</t>
        </is>
      </c>
      <c r="B145" s="8" t="inlineStr">
        <is>
          <t>负荷kg</t>
        </is>
      </c>
      <c r="C145" s="8" t="inlineStr">
        <is>
          <t>rep1</t>
        </is>
      </c>
      <c r="D145" s="8" t="inlineStr">
        <is>
          <t>rep2</t>
        </is>
      </c>
      <c r="E145" s="8" t="inlineStr">
        <is>
          <t>rep3</t>
        </is>
      </c>
      <c r="F145" s="8" t="inlineStr">
        <is>
          <t>rep4</t>
        </is>
      </c>
      <c r="G145" s="8" t="inlineStr">
        <is>
          <t>rep5</t>
        </is>
      </c>
      <c r="H145" s="8" t="inlineStr">
        <is>
          <t>rep6</t>
        </is>
      </c>
      <c r="I145" s="8" t="inlineStr">
        <is>
          <t>首rep</t>
        </is>
      </c>
      <c r="J145" s="8" t="inlineStr">
        <is>
          <t>最低速</t>
        </is>
      </c>
      <c r="K145" s="8" t="inlineStr">
        <is>
          <t>最低rep#</t>
        </is>
      </c>
      <c r="L145" s="8" t="inlineStr">
        <is>
          <t>VL%</t>
        </is>
      </c>
      <c r="M145" s="8" t="inlineStr">
        <is>
          <t>VL达标?</t>
        </is>
      </c>
      <c r="N145" s="8" t="inlineStr">
        <is>
          <t>安全停止?</t>
        </is>
      </c>
      <c r="O145" s="8" t="inlineStr">
        <is>
          <t>停组原因</t>
        </is>
      </c>
      <c r="P145" s="8" t="inlineStr">
        <is>
          <t>下组建议</t>
        </is>
      </c>
      <c r="Q145" s="8" t="inlineStr">
        <is>
          <t>实做次数</t>
        </is>
      </c>
    </row>
    <row r="146">
      <c r="A146" s="12" t="n">
        <v>1</v>
      </c>
      <c r="B146" s="10">
        <f>IF(K144="","",K144)</f>
        <v/>
      </c>
      <c r="C146" s="9" t="n"/>
      <c r="D146" s="9" t="n"/>
      <c r="E146" s="9" t="n"/>
      <c r="F146" s="9" t="n"/>
      <c r="G146" s="9" t="n"/>
      <c r="H146" s="9" t="n"/>
      <c r="I146" s="10">
        <f>IFERROR(INDEX(C146:H146,MATCH(TRUE,INDEX(C146:H146&lt;&gt;"",0),0)),"")</f>
        <v/>
      </c>
      <c r="J146" s="10">
        <f>IFERROR(MIN(IF(C146:H146&lt;&gt;"",C146:H146)),"")</f>
        <v/>
      </c>
      <c r="K146" s="10">
        <f>IFERROR(MATCH(I146,C146:H146,0),"")</f>
        <v/>
      </c>
      <c r="L146" s="10">
        <f>IF(OR(I146="",J146=""),"",ROUND((I146-J146)/I146*100,1))</f>
        <v/>
      </c>
      <c r="M146" s="10">
        <f>IF(L146="","",IF(L146&gt;=25,"是","否"))</f>
        <v/>
      </c>
      <c r="N146" s="10">
        <f>IF(J146="","",IF(J146&lt;0.15,"是","否"))</f>
        <v/>
      </c>
      <c r="O146" s="10">
        <f>IF(I146="","",IF(J146&lt;0.15,"SAFETY_STOP",IF(L146&gt;=25,"VL_THRESHOLD","PLANNED_END")))</f>
        <v/>
      </c>
      <c r="P146" s="10">
        <f>IF(I146="","",IF(I146&gt;($D$2+0.05),"+5kg",IF(I146&gt;($D$2+0.02),"+2.5kg",IF(I146&gt;=($D$2-0.05),"保持",IF(I146&gt;=($D$2-0.08),"-2.5kg","-5kg")))))</f>
        <v/>
      </c>
      <c r="Q146" s="9" t="n"/>
      <c r="R146" s="12" t="n"/>
      <c r="S146" s="12" t="n"/>
      <c r="T146" s="12" t="n"/>
    </row>
    <row r="147">
      <c r="A147" s="12" t="n">
        <v>2</v>
      </c>
      <c r="B147" s="9" t="n"/>
      <c r="C147" s="9" t="n"/>
      <c r="D147" s="9" t="n"/>
      <c r="E147" s="9" t="n"/>
      <c r="F147" s="9" t="n"/>
      <c r="G147" s="9" t="n"/>
      <c r="H147" s="9" t="n"/>
      <c r="I147" s="10">
        <f>IFERROR(INDEX(C147:H147,MATCH(TRUE,INDEX(C147:H147&lt;&gt;"",0),0)),"")</f>
        <v/>
      </c>
      <c r="J147" s="10">
        <f>IFERROR(MIN(IF(C147:H147&lt;&gt;"",C147:H147)),"")</f>
        <v/>
      </c>
      <c r="K147" s="10">
        <f>IFERROR(MATCH(I147,C147:H147,0),"")</f>
        <v/>
      </c>
      <c r="L147" s="10">
        <f>IF(OR(I147="",J147=""),"",ROUND((I147-J147)/I147*100,1))</f>
        <v/>
      </c>
      <c r="M147" s="10">
        <f>IF(L147="","",IF(L147&gt;=25,"是","否"))</f>
        <v/>
      </c>
      <c r="N147" s="10">
        <f>IF(J147="","",IF(J147&lt;0.15,"是","否"))</f>
        <v/>
      </c>
      <c r="O147" s="10">
        <f>IF(I147="","",IF(J147&lt;0.15,"SAFETY_STOP",IF(L147&gt;=25,"VL_THRESHOLD","PLANNED_END")))</f>
        <v/>
      </c>
      <c r="P147" s="10">
        <f>IF(I147="","",IF(I147&gt;($D$2+0.05),"+5kg",IF(I147&gt;($D$2+0.02),"+2.5kg",IF(I147&gt;=($D$2-0.05),"保持",IF(I147&gt;=($D$2-0.08),"-2.5kg","-5kg")))))</f>
        <v/>
      </c>
      <c r="Q147" s="9" t="n"/>
      <c r="R147" s="12" t="n"/>
      <c r="S147" s="12" t="n"/>
      <c r="T147" s="12" t="n"/>
    </row>
    <row r="148">
      <c r="A148" s="12" t="n">
        <v>3</v>
      </c>
      <c r="B148" s="9" t="n"/>
      <c r="C148" s="9" t="n"/>
      <c r="D148" s="9" t="n"/>
      <c r="E148" s="9" t="n"/>
      <c r="F148" s="9" t="n"/>
      <c r="G148" s="9" t="n"/>
      <c r="H148" s="9" t="n"/>
      <c r="I148" s="10">
        <f>IFERROR(INDEX(C148:H148,MATCH(TRUE,INDEX(C148:H148&lt;&gt;"",0),0)),"")</f>
        <v/>
      </c>
      <c r="J148" s="10">
        <f>IFERROR(MIN(IF(C148:H148&lt;&gt;"",C148:H148)),"")</f>
        <v/>
      </c>
      <c r="K148" s="10">
        <f>IFERROR(MATCH(I148,C148:H148,0),"")</f>
        <v/>
      </c>
      <c r="L148" s="10">
        <f>IF(OR(I148="",J148=""),"",ROUND((I148-J148)/I148*100,1))</f>
        <v/>
      </c>
      <c r="M148" s="10">
        <f>IF(L148="","",IF(L148&gt;=25,"是","否"))</f>
        <v/>
      </c>
      <c r="N148" s="10">
        <f>IF(J148="","",IF(J148&lt;0.15,"是","否"))</f>
        <v/>
      </c>
      <c r="O148" s="10">
        <f>IF(I148="","",IF(J148&lt;0.15,"SAFETY_STOP",IF(L148&gt;=25,"VL_THRESHOLD","PLANNED_END")))</f>
        <v/>
      </c>
      <c r="P148" s="10">
        <f>IF(I148="","",IF(I148&gt;($D$2+0.05),"+5kg",IF(I148&gt;($D$2+0.02),"+2.5kg",IF(I148&gt;=($D$2-0.05),"保持",IF(I148&gt;=($D$2-0.08),"-2.5kg","-5kg")))))</f>
        <v/>
      </c>
      <c r="Q148" s="9" t="n"/>
      <c r="R148" s="12" t="n"/>
      <c r="S148" s="12" t="n"/>
      <c r="T148" s="12" t="n"/>
    </row>
    <row r="149">
      <c r="A149" s="12" t="n">
        <v>4</v>
      </c>
      <c r="B149" s="9" t="n"/>
      <c r="C149" s="9" t="n"/>
      <c r="D149" s="9" t="n"/>
      <c r="E149" s="9" t="n"/>
      <c r="F149" s="9" t="n"/>
      <c r="G149" s="9" t="n"/>
      <c r="H149" s="9" t="n"/>
      <c r="I149" s="10">
        <f>IFERROR(INDEX(C149:H149,MATCH(TRUE,INDEX(C149:H149&lt;&gt;"",0),0)),"")</f>
        <v/>
      </c>
      <c r="J149" s="10">
        <f>IFERROR(MIN(IF(C149:H149&lt;&gt;"",C149:H149)),"")</f>
        <v/>
      </c>
      <c r="K149" s="10">
        <f>IFERROR(MATCH(I149,C149:H149,0),"")</f>
        <v/>
      </c>
      <c r="L149" s="10">
        <f>IF(OR(I149="",J149=""),"",ROUND((I149-J149)/I149*100,1))</f>
        <v/>
      </c>
      <c r="M149" s="10">
        <f>IF(L149="","",IF(L149&gt;=25,"是","否"))</f>
        <v/>
      </c>
      <c r="N149" s="10">
        <f>IF(J149="","",IF(J149&lt;0.15,"是","否"))</f>
        <v/>
      </c>
      <c r="O149" s="10">
        <f>IF(I149="","",IF(J149&lt;0.15,"SAFETY_STOP",IF(L149&gt;=25,"VL_THRESHOLD","PLANNED_END")))</f>
        <v/>
      </c>
      <c r="P149" s="10">
        <f>IF(I149="","",IF(I149&gt;($D$2+0.05),"+5kg",IF(I149&gt;($D$2+0.02),"+2.5kg",IF(I149&gt;=($D$2-0.05),"保持",IF(I149&gt;=($D$2-0.08),"-2.5kg","-5kg")))))</f>
        <v/>
      </c>
      <c r="Q149" s="9" t="n"/>
      <c r="R149" s="12" t="n"/>
      <c r="S149" s="12" t="n"/>
      <c r="T149" s="12" t="n"/>
    </row>
    <row r="150">
      <c r="A150" s="12" t="n">
        <v>5</v>
      </c>
      <c r="B150" s="9" t="n"/>
      <c r="C150" s="9" t="n"/>
      <c r="D150" s="9" t="n"/>
      <c r="E150" s="9" t="n"/>
      <c r="F150" s="9" t="n"/>
      <c r="G150" s="9" t="n"/>
      <c r="H150" s="9" t="n"/>
      <c r="I150" s="10">
        <f>IFERROR(INDEX(C150:H150,MATCH(TRUE,INDEX(C150:H150&lt;&gt;"",0),0)),"")</f>
        <v/>
      </c>
      <c r="J150" s="10">
        <f>IFERROR(MIN(IF(C150:H150&lt;&gt;"",C150:H150)),"")</f>
        <v/>
      </c>
      <c r="K150" s="10">
        <f>IFERROR(MATCH(I150,C150:H150,0),"")</f>
        <v/>
      </c>
      <c r="L150" s="10">
        <f>IF(OR(I150="",J150=""),"",ROUND((I150-J150)/I150*100,1))</f>
        <v/>
      </c>
      <c r="M150" s="10">
        <f>IF(L150="","",IF(L150&gt;=25,"是","否"))</f>
        <v/>
      </c>
      <c r="N150" s="10">
        <f>IF(J150="","",IF(J150&lt;0.15,"是","否"))</f>
        <v/>
      </c>
      <c r="O150" s="10">
        <f>IF(I150="","",IF(J150&lt;0.15,"SAFETY_STOP",IF(L150&gt;=25,"VL_THRESHOLD","PLANNED_END")))</f>
        <v/>
      </c>
      <c r="P150" s="10">
        <f>IF(I150="","",IF(I150&gt;($D$2+0.05),"+5kg",IF(I150&gt;($D$2+0.02),"+2.5kg",IF(I150&gt;=($D$2-0.05),"保持",IF(I150&gt;=($D$2-0.08),"-2.5kg","-5kg")))))</f>
        <v/>
      </c>
      <c r="Q150" s="9" t="n"/>
      <c r="R150" s="12" t="n"/>
      <c r="S150" s="12" t="n"/>
      <c r="T150" s="12" t="n"/>
    </row>
    <row r="151">
      <c r="A151" s="12" t="n">
        <v>6</v>
      </c>
      <c r="B151" s="9" t="n"/>
      <c r="C151" s="9" t="n"/>
      <c r="D151" s="9" t="n"/>
      <c r="E151" s="9" t="n"/>
      <c r="F151" s="9" t="n"/>
      <c r="G151" s="9" t="n"/>
      <c r="H151" s="9" t="n"/>
      <c r="I151" s="10">
        <f>IFERROR(INDEX(C151:H151,MATCH(TRUE,INDEX(C151:H151&lt;&gt;"",0),0)),"")</f>
        <v/>
      </c>
      <c r="J151" s="10">
        <f>IFERROR(MIN(IF(C151:H151&lt;&gt;"",C151:H151)),"")</f>
        <v/>
      </c>
      <c r="K151" s="10">
        <f>IFERROR(MATCH(I151,C151:H151,0),"")</f>
        <v/>
      </c>
      <c r="L151" s="10">
        <f>IF(OR(I151="",J151=""),"",ROUND((I151-J151)/I151*100,1))</f>
        <v/>
      </c>
      <c r="M151" s="10">
        <f>IF(L151="","",IF(L151&gt;=25,"是","否"))</f>
        <v/>
      </c>
      <c r="N151" s="10">
        <f>IF(J151="","",IF(J151&lt;0.15,"是","否"))</f>
        <v/>
      </c>
      <c r="O151" s="10">
        <f>IF(I151="","",IF(J151&lt;0.15,"SAFETY_STOP",IF(L151&gt;=25,"VL_THRESHOLD","PLANNED_END")))</f>
        <v/>
      </c>
      <c r="P151" s="10">
        <f>IF(I151="","",IF(I151&gt;($D$2+0.05),"+5kg",IF(I151&gt;($D$2+0.02),"+2.5kg",IF(I151&gt;=($D$2-0.05),"保持",IF(I151&gt;=($D$2-0.08),"-2.5kg","-5kg")))))</f>
        <v/>
      </c>
      <c r="Q151" s="9" t="n"/>
      <c r="R151" s="12" t="n"/>
      <c r="S151" s="12" t="n"/>
      <c r="T151" s="12" t="n"/>
    </row>
    <row r="152">
      <c r="A152" s="8" t="inlineStr">
        <is>
          <t>辅助动作</t>
        </is>
      </c>
      <c r="B152" s="8" t="inlineStr">
        <is>
          <t>动作名称</t>
        </is>
      </c>
      <c r="C152" s="8" t="inlineStr">
        <is>
          <t>负荷kg</t>
        </is>
      </c>
      <c r="D152" s="8" t="inlineStr">
        <is>
          <t>完成(组×次)</t>
        </is>
      </c>
    </row>
    <row r="153">
      <c r="A153" s="9" t="inlineStr"/>
      <c r="B153" s="9" t="n"/>
      <c r="C153" s="9" t="n"/>
      <c r="D153" s="9" t="n"/>
    </row>
    <row r="154">
      <c r="A154" s="8" t="inlineStr">
        <is>
          <t>训练后</t>
        </is>
      </c>
      <c r="B154" s="8" t="inlineStr">
        <is>
          <t>开始时间</t>
        </is>
      </c>
      <c r="C154" s="8" t="inlineStr">
        <is>
          <t>结束时间</t>
        </is>
      </c>
      <c r="D154" s="8" t="inlineStr">
        <is>
          <t>总时长min</t>
        </is>
      </c>
      <c r="E154" s="8" t="inlineStr">
        <is>
          <t>sRPE</t>
        </is>
      </c>
      <c r="F154" s="8" t="inlineStr">
        <is>
          <t>session_load</t>
        </is>
      </c>
      <c r="G154" s="8" t="inlineStr">
        <is>
          <t>有无不适</t>
        </is>
      </c>
      <c r="H154" s="8" t="inlineStr">
        <is>
          <t>备注</t>
        </is>
      </c>
      <c r="I154" s="8" t="inlineStr">
        <is>
          <t>研究员签名</t>
        </is>
      </c>
    </row>
    <row r="155">
      <c r="A155" s="13" t="inlineStr"/>
      <c r="B155" s="13" t="n"/>
      <c r="C155" s="13" t="n"/>
      <c r="D155" s="10">
        <f>IF(OR(B155="",C155=""),"",(C155-B155)*1440)</f>
        <v/>
      </c>
      <c r="E155" s="13" t="n"/>
      <c r="F155" s="10">
        <f>IF(OR(D155="",E155=""),"",D155*E155)</f>
        <v/>
      </c>
      <c r="G155" s="13" t="n"/>
      <c r="H155" s="13" t="n"/>
      <c r="I155" s="13" t="n"/>
    </row>
    <row r="157">
      <c r="A157" s="5" t="inlineStr">
        <is>
          <t>── P026 古翔宇 ──────────────────────────────────────────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7" t="n"/>
    </row>
    <row r="158">
      <c r="A158" s="8" t="inlineStr">
        <is>
          <t>编号</t>
        </is>
      </c>
      <c r="B158" s="8" t="inlineStr">
        <is>
          <t>姓名</t>
        </is>
      </c>
      <c r="C158" s="8" t="inlineStr">
        <is>
          <t>身高</t>
        </is>
      </c>
      <c r="D158" s="8" t="inlineStr">
        <is>
          <t>1RM</t>
        </is>
      </c>
      <c r="E158" s="8" t="inlineStr">
        <is>
          <t>睡眠</t>
        </is>
      </c>
      <c r="F158" s="8" t="inlineStr">
        <is>
          <t>压力</t>
        </is>
      </c>
      <c r="G158" s="8" t="inlineStr">
        <is>
          <t>疲劳</t>
        </is>
      </c>
      <c r="H158" s="8" t="inlineStr">
        <is>
          <t>酸痛</t>
        </is>
      </c>
      <c r="I158" s="8" t="inlineStr">
        <is>
          <t>Hooper总</t>
        </is>
      </c>
      <c r="J158" s="8" t="inlineStr">
        <is>
          <t>CMJ1</t>
        </is>
      </c>
      <c r="K158" s="8" t="inlineStr">
        <is>
          <t>CMJ2</t>
        </is>
      </c>
      <c r="L158" s="8" t="inlineStr">
        <is>
          <t>CMJ3</t>
        </is>
      </c>
      <c r="M158" s="8" t="inlineStr">
        <is>
          <t>CMJ均值</t>
        </is>
      </c>
      <c r="N158" s="8" t="inlineStr">
        <is>
          <t>&lt;95%?</t>
        </is>
      </c>
      <c r="O158" s="8" t="inlineStr">
        <is>
          <t>减组?</t>
        </is>
      </c>
      <c r="P158" s="8" t="inlineStr">
        <is>
          <t>实做组数</t>
        </is>
      </c>
      <c r="Q158" s="8" t="inlineStr">
        <is>
          <t>LVP_a</t>
        </is>
      </c>
      <c r="R158" s="8" t="inlineStr">
        <is>
          <t>LVP_b</t>
        </is>
      </c>
      <c r="S158" s="8" t="inlineStr">
        <is>
          <t>等级</t>
        </is>
      </c>
      <c r="T158" s="8" t="inlineStr">
        <is>
          <t>预测起始</t>
        </is>
      </c>
    </row>
    <row r="159">
      <c r="A159" s="9" t="inlineStr">
        <is>
          <t>P026</t>
        </is>
      </c>
      <c r="B159" s="9" t="inlineStr">
        <is>
          <t>古翔宇</t>
        </is>
      </c>
      <c r="C159" s="9" t="n">
        <v>180</v>
      </c>
      <c r="D159" s="9" t="n">
        <v>135</v>
      </c>
      <c r="E159" s="9" t="n"/>
      <c r="F159" s="9" t="n"/>
      <c r="G159" s="9" t="n"/>
      <c r="H159" s="9" t="n"/>
      <c r="I159" s="10">
        <f>IFERROR(SUM(E159:H159),"")</f>
        <v/>
      </c>
      <c r="J159" s="9" t="n"/>
      <c r="K159" s="9" t="n"/>
      <c r="L159" s="9" t="n"/>
      <c r="M159" s="10">
        <f>IFERROR(AVERAGE(J159:L159),"")</f>
        <v/>
      </c>
      <c r="N159" s="10">
        <f>IF(M159="","",IF(M159&lt;45.51,"是⚠","否"))</f>
        <v/>
      </c>
      <c r="O159" s="10">
        <f>IF(M159="","",IF(M159&lt;45.51,"减1组","正常"))</f>
        <v/>
      </c>
      <c r="P159" s="10">
        <f>IF(M159="","",IF(M159&lt;45.51,5-1,5))</f>
        <v/>
      </c>
      <c r="Q159" s="9" t="n">
        <v>1.64</v>
      </c>
      <c r="R159" s="9" t="n">
        <v>-0.00975</v>
      </c>
      <c r="S159" s="9" t="inlineStr">
        <is>
          <t>A</t>
        </is>
      </c>
      <c r="T159" s="10">
        <f>IFERROR(ROUND((0.475-1.64)/-0.00975,0.5),"")</f>
        <v/>
      </c>
    </row>
    <row r="160">
      <c r="A160" s="8" t="inlineStr">
        <is>
          <t>热身校准</t>
        </is>
      </c>
      <c r="B160" s="8" t="inlineStr">
        <is>
          <t>LVP_a</t>
        </is>
      </c>
      <c r="C160" s="8" t="inlineStr">
        <is>
          <t>LVP_b</t>
        </is>
      </c>
      <c r="D160" s="8" t="inlineStr">
        <is>
          <t>50%热身kg</t>
        </is>
      </c>
      <c r="E160" s="8" t="inlineStr">
        <is>
          <t>70%热身kg</t>
        </is>
      </c>
      <c r="F160" s="8" t="inlineStr">
        <is>
          <t>热身负荷kg</t>
        </is>
      </c>
      <c r="G160" s="8" t="inlineStr">
        <is>
          <t>实测MCV</t>
        </is>
      </c>
      <c r="H160" s="8" t="inlineStr">
        <is>
          <t>预测MCV</t>
        </is>
      </c>
      <c r="I160" s="8" t="inlineStr">
        <is>
          <t>Δv</t>
        </is>
      </c>
      <c r="J160" s="8" t="inlineStr">
        <is>
          <t>调整量kg</t>
        </is>
      </c>
      <c r="K160" s="8" t="inlineStr">
        <is>
          <t>校准后第1组kg</t>
        </is>
      </c>
    </row>
    <row r="161">
      <c r="A161" s="11" t="inlineStr"/>
      <c r="B161" s="11" t="n">
        <v>1.64</v>
      </c>
      <c r="C161" s="11" t="n">
        <v>-0.00975</v>
      </c>
      <c r="D161" s="10">
        <f>IFERROR(ROUND(T159*0.5,2.5),"")</f>
        <v/>
      </c>
      <c r="E161" s="10">
        <f>IFERROR(ROUND(T159*0.7,2.5),"")</f>
        <v/>
      </c>
      <c r="F161" s="10">
        <f>E161</f>
        <v/>
      </c>
      <c r="G161" s="9" t="n"/>
      <c r="H161" s="10">
        <f>IF(F161="","",B161+C161*F161)</f>
        <v/>
      </c>
      <c r="I161" s="10">
        <f>IF(OR(G161="",H161=""),"",G161-H161)</f>
        <v/>
      </c>
      <c r="J161" s="10">
        <f>IF(I161="","",IF(I161&gt;0.08,5,IF(I161&gt;0.04,2.5,IF(I161&gt;=-0.04,0,IF(I161&gt;=-0.08,-2.5,-5)))))</f>
        <v/>
      </c>
      <c r="K161" s="10">
        <f>IFERROR(ROUND(T159+J161,2.5),"")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8" t="inlineStr">
        <is>
          <t>组次</t>
        </is>
      </c>
      <c r="B162" s="8" t="inlineStr">
        <is>
          <t>负荷kg</t>
        </is>
      </c>
      <c r="C162" s="8" t="inlineStr">
        <is>
          <t>rep1</t>
        </is>
      </c>
      <c r="D162" s="8" t="inlineStr">
        <is>
          <t>rep2</t>
        </is>
      </c>
      <c r="E162" s="8" t="inlineStr">
        <is>
          <t>rep3</t>
        </is>
      </c>
      <c r="F162" s="8" t="inlineStr">
        <is>
          <t>rep4</t>
        </is>
      </c>
      <c r="G162" s="8" t="inlineStr">
        <is>
          <t>rep5</t>
        </is>
      </c>
      <c r="H162" s="8" t="inlineStr">
        <is>
          <t>rep6</t>
        </is>
      </c>
      <c r="I162" s="8" t="inlineStr">
        <is>
          <t>首rep</t>
        </is>
      </c>
      <c r="J162" s="8" t="inlineStr">
        <is>
          <t>最低速</t>
        </is>
      </c>
      <c r="K162" s="8" t="inlineStr">
        <is>
          <t>最低rep#</t>
        </is>
      </c>
      <c r="L162" s="8" t="inlineStr">
        <is>
          <t>VL%</t>
        </is>
      </c>
      <c r="M162" s="8" t="inlineStr">
        <is>
          <t>VL达标?</t>
        </is>
      </c>
      <c r="N162" s="8" t="inlineStr">
        <is>
          <t>安全停止?</t>
        </is>
      </c>
      <c r="O162" s="8" t="inlineStr">
        <is>
          <t>停组原因</t>
        </is>
      </c>
      <c r="P162" s="8" t="inlineStr">
        <is>
          <t>下组建议</t>
        </is>
      </c>
      <c r="Q162" s="8" t="inlineStr">
        <is>
          <t>实做次数</t>
        </is>
      </c>
    </row>
    <row r="163">
      <c r="A163" s="12" t="n">
        <v>1</v>
      </c>
      <c r="B163" s="10">
        <f>IF(K161="","",K161)</f>
        <v/>
      </c>
      <c r="C163" s="9" t="n"/>
      <c r="D163" s="9" t="n"/>
      <c r="E163" s="9" t="n"/>
      <c r="F163" s="9" t="n"/>
      <c r="G163" s="9" t="n"/>
      <c r="H163" s="9" t="n"/>
      <c r="I163" s="10">
        <f>IFERROR(INDEX(C163:H163,MATCH(TRUE,INDEX(C163:H163&lt;&gt;"",0),0)),"")</f>
        <v/>
      </c>
      <c r="J163" s="10">
        <f>IFERROR(MIN(IF(C163:H163&lt;&gt;"",C163:H163)),"")</f>
        <v/>
      </c>
      <c r="K163" s="10">
        <f>IFERROR(MATCH(I163,C163:H163,0),"")</f>
        <v/>
      </c>
      <c r="L163" s="10">
        <f>IF(OR(I163="",J163=""),"",ROUND((I163-J163)/I163*100,1))</f>
        <v/>
      </c>
      <c r="M163" s="10">
        <f>IF(L163="","",IF(L163&gt;=25,"是","否"))</f>
        <v/>
      </c>
      <c r="N163" s="10">
        <f>IF(J163="","",IF(J163&lt;0.15,"是","否"))</f>
        <v/>
      </c>
      <c r="O163" s="10">
        <f>IF(I163="","",IF(J163&lt;0.15,"SAFETY_STOP",IF(L163&gt;=25,"VL_THRESHOLD","PLANNED_END")))</f>
        <v/>
      </c>
      <c r="P163" s="10">
        <f>IF(I163="","",IF(I163&gt;($D$2+0.05),"+5kg",IF(I163&gt;($D$2+0.02),"+2.5kg",IF(I163&gt;=($D$2-0.05),"保持",IF(I163&gt;=($D$2-0.08),"-2.5kg","-5kg")))))</f>
        <v/>
      </c>
      <c r="Q163" s="9" t="n"/>
      <c r="R163" s="12" t="n"/>
      <c r="S163" s="12" t="n"/>
      <c r="T163" s="12" t="n"/>
    </row>
    <row r="164">
      <c r="A164" s="12" t="n">
        <v>2</v>
      </c>
      <c r="B164" s="9" t="n"/>
      <c r="C164" s="9" t="n"/>
      <c r="D164" s="9" t="n"/>
      <c r="E164" s="9" t="n"/>
      <c r="F164" s="9" t="n"/>
      <c r="G164" s="9" t="n"/>
      <c r="H164" s="9" t="n"/>
      <c r="I164" s="10">
        <f>IFERROR(INDEX(C164:H164,MATCH(TRUE,INDEX(C164:H164&lt;&gt;"",0),0)),"")</f>
        <v/>
      </c>
      <c r="J164" s="10">
        <f>IFERROR(MIN(IF(C164:H164&lt;&gt;"",C164:H164)),"")</f>
        <v/>
      </c>
      <c r="K164" s="10">
        <f>IFERROR(MATCH(I164,C164:H164,0),"")</f>
        <v/>
      </c>
      <c r="L164" s="10">
        <f>IF(OR(I164="",J164=""),"",ROUND((I164-J164)/I164*100,1))</f>
        <v/>
      </c>
      <c r="M164" s="10">
        <f>IF(L164="","",IF(L164&gt;=25,"是","否"))</f>
        <v/>
      </c>
      <c r="N164" s="10">
        <f>IF(J164="","",IF(J164&lt;0.15,"是","否"))</f>
        <v/>
      </c>
      <c r="O164" s="10">
        <f>IF(I164="","",IF(J164&lt;0.15,"SAFETY_STOP",IF(L164&gt;=25,"VL_THRESHOLD","PLANNED_END")))</f>
        <v/>
      </c>
      <c r="P164" s="10">
        <f>IF(I164="","",IF(I164&gt;($D$2+0.05),"+5kg",IF(I164&gt;($D$2+0.02),"+2.5kg",IF(I164&gt;=($D$2-0.05),"保持",IF(I164&gt;=($D$2-0.08),"-2.5kg","-5kg")))))</f>
        <v/>
      </c>
      <c r="Q164" s="9" t="n"/>
      <c r="R164" s="12" t="n"/>
      <c r="S164" s="12" t="n"/>
      <c r="T164" s="12" t="n"/>
    </row>
    <row r="165">
      <c r="A165" s="12" t="n">
        <v>3</v>
      </c>
      <c r="B165" s="9" t="n"/>
      <c r="C165" s="9" t="n"/>
      <c r="D165" s="9" t="n"/>
      <c r="E165" s="9" t="n"/>
      <c r="F165" s="9" t="n"/>
      <c r="G165" s="9" t="n"/>
      <c r="H165" s="9" t="n"/>
      <c r="I165" s="10">
        <f>IFERROR(INDEX(C165:H165,MATCH(TRUE,INDEX(C165:H165&lt;&gt;"",0),0)),"")</f>
        <v/>
      </c>
      <c r="J165" s="10">
        <f>IFERROR(MIN(IF(C165:H165&lt;&gt;"",C165:H165)),"")</f>
        <v/>
      </c>
      <c r="K165" s="10">
        <f>IFERROR(MATCH(I165,C165:H165,0),"")</f>
        <v/>
      </c>
      <c r="L165" s="10">
        <f>IF(OR(I165="",J165=""),"",ROUND((I165-J165)/I165*100,1))</f>
        <v/>
      </c>
      <c r="M165" s="10">
        <f>IF(L165="","",IF(L165&gt;=25,"是","否"))</f>
        <v/>
      </c>
      <c r="N165" s="10">
        <f>IF(J165="","",IF(J165&lt;0.15,"是","否"))</f>
        <v/>
      </c>
      <c r="O165" s="10">
        <f>IF(I165="","",IF(J165&lt;0.15,"SAFETY_STOP",IF(L165&gt;=25,"VL_THRESHOLD","PLANNED_END")))</f>
        <v/>
      </c>
      <c r="P165" s="10">
        <f>IF(I165="","",IF(I165&gt;($D$2+0.05),"+5kg",IF(I165&gt;($D$2+0.02),"+2.5kg",IF(I165&gt;=($D$2-0.05),"保持",IF(I165&gt;=($D$2-0.08),"-2.5kg","-5kg")))))</f>
        <v/>
      </c>
      <c r="Q165" s="9" t="n"/>
      <c r="R165" s="12" t="n"/>
      <c r="S165" s="12" t="n"/>
      <c r="T165" s="12" t="n"/>
    </row>
    <row r="166">
      <c r="A166" s="12" t="n">
        <v>4</v>
      </c>
      <c r="B166" s="9" t="n"/>
      <c r="C166" s="9" t="n"/>
      <c r="D166" s="9" t="n"/>
      <c r="E166" s="9" t="n"/>
      <c r="F166" s="9" t="n"/>
      <c r="G166" s="9" t="n"/>
      <c r="H166" s="9" t="n"/>
      <c r="I166" s="10">
        <f>IFERROR(INDEX(C166:H166,MATCH(TRUE,INDEX(C166:H166&lt;&gt;"",0),0)),"")</f>
        <v/>
      </c>
      <c r="J166" s="10">
        <f>IFERROR(MIN(IF(C166:H166&lt;&gt;"",C166:H166)),"")</f>
        <v/>
      </c>
      <c r="K166" s="10">
        <f>IFERROR(MATCH(I166,C166:H166,0),"")</f>
        <v/>
      </c>
      <c r="L166" s="10">
        <f>IF(OR(I166="",J166=""),"",ROUND((I166-J166)/I166*100,1))</f>
        <v/>
      </c>
      <c r="M166" s="10">
        <f>IF(L166="","",IF(L166&gt;=25,"是","否"))</f>
        <v/>
      </c>
      <c r="N166" s="10">
        <f>IF(J166="","",IF(J166&lt;0.15,"是","否"))</f>
        <v/>
      </c>
      <c r="O166" s="10">
        <f>IF(I166="","",IF(J166&lt;0.15,"SAFETY_STOP",IF(L166&gt;=25,"VL_THRESHOLD","PLANNED_END")))</f>
        <v/>
      </c>
      <c r="P166" s="10">
        <f>IF(I166="","",IF(I166&gt;($D$2+0.05),"+5kg",IF(I166&gt;($D$2+0.02),"+2.5kg",IF(I166&gt;=($D$2-0.05),"保持",IF(I166&gt;=($D$2-0.08),"-2.5kg","-5kg")))))</f>
        <v/>
      </c>
      <c r="Q166" s="9" t="n"/>
      <c r="R166" s="12" t="n"/>
      <c r="S166" s="12" t="n"/>
      <c r="T166" s="12" t="n"/>
    </row>
    <row r="167">
      <c r="A167" s="12" t="n">
        <v>5</v>
      </c>
      <c r="B167" s="9" t="n"/>
      <c r="C167" s="9" t="n"/>
      <c r="D167" s="9" t="n"/>
      <c r="E167" s="9" t="n"/>
      <c r="F167" s="9" t="n"/>
      <c r="G167" s="9" t="n"/>
      <c r="H167" s="9" t="n"/>
      <c r="I167" s="10">
        <f>IFERROR(INDEX(C167:H167,MATCH(TRUE,INDEX(C167:H167&lt;&gt;"",0),0)),"")</f>
        <v/>
      </c>
      <c r="J167" s="10">
        <f>IFERROR(MIN(IF(C167:H167&lt;&gt;"",C167:H167)),"")</f>
        <v/>
      </c>
      <c r="K167" s="10">
        <f>IFERROR(MATCH(I167,C167:H167,0),"")</f>
        <v/>
      </c>
      <c r="L167" s="10">
        <f>IF(OR(I167="",J167=""),"",ROUND((I167-J167)/I167*100,1))</f>
        <v/>
      </c>
      <c r="M167" s="10">
        <f>IF(L167="","",IF(L167&gt;=25,"是","否"))</f>
        <v/>
      </c>
      <c r="N167" s="10">
        <f>IF(J167="","",IF(J167&lt;0.15,"是","否"))</f>
        <v/>
      </c>
      <c r="O167" s="10">
        <f>IF(I167="","",IF(J167&lt;0.15,"SAFETY_STOP",IF(L167&gt;=25,"VL_THRESHOLD","PLANNED_END")))</f>
        <v/>
      </c>
      <c r="P167" s="10">
        <f>IF(I167="","",IF(I167&gt;($D$2+0.05),"+5kg",IF(I167&gt;($D$2+0.02),"+2.5kg",IF(I167&gt;=($D$2-0.05),"保持",IF(I167&gt;=($D$2-0.08),"-2.5kg","-5kg")))))</f>
        <v/>
      </c>
      <c r="Q167" s="9" t="n"/>
      <c r="R167" s="12" t="n"/>
      <c r="S167" s="12" t="n"/>
      <c r="T167" s="12" t="n"/>
    </row>
    <row r="168">
      <c r="A168" s="12" t="n">
        <v>6</v>
      </c>
      <c r="B168" s="9" t="n"/>
      <c r="C168" s="9" t="n"/>
      <c r="D168" s="9" t="n"/>
      <c r="E168" s="9" t="n"/>
      <c r="F168" s="9" t="n"/>
      <c r="G168" s="9" t="n"/>
      <c r="H168" s="9" t="n"/>
      <c r="I168" s="10">
        <f>IFERROR(INDEX(C168:H168,MATCH(TRUE,INDEX(C168:H168&lt;&gt;"",0),0)),"")</f>
        <v/>
      </c>
      <c r="J168" s="10">
        <f>IFERROR(MIN(IF(C168:H168&lt;&gt;"",C168:H168)),"")</f>
        <v/>
      </c>
      <c r="K168" s="10">
        <f>IFERROR(MATCH(I168,C168:H168,0),"")</f>
        <v/>
      </c>
      <c r="L168" s="10">
        <f>IF(OR(I168="",J168=""),"",ROUND((I168-J168)/I168*100,1))</f>
        <v/>
      </c>
      <c r="M168" s="10">
        <f>IF(L168="","",IF(L168&gt;=25,"是","否"))</f>
        <v/>
      </c>
      <c r="N168" s="10">
        <f>IF(J168="","",IF(J168&lt;0.15,"是","否"))</f>
        <v/>
      </c>
      <c r="O168" s="10">
        <f>IF(I168="","",IF(J168&lt;0.15,"SAFETY_STOP",IF(L168&gt;=25,"VL_THRESHOLD","PLANNED_END")))</f>
        <v/>
      </c>
      <c r="P168" s="10">
        <f>IF(I168="","",IF(I168&gt;($D$2+0.05),"+5kg",IF(I168&gt;($D$2+0.02),"+2.5kg",IF(I168&gt;=($D$2-0.05),"保持",IF(I168&gt;=($D$2-0.08),"-2.5kg","-5kg")))))</f>
        <v/>
      </c>
      <c r="Q168" s="9" t="n"/>
      <c r="R168" s="12" t="n"/>
      <c r="S168" s="12" t="n"/>
      <c r="T168" s="12" t="n"/>
    </row>
    <row r="169">
      <c r="A169" s="8" t="inlineStr">
        <is>
          <t>辅助动作</t>
        </is>
      </c>
      <c r="B169" s="8" t="inlineStr">
        <is>
          <t>动作名称</t>
        </is>
      </c>
      <c r="C169" s="8" t="inlineStr">
        <is>
          <t>负荷kg</t>
        </is>
      </c>
      <c r="D169" s="8" t="inlineStr">
        <is>
          <t>完成(组×次)</t>
        </is>
      </c>
    </row>
    <row r="170">
      <c r="A170" s="9" t="inlineStr"/>
      <c r="B170" s="9" t="n"/>
      <c r="C170" s="9" t="n"/>
      <c r="D170" s="9" t="n"/>
    </row>
    <row r="171">
      <c r="A171" s="8" t="inlineStr">
        <is>
          <t>训练后</t>
        </is>
      </c>
      <c r="B171" s="8" t="inlineStr">
        <is>
          <t>开始时间</t>
        </is>
      </c>
      <c r="C171" s="8" t="inlineStr">
        <is>
          <t>结束时间</t>
        </is>
      </c>
      <c r="D171" s="8" t="inlineStr">
        <is>
          <t>总时长min</t>
        </is>
      </c>
      <c r="E171" s="8" t="inlineStr">
        <is>
          <t>sRPE</t>
        </is>
      </c>
      <c r="F171" s="8" t="inlineStr">
        <is>
          <t>session_load</t>
        </is>
      </c>
      <c r="G171" s="8" t="inlineStr">
        <is>
          <t>有无不适</t>
        </is>
      </c>
      <c r="H171" s="8" t="inlineStr">
        <is>
          <t>备注</t>
        </is>
      </c>
      <c r="I171" s="8" t="inlineStr">
        <is>
          <t>研究员签名</t>
        </is>
      </c>
    </row>
    <row r="172">
      <c r="A172" s="13" t="inlineStr"/>
      <c r="B172" s="13" t="n"/>
      <c r="C172" s="13" t="n"/>
      <c r="D172" s="10">
        <f>IF(OR(B172="",C172=""),"",(C172-B172)*1440)</f>
        <v/>
      </c>
      <c r="E172" s="13" t="n"/>
      <c r="F172" s="10">
        <f>IF(OR(D172="",E172=""),"",D172*E172)</f>
        <v/>
      </c>
      <c r="G172" s="13" t="n"/>
      <c r="H172" s="13" t="n"/>
      <c r="I172" s="13" t="n"/>
    </row>
    <row r="174">
      <c r="A174" s="5" t="inlineStr">
        <is>
          <t>── P010 张锦荣 ──────────────────────────────────────────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" t="n"/>
    </row>
    <row r="175">
      <c r="A175" s="8" t="inlineStr">
        <is>
          <t>编号</t>
        </is>
      </c>
      <c r="B175" s="8" t="inlineStr">
        <is>
          <t>姓名</t>
        </is>
      </c>
      <c r="C175" s="8" t="inlineStr">
        <is>
          <t>身高</t>
        </is>
      </c>
      <c r="D175" s="8" t="inlineStr">
        <is>
          <t>1RM</t>
        </is>
      </c>
      <c r="E175" s="8" t="inlineStr">
        <is>
          <t>睡眠</t>
        </is>
      </c>
      <c r="F175" s="8" t="inlineStr">
        <is>
          <t>压力</t>
        </is>
      </c>
      <c r="G175" s="8" t="inlineStr">
        <is>
          <t>疲劳</t>
        </is>
      </c>
      <c r="H175" s="8" t="inlineStr">
        <is>
          <t>酸痛</t>
        </is>
      </c>
      <c r="I175" s="8" t="inlineStr">
        <is>
          <t>Hooper总</t>
        </is>
      </c>
      <c r="J175" s="8" t="inlineStr">
        <is>
          <t>CMJ1</t>
        </is>
      </c>
      <c r="K175" s="8" t="inlineStr">
        <is>
          <t>CMJ2</t>
        </is>
      </c>
      <c r="L175" s="8" t="inlineStr">
        <is>
          <t>CMJ3</t>
        </is>
      </c>
      <c r="M175" s="8" t="inlineStr">
        <is>
          <t>CMJ均值</t>
        </is>
      </c>
      <c r="N175" s="8" t="inlineStr">
        <is>
          <t>&lt;95%?</t>
        </is>
      </c>
      <c r="O175" s="8" t="inlineStr">
        <is>
          <t>减组?</t>
        </is>
      </c>
      <c r="P175" s="8" t="inlineStr">
        <is>
          <t>实做组数</t>
        </is>
      </c>
      <c r="Q175" s="8" t="inlineStr">
        <is>
          <t>LVP_a</t>
        </is>
      </c>
      <c r="R175" s="8" t="inlineStr">
        <is>
          <t>LVP_b</t>
        </is>
      </c>
      <c r="S175" s="8" t="inlineStr">
        <is>
          <t>等级</t>
        </is>
      </c>
      <c r="T175" s="8" t="inlineStr">
        <is>
          <t>预测起始</t>
        </is>
      </c>
    </row>
    <row r="176">
      <c r="A176" s="9" t="inlineStr">
        <is>
          <t>P010</t>
        </is>
      </c>
      <c r="B176" s="9" t="inlineStr">
        <is>
          <t>张锦荣</t>
        </is>
      </c>
      <c r="C176" s="9" t="n">
        <v>174</v>
      </c>
      <c r="D176" s="9" t="n">
        <v>120</v>
      </c>
      <c r="E176" s="9" t="n"/>
      <c r="F176" s="9" t="n"/>
      <c r="G176" s="9" t="n"/>
      <c r="H176" s="9" t="n"/>
      <c r="I176" s="10">
        <f>IFERROR(SUM(E176:H176),"")</f>
        <v/>
      </c>
      <c r="J176" s="9" t="n"/>
      <c r="K176" s="9" t="n"/>
      <c r="L176" s="9" t="n"/>
      <c r="M176" s="10">
        <f>IFERROR(AVERAGE(J176:L176),"")</f>
        <v/>
      </c>
      <c r="N176" s="10">
        <f>IF(M176="","",IF(M176&lt;50.42,"是⚠","否"))</f>
        <v/>
      </c>
      <c r="O176" s="10">
        <f>IF(M176="","",IF(M176&lt;50.42,"减1组","正常"))</f>
        <v/>
      </c>
      <c r="P176" s="10">
        <f>IF(M176="","",IF(M176&lt;50.42,5-1,5))</f>
        <v/>
      </c>
      <c r="Q176" s="9" t="n">
        <v>1.26</v>
      </c>
      <c r="R176" s="9" t="n">
        <v>-0.006</v>
      </c>
      <c r="S176" s="9" t="inlineStr">
        <is>
          <t>B</t>
        </is>
      </c>
      <c r="T176" s="10">
        <f>IFERROR(ROUND((0.475-1.26)/-0.006,0.5),"")</f>
        <v/>
      </c>
    </row>
    <row r="177">
      <c r="A177" s="8" t="inlineStr">
        <is>
          <t>热身校准</t>
        </is>
      </c>
      <c r="B177" s="8" t="inlineStr">
        <is>
          <t>LVP_a</t>
        </is>
      </c>
      <c r="C177" s="8" t="inlineStr">
        <is>
          <t>LVP_b</t>
        </is>
      </c>
      <c r="D177" s="8" t="inlineStr">
        <is>
          <t>50%热身kg</t>
        </is>
      </c>
      <c r="E177" s="8" t="inlineStr">
        <is>
          <t>70%热身kg</t>
        </is>
      </c>
      <c r="F177" s="8" t="inlineStr">
        <is>
          <t>热身负荷kg</t>
        </is>
      </c>
      <c r="G177" s="8" t="inlineStr">
        <is>
          <t>实测MCV</t>
        </is>
      </c>
      <c r="H177" s="8" t="inlineStr">
        <is>
          <t>预测MCV</t>
        </is>
      </c>
      <c r="I177" s="8" t="inlineStr">
        <is>
          <t>Δv</t>
        </is>
      </c>
      <c r="J177" s="8" t="inlineStr">
        <is>
          <t>调整量kg</t>
        </is>
      </c>
      <c r="K177" s="8" t="inlineStr">
        <is>
          <t>校准后第1组kg</t>
        </is>
      </c>
    </row>
    <row r="178">
      <c r="A178" s="11" t="inlineStr"/>
      <c r="B178" s="11" t="n">
        <v>1.26</v>
      </c>
      <c r="C178" s="11" t="n">
        <v>-0.006</v>
      </c>
      <c r="D178" s="10">
        <f>IFERROR(ROUND(T176*0.5,2.5),"")</f>
        <v/>
      </c>
      <c r="E178" s="10">
        <f>IFERROR(ROUND(T176*0.7,2.5),"")</f>
        <v/>
      </c>
      <c r="F178" s="10">
        <f>E178</f>
        <v/>
      </c>
      <c r="G178" s="9" t="n"/>
      <c r="H178" s="10">
        <f>IF(F178="","",B178+C178*F178)</f>
        <v/>
      </c>
      <c r="I178" s="10">
        <f>IF(OR(G178="",H178=""),"",G178-H178)</f>
        <v/>
      </c>
      <c r="J178" s="10">
        <f>IF(I178="","",IF(I178&gt;0.08,5,IF(I178&gt;0.04,2.5,IF(I178&gt;=-0.04,0,IF(I178&gt;=-0.08,-2.5,-5)))))</f>
        <v/>
      </c>
      <c r="K178" s="10">
        <f>IFERROR(ROUND(T176+J178,2.5),"")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8" t="inlineStr">
        <is>
          <t>组次</t>
        </is>
      </c>
      <c r="B179" s="8" t="inlineStr">
        <is>
          <t>负荷kg</t>
        </is>
      </c>
      <c r="C179" s="8" t="inlineStr">
        <is>
          <t>rep1</t>
        </is>
      </c>
      <c r="D179" s="8" t="inlineStr">
        <is>
          <t>rep2</t>
        </is>
      </c>
      <c r="E179" s="8" t="inlineStr">
        <is>
          <t>rep3</t>
        </is>
      </c>
      <c r="F179" s="8" t="inlineStr">
        <is>
          <t>rep4</t>
        </is>
      </c>
      <c r="G179" s="8" t="inlineStr">
        <is>
          <t>rep5</t>
        </is>
      </c>
      <c r="H179" s="8" t="inlineStr">
        <is>
          <t>rep6</t>
        </is>
      </c>
      <c r="I179" s="8" t="inlineStr">
        <is>
          <t>首rep</t>
        </is>
      </c>
      <c r="J179" s="8" t="inlineStr">
        <is>
          <t>最低速</t>
        </is>
      </c>
      <c r="K179" s="8" t="inlineStr">
        <is>
          <t>最低rep#</t>
        </is>
      </c>
      <c r="L179" s="8" t="inlineStr">
        <is>
          <t>VL%</t>
        </is>
      </c>
      <c r="M179" s="8" t="inlineStr">
        <is>
          <t>VL达标?</t>
        </is>
      </c>
      <c r="N179" s="8" t="inlineStr">
        <is>
          <t>安全停止?</t>
        </is>
      </c>
      <c r="O179" s="8" t="inlineStr">
        <is>
          <t>停组原因</t>
        </is>
      </c>
      <c r="P179" s="8" t="inlineStr">
        <is>
          <t>下组建议</t>
        </is>
      </c>
      <c r="Q179" s="8" t="inlineStr">
        <is>
          <t>实做次数</t>
        </is>
      </c>
    </row>
    <row r="180">
      <c r="A180" s="12" t="n">
        <v>1</v>
      </c>
      <c r="B180" s="10">
        <f>IF(K178="","",K178)</f>
        <v/>
      </c>
      <c r="C180" s="9" t="n"/>
      <c r="D180" s="9" t="n"/>
      <c r="E180" s="9" t="n"/>
      <c r="F180" s="9" t="n"/>
      <c r="G180" s="9" t="n"/>
      <c r="H180" s="9" t="n"/>
      <c r="I180" s="10">
        <f>IFERROR(INDEX(C180:H180,MATCH(TRUE,INDEX(C180:H180&lt;&gt;"",0),0)),"")</f>
        <v/>
      </c>
      <c r="J180" s="10">
        <f>IFERROR(MIN(IF(C180:H180&lt;&gt;"",C180:H180)),"")</f>
        <v/>
      </c>
      <c r="K180" s="10">
        <f>IFERROR(MATCH(I180,C180:H180,0),"")</f>
        <v/>
      </c>
      <c r="L180" s="10">
        <f>IF(OR(I180="",J180=""),"",ROUND((I180-J180)/I180*100,1))</f>
        <v/>
      </c>
      <c r="M180" s="10">
        <f>IF(L180="","",IF(L180&gt;=25,"是","否"))</f>
        <v/>
      </c>
      <c r="N180" s="10">
        <f>IF(J180="","",IF(J180&lt;0.15,"是","否"))</f>
        <v/>
      </c>
      <c r="O180" s="10">
        <f>IF(I180="","",IF(J180&lt;0.15,"SAFETY_STOP",IF(L180&gt;=25,"VL_THRESHOLD","PLANNED_END")))</f>
        <v/>
      </c>
      <c r="P180" s="10">
        <f>IF(I180="","",IF(I180&gt;($D$2+0.05),"+5kg",IF(I180&gt;($D$2+0.02),"+2.5kg",IF(I180&gt;=($D$2-0.05),"保持",IF(I180&gt;=($D$2-0.08),"-2.5kg","-5kg")))))</f>
        <v/>
      </c>
      <c r="Q180" s="9" t="n"/>
      <c r="R180" s="12" t="n"/>
      <c r="S180" s="12" t="n"/>
      <c r="T180" s="12" t="n"/>
    </row>
    <row r="181">
      <c r="A181" s="12" t="n">
        <v>2</v>
      </c>
      <c r="B181" s="9" t="n"/>
      <c r="C181" s="9" t="n"/>
      <c r="D181" s="9" t="n"/>
      <c r="E181" s="9" t="n"/>
      <c r="F181" s="9" t="n"/>
      <c r="G181" s="9" t="n"/>
      <c r="H181" s="9" t="n"/>
      <c r="I181" s="10">
        <f>IFERROR(INDEX(C181:H181,MATCH(TRUE,INDEX(C181:H181&lt;&gt;"",0),0)),"")</f>
        <v/>
      </c>
      <c r="J181" s="10">
        <f>IFERROR(MIN(IF(C181:H181&lt;&gt;"",C181:H181)),"")</f>
        <v/>
      </c>
      <c r="K181" s="10">
        <f>IFERROR(MATCH(I181,C181:H181,0),"")</f>
        <v/>
      </c>
      <c r="L181" s="10">
        <f>IF(OR(I181="",J181=""),"",ROUND((I181-J181)/I181*100,1))</f>
        <v/>
      </c>
      <c r="M181" s="10">
        <f>IF(L181="","",IF(L181&gt;=25,"是","否"))</f>
        <v/>
      </c>
      <c r="N181" s="10">
        <f>IF(J181="","",IF(J181&lt;0.15,"是","否"))</f>
        <v/>
      </c>
      <c r="O181" s="10">
        <f>IF(I181="","",IF(J181&lt;0.15,"SAFETY_STOP",IF(L181&gt;=25,"VL_THRESHOLD","PLANNED_END")))</f>
        <v/>
      </c>
      <c r="P181" s="10">
        <f>IF(I181="","",IF(I181&gt;($D$2+0.05),"+5kg",IF(I181&gt;($D$2+0.02),"+2.5kg",IF(I181&gt;=($D$2-0.05),"保持",IF(I181&gt;=($D$2-0.08),"-2.5kg","-5kg")))))</f>
        <v/>
      </c>
      <c r="Q181" s="9" t="n"/>
      <c r="R181" s="12" t="n"/>
      <c r="S181" s="12" t="n"/>
      <c r="T181" s="12" t="n"/>
    </row>
    <row r="182">
      <c r="A182" s="12" t="n">
        <v>3</v>
      </c>
      <c r="B182" s="9" t="n"/>
      <c r="C182" s="9" t="n"/>
      <c r="D182" s="9" t="n"/>
      <c r="E182" s="9" t="n"/>
      <c r="F182" s="9" t="n"/>
      <c r="G182" s="9" t="n"/>
      <c r="H182" s="9" t="n"/>
      <c r="I182" s="10">
        <f>IFERROR(INDEX(C182:H182,MATCH(TRUE,INDEX(C182:H182&lt;&gt;"",0),0)),"")</f>
        <v/>
      </c>
      <c r="J182" s="10">
        <f>IFERROR(MIN(IF(C182:H182&lt;&gt;"",C182:H182)),"")</f>
        <v/>
      </c>
      <c r="K182" s="10">
        <f>IFERROR(MATCH(I182,C182:H182,0),"")</f>
        <v/>
      </c>
      <c r="L182" s="10">
        <f>IF(OR(I182="",J182=""),"",ROUND((I182-J182)/I182*100,1))</f>
        <v/>
      </c>
      <c r="M182" s="10">
        <f>IF(L182="","",IF(L182&gt;=25,"是","否"))</f>
        <v/>
      </c>
      <c r="N182" s="10">
        <f>IF(J182="","",IF(J182&lt;0.15,"是","否"))</f>
        <v/>
      </c>
      <c r="O182" s="10">
        <f>IF(I182="","",IF(J182&lt;0.15,"SAFETY_STOP",IF(L182&gt;=25,"VL_THRESHOLD","PLANNED_END")))</f>
        <v/>
      </c>
      <c r="P182" s="10">
        <f>IF(I182="","",IF(I182&gt;($D$2+0.05),"+5kg",IF(I182&gt;($D$2+0.02),"+2.5kg",IF(I182&gt;=($D$2-0.05),"保持",IF(I182&gt;=($D$2-0.08),"-2.5kg","-5kg")))))</f>
        <v/>
      </c>
      <c r="Q182" s="9" t="n"/>
      <c r="R182" s="12" t="n"/>
      <c r="S182" s="12" t="n"/>
      <c r="T182" s="12" t="n"/>
    </row>
    <row r="183">
      <c r="A183" s="12" t="n">
        <v>4</v>
      </c>
      <c r="B183" s="9" t="n"/>
      <c r="C183" s="9" t="n"/>
      <c r="D183" s="9" t="n"/>
      <c r="E183" s="9" t="n"/>
      <c r="F183" s="9" t="n"/>
      <c r="G183" s="9" t="n"/>
      <c r="H183" s="9" t="n"/>
      <c r="I183" s="10">
        <f>IFERROR(INDEX(C183:H183,MATCH(TRUE,INDEX(C183:H183&lt;&gt;"",0),0)),"")</f>
        <v/>
      </c>
      <c r="J183" s="10">
        <f>IFERROR(MIN(IF(C183:H183&lt;&gt;"",C183:H183)),"")</f>
        <v/>
      </c>
      <c r="K183" s="10">
        <f>IFERROR(MATCH(I183,C183:H183,0),"")</f>
        <v/>
      </c>
      <c r="L183" s="10">
        <f>IF(OR(I183="",J183=""),"",ROUND((I183-J183)/I183*100,1))</f>
        <v/>
      </c>
      <c r="M183" s="10">
        <f>IF(L183="","",IF(L183&gt;=25,"是","否"))</f>
        <v/>
      </c>
      <c r="N183" s="10">
        <f>IF(J183="","",IF(J183&lt;0.15,"是","否"))</f>
        <v/>
      </c>
      <c r="O183" s="10">
        <f>IF(I183="","",IF(J183&lt;0.15,"SAFETY_STOP",IF(L183&gt;=25,"VL_THRESHOLD","PLANNED_END")))</f>
        <v/>
      </c>
      <c r="P183" s="10">
        <f>IF(I183="","",IF(I183&gt;($D$2+0.05),"+5kg",IF(I183&gt;($D$2+0.02),"+2.5kg",IF(I183&gt;=($D$2-0.05),"保持",IF(I183&gt;=($D$2-0.08),"-2.5kg","-5kg")))))</f>
        <v/>
      </c>
      <c r="Q183" s="9" t="n"/>
      <c r="R183" s="12" t="n"/>
      <c r="S183" s="12" t="n"/>
      <c r="T183" s="12" t="n"/>
    </row>
    <row r="184">
      <c r="A184" s="12" t="n">
        <v>5</v>
      </c>
      <c r="B184" s="9" t="n"/>
      <c r="C184" s="9" t="n"/>
      <c r="D184" s="9" t="n"/>
      <c r="E184" s="9" t="n"/>
      <c r="F184" s="9" t="n"/>
      <c r="G184" s="9" t="n"/>
      <c r="H184" s="9" t="n"/>
      <c r="I184" s="10">
        <f>IFERROR(INDEX(C184:H184,MATCH(TRUE,INDEX(C184:H184&lt;&gt;"",0),0)),"")</f>
        <v/>
      </c>
      <c r="J184" s="10">
        <f>IFERROR(MIN(IF(C184:H184&lt;&gt;"",C184:H184)),"")</f>
        <v/>
      </c>
      <c r="K184" s="10">
        <f>IFERROR(MATCH(I184,C184:H184,0),"")</f>
        <v/>
      </c>
      <c r="L184" s="10">
        <f>IF(OR(I184="",J184=""),"",ROUND((I184-J184)/I184*100,1))</f>
        <v/>
      </c>
      <c r="M184" s="10">
        <f>IF(L184="","",IF(L184&gt;=25,"是","否"))</f>
        <v/>
      </c>
      <c r="N184" s="10">
        <f>IF(J184="","",IF(J184&lt;0.15,"是","否"))</f>
        <v/>
      </c>
      <c r="O184" s="10">
        <f>IF(I184="","",IF(J184&lt;0.15,"SAFETY_STOP",IF(L184&gt;=25,"VL_THRESHOLD","PLANNED_END")))</f>
        <v/>
      </c>
      <c r="P184" s="10">
        <f>IF(I184="","",IF(I184&gt;($D$2+0.05),"+5kg",IF(I184&gt;($D$2+0.02),"+2.5kg",IF(I184&gt;=($D$2-0.05),"保持",IF(I184&gt;=($D$2-0.08),"-2.5kg","-5kg")))))</f>
        <v/>
      </c>
      <c r="Q184" s="9" t="n"/>
      <c r="R184" s="12" t="n"/>
      <c r="S184" s="12" t="n"/>
      <c r="T184" s="12" t="n"/>
    </row>
    <row r="185">
      <c r="A185" s="12" t="n">
        <v>6</v>
      </c>
      <c r="B185" s="9" t="n"/>
      <c r="C185" s="9" t="n"/>
      <c r="D185" s="9" t="n"/>
      <c r="E185" s="9" t="n"/>
      <c r="F185" s="9" t="n"/>
      <c r="G185" s="9" t="n"/>
      <c r="H185" s="9" t="n"/>
      <c r="I185" s="10">
        <f>IFERROR(INDEX(C185:H185,MATCH(TRUE,INDEX(C185:H185&lt;&gt;"",0),0)),"")</f>
        <v/>
      </c>
      <c r="J185" s="10">
        <f>IFERROR(MIN(IF(C185:H185&lt;&gt;"",C185:H185)),"")</f>
        <v/>
      </c>
      <c r="K185" s="10">
        <f>IFERROR(MATCH(I185,C185:H185,0),"")</f>
        <v/>
      </c>
      <c r="L185" s="10">
        <f>IF(OR(I185="",J185=""),"",ROUND((I185-J185)/I185*100,1))</f>
        <v/>
      </c>
      <c r="M185" s="10">
        <f>IF(L185="","",IF(L185&gt;=25,"是","否"))</f>
        <v/>
      </c>
      <c r="N185" s="10">
        <f>IF(J185="","",IF(J185&lt;0.15,"是","否"))</f>
        <v/>
      </c>
      <c r="O185" s="10">
        <f>IF(I185="","",IF(J185&lt;0.15,"SAFETY_STOP",IF(L185&gt;=25,"VL_THRESHOLD","PLANNED_END")))</f>
        <v/>
      </c>
      <c r="P185" s="10">
        <f>IF(I185="","",IF(I185&gt;($D$2+0.05),"+5kg",IF(I185&gt;($D$2+0.02),"+2.5kg",IF(I185&gt;=($D$2-0.05),"保持",IF(I185&gt;=($D$2-0.08),"-2.5kg","-5kg")))))</f>
        <v/>
      </c>
      <c r="Q185" s="9" t="n"/>
      <c r="R185" s="12" t="n"/>
      <c r="S185" s="12" t="n"/>
      <c r="T185" s="12" t="n"/>
    </row>
    <row r="186">
      <c r="A186" s="8" t="inlineStr">
        <is>
          <t>辅助动作</t>
        </is>
      </c>
      <c r="B186" s="8" t="inlineStr">
        <is>
          <t>动作名称</t>
        </is>
      </c>
      <c r="C186" s="8" t="inlineStr">
        <is>
          <t>负荷kg</t>
        </is>
      </c>
      <c r="D186" s="8" t="inlineStr">
        <is>
          <t>完成(组×次)</t>
        </is>
      </c>
    </row>
    <row r="187">
      <c r="A187" s="9" t="inlineStr"/>
      <c r="B187" s="9" t="n"/>
      <c r="C187" s="9" t="n"/>
      <c r="D187" s="9" t="n"/>
    </row>
    <row r="188">
      <c r="A188" s="8" t="inlineStr">
        <is>
          <t>训练后</t>
        </is>
      </c>
      <c r="B188" s="8" t="inlineStr">
        <is>
          <t>开始时间</t>
        </is>
      </c>
      <c r="C188" s="8" t="inlineStr">
        <is>
          <t>结束时间</t>
        </is>
      </c>
      <c r="D188" s="8" t="inlineStr">
        <is>
          <t>总时长min</t>
        </is>
      </c>
      <c r="E188" s="8" t="inlineStr">
        <is>
          <t>sRPE</t>
        </is>
      </c>
      <c r="F188" s="8" t="inlineStr">
        <is>
          <t>session_load</t>
        </is>
      </c>
      <c r="G188" s="8" t="inlineStr">
        <is>
          <t>有无不适</t>
        </is>
      </c>
      <c r="H188" s="8" t="inlineStr">
        <is>
          <t>备注</t>
        </is>
      </c>
      <c r="I188" s="8" t="inlineStr">
        <is>
          <t>研究员签名</t>
        </is>
      </c>
    </row>
    <row r="189">
      <c r="A189" s="13" t="inlineStr"/>
      <c r="B189" s="13" t="n"/>
      <c r="C189" s="13" t="n"/>
      <c r="D189" s="10">
        <f>IF(OR(B189="",C189=""),"",(C189-B189)*1440)</f>
        <v/>
      </c>
      <c r="E189" s="13" t="n"/>
      <c r="F189" s="10">
        <f>IF(OR(D189="",E189=""),"",D189*E189)</f>
        <v/>
      </c>
      <c r="G189" s="13" t="n"/>
      <c r="H189" s="13" t="n"/>
      <c r="I189" s="13" t="n"/>
    </row>
    <row r="191">
      <c r="A191" s="5" t="inlineStr">
        <is>
          <t>── P009 王宏池 ──────────────────────────────────────────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7" t="n"/>
    </row>
    <row r="192">
      <c r="A192" s="8" t="inlineStr">
        <is>
          <t>编号</t>
        </is>
      </c>
      <c r="B192" s="8" t="inlineStr">
        <is>
          <t>姓名</t>
        </is>
      </c>
      <c r="C192" s="8" t="inlineStr">
        <is>
          <t>身高</t>
        </is>
      </c>
      <c r="D192" s="8" t="inlineStr">
        <is>
          <t>1RM</t>
        </is>
      </c>
      <c r="E192" s="8" t="inlineStr">
        <is>
          <t>睡眠</t>
        </is>
      </c>
      <c r="F192" s="8" t="inlineStr">
        <is>
          <t>压力</t>
        </is>
      </c>
      <c r="G192" s="8" t="inlineStr">
        <is>
          <t>疲劳</t>
        </is>
      </c>
      <c r="H192" s="8" t="inlineStr">
        <is>
          <t>酸痛</t>
        </is>
      </c>
      <c r="I192" s="8" t="inlineStr">
        <is>
          <t>Hooper总</t>
        </is>
      </c>
      <c r="J192" s="8" t="inlineStr">
        <is>
          <t>CMJ1</t>
        </is>
      </c>
      <c r="K192" s="8" t="inlineStr">
        <is>
          <t>CMJ2</t>
        </is>
      </c>
      <c r="L192" s="8" t="inlineStr">
        <is>
          <t>CMJ3</t>
        </is>
      </c>
      <c r="M192" s="8" t="inlineStr">
        <is>
          <t>CMJ均值</t>
        </is>
      </c>
      <c r="N192" s="8" t="inlineStr">
        <is>
          <t>&lt;95%?</t>
        </is>
      </c>
      <c r="O192" s="8" t="inlineStr">
        <is>
          <t>减组?</t>
        </is>
      </c>
      <c r="P192" s="8" t="inlineStr">
        <is>
          <t>实做组数</t>
        </is>
      </c>
      <c r="Q192" s="8" t="inlineStr">
        <is>
          <t>LVP_a</t>
        </is>
      </c>
      <c r="R192" s="8" t="inlineStr">
        <is>
          <t>LVP_b</t>
        </is>
      </c>
      <c r="S192" s="8" t="inlineStr">
        <is>
          <t>等级</t>
        </is>
      </c>
      <c r="T192" s="8" t="inlineStr">
        <is>
          <t>预测起始</t>
        </is>
      </c>
    </row>
    <row r="193">
      <c r="A193" s="9" t="inlineStr">
        <is>
          <t>P009</t>
        </is>
      </c>
      <c r="B193" s="9" t="inlineStr">
        <is>
          <t>王宏池</t>
        </is>
      </c>
      <c r="C193" s="9" t="n">
        <v>185</v>
      </c>
      <c r="D193" s="9" t="n">
        <v>135</v>
      </c>
      <c r="E193" s="9" t="n"/>
      <c r="F193" s="9" t="n"/>
      <c r="G193" s="9" t="n"/>
      <c r="H193" s="9" t="n"/>
      <c r="I193" s="10">
        <f>IFERROR(SUM(E193:H193),"")</f>
        <v/>
      </c>
      <c r="J193" s="9" t="n"/>
      <c r="K193" s="9" t="n"/>
      <c r="L193" s="9" t="n"/>
      <c r="M193" s="10">
        <f>IFERROR(AVERAGE(J193:L193),"")</f>
        <v/>
      </c>
      <c r="N193" s="10">
        <f>IF(M193="","",IF(M193&lt;54.27,"是⚠","否"))</f>
        <v/>
      </c>
      <c r="O193" s="10">
        <f>IF(M193="","",IF(M193&lt;54.27,"减1组","正常"))</f>
        <v/>
      </c>
      <c r="P193" s="10">
        <f>IF(M193="","",IF(M193&lt;54.27,5-1,5))</f>
        <v/>
      </c>
      <c r="Q193" s="9" t="n">
        <v>1.5667</v>
      </c>
      <c r="R193" s="9" t="n">
        <v>-0.008500000000000001</v>
      </c>
      <c r="S193" s="9" t="inlineStr">
        <is>
          <t>B</t>
        </is>
      </c>
      <c r="T193" s="10">
        <f>IFERROR(ROUND((0.475-1.5667)/-0.0085,0.5),"")</f>
        <v/>
      </c>
    </row>
    <row r="194">
      <c r="A194" s="8" t="inlineStr">
        <is>
          <t>热身校准</t>
        </is>
      </c>
      <c r="B194" s="8" t="inlineStr">
        <is>
          <t>LVP_a</t>
        </is>
      </c>
      <c r="C194" s="8" t="inlineStr">
        <is>
          <t>LVP_b</t>
        </is>
      </c>
      <c r="D194" s="8" t="inlineStr">
        <is>
          <t>50%热身kg</t>
        </is>
      </c>
      <c r="E194" s="8" t="inlineStr">
        <is>
          <t>70%热身kg</t>
        </is>
      </c>
      <c r="F194" s="8" t="inlineStr">
        <is>
          <t>热身负荷kg</t>
        </is>
      </c>
      <c r="G194" s="8" t="inlineStr">
        <is>
          <t>实测MCV</t>
        </is>
      </c>
      <c r="H194" s="8" t="inlineStr">
        <is>
          <t>预测MCV</t>
        </is>
      </c>
      <c r="I194" s="8" t="inlineStr">
        <is>
          <t>Δv</t>
        </is>
      </c>
      <c r="J194" s="8" t="inlineStr">
        <is>
          <t>调整量kg</t>
        </is>
      </c>
      <c r="K194" s="8" t="inlineStr">
        <is>
          <t>校准后第1组kg</t>
        </is>
      </c>
    </row>
    <row r="195">
      <c r="A195" s="11" t="inlineStr"/>
      <c r="B195" s="11" t="n">
        <v>1.5667</v>
      </c>
      <c r="C195" s="11" t="n">
        <v>-0.008500000000000001</v>
      </c>
      <c r="D195" s="10">
        <f>IFERROR(ROUND(T193*0.5,2.5),"")</f>
        <v/>
      </c>
      <c r="E195" s="10">
        <f>IFERROR(ROUND(T193*0.7,2.5),"")</f>
        <v/>
      </c>
      <c r="F195" s="10">
        <f>E195</f>
        <v/>
      </c>
      <c r="G195" s="9" t="n"/>
      <c r="H195" s="10">
        <f>IF(F195="","",B195+C195*F195)</f>
        <v/>
      </c>
      <c r="I195" s="10">
        <f>IF(OR(G195="",H195=""),"",G195-H195)</f>
        <v/>
      </c>
      <c r="J195" s="10">
        <f>IF(I195="","",IF(I195&gt;0.08,5,IF(I195&gt;0.04,2.5,IF(I195&gt;=-0.04,0,IF(I195&gt;=-0.08,-2.5,-5)))))</f>
        <v/>
      </c>
      <c r="K195" s="10">
        <f>IFERROR(ROUND(T193+J195,2.5),"")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8" t="inlineStr">
        <is>
          <t>组次</t>
        </is>
      </c>
      <c r="B196" s="8" t="inlineStr">
        <is>
          <t>负荷kg</t>
        </is>
      </c>
      <c r="C196" s="8" t="inlineStr">
        <is>
          <t>rep1</t>
        </is>
      </c>
      <c r="D196" s="8" t="inlineStr">
        <is>
          <t>rep2</t>
        </is>
      </c>
      <c r="E196" s="8" t="inlineStr">
        <is>
          <t>rep3</t>
        </is>
      </c>
      <c r="F196" s="8" t="inlineStr">
        <is>
          <t>rep4</t>
        </is>
      </c>
      <c r="G196" s="8" t="inlineStr">
        <is>
          <t>rep5</t>
        </is>
      </c>
      <c r="H196" s="8" t="inlineStr">
        <is>
          <t>rep6</t>
        </is>
      </c>
      <c r="I196" s="8" t="inlineStr">
        <is>
          <t>首rep</t>
        </is>
      </c>
      <c r="J196" s="8" t="inlineStr">
        <is>
          <t>最低速</t>
        </is>
      </c>
      <c r="K196" s="8" t="inlineStr">
        <is>
          <t>最低rep#</t>
        </is>
      </c>
      <c r="L196" s="8" t="inlineStr">
        <is>
          <t>VL%</t>
        </is>
      </c>
      <c r="M196" s="8" t="inlineStr">
        <is>
          <t>VL达标?</t>
        </is>
      </c>
      <c r="N196" s="8" t="inlineStr">
        <is>
          <t>安全停止?</t>
        </is>
      </c>
      <c r="O196" s="8" t="inlineStr">
        <is>
          <t>停组原因</t>
        </is>
      </c>
      <c r="P196" s="8" t="inlineStr">
        <is>
          <t>下组建议</t>
        </is>
      </c>
      <c r="Q196" s="8" t="inlineStr">
        <is>
          <t>实做次数</t>
        </is>
      </c>
    </row>
    <row r="197">
      <c r="A197" s="12" t="n">
        <v>1</v>
      </c>
      <c r="B197" s="10">
        <f>IF(K195="","",K195)</f>
        <v/>
      </c>
      <c r="C197" s="9" t="n"/>
      <c r="D197" s="9" t="n"/>
      <c r="E197" s="9" t="n"/>
      <c r="F197" s="9" t="n"/>
      <c r="G197" s="9" t="n"/>
      <c r="H197" s="9" t="n"/>
      <c r="I197" s="10">
        <f>IFERROR(INDEX(C197:H197,MATCH(TRUE,INDEX(C197:H197&lt;&gt;"",0),0)),"")</f>
        <v/>
      </c>
      <c r="J197" s="10">
        <f>IFERROR(MIN(IF(C197:H197&lt;&gt;"",C197:H197)),"")</f>
        <v/>
      </c>
      <c r="K197" s="10">
        <f>IFERROR(MATCH(I197,C197:H197,0),"")</f>
        <v/>
      </c>
      <c r="L197" s="10">
        <f>IF(OR(I197="",J197=""),"",ROUND((I197-J197)/I197*100,1))</f>
        <v/>
      </c>
      <c r="M197" s="10">
        <f>IF(L197="","",IF(L197&gt;=25,"是","否"))</f>
        <v/>
      </c>
      <c r="N197" s="10">
        <f>IF(J197="","",IF(J197&lt;0.15,"是","否"))</f>
        <v/>
      </c>
      <c r="O197" s="10">
        <f>IF(I197="","",IF(J197&lt;0.15,"SAFETY_STOP",IF(L197&gt;=25,"VL_THRESHOLD","PLANNED_END")))</f>
        <v/>
      </c>
      <c r="P197" s="10">
        <f>IF(I197="","",IF(I197&gt;($D$2+0.05),"+5kg",IF(I197&gt;($D$2+0.02),"+2.5kg",IF(I197&gt;=($D$2-0.05),"保持",IF(I197&gt;=($D$2-0.08),"-2.5kg","-5kg")))))</f>
        <v/>
      </c>
      <c r="Q197" s="9" t="n"/>
      <c r="R197" s="12" t="n"/>
      <c r="S197" s="12" t="n"/>
      <c r="T197" s="12" t="n"/>
    </row>
    <row r="198">
      <c r="A198" s="12" t="n">
        <v>2</v>
      </c>
      <c r="B198" s="9" t="n"/>
      <c r="C198" s="9" t="n"/>
      <c r="D198" s="9" t="n"/>
      <c r="E198" s="9" t="n"/>
      <c r="F198" s="9" t="n"/>
      <c r="G198" s="9" t="n"/>
      <c r="H198" s="9" t="n"/>
      <c r="I198" s="10">
        <f>IFERROR(INDEX(C198:H198,MATCH(TRUE,INDEX(C198:H198&lt;&gt;"",0),0)),"")</f>
        <v/>
      </c>
      <c r="J198" s="10">
        <f>IFERROR(MIN(IF(C198:H198&lt;&gt;"",C198:H198)),"")</f>
        <v/>
      </c>
      <c r="K198" s="10">
        <f>IFERROR(MATCH(I198,C198:H198,0),"")</f>
        <v/>
      </c>
      <c r="L198" s="10">
        <f>IF(OR(I198="",J198=""),"",ROUND((I198-J198)/I198*100,1))</f>
        <v/>
      </c>
      <c r="M198" s="10">
        <f>IF(L198="","",IF(L198&gt;=25,"是","否"))</f>
        <v/>
      </c>
      <c r="N198" s="10">
        <f>IF(J198="","",IF(J198&lt;0.15,"是","否"))</f>
        <v/>
      </c>
      <c r="O198" s="10">
        <f>IF(I198="","",IF(J198&lt;0.15,"SAFETY_STOP",IF(L198&gt;=25,"VL_THRESHOLD","PLANNED_END")))</f>
        <v/>
      </c>
      <c r="P198" s="10">
        <f>IF(I198="","",IF(I198&gt;($D$2+0.05),"+5kg",IF(I198&gt;($D$2+0.02),"+2.5kg",IF(I198&gt;=($D$2-0.05),"保持",IF(I198&gt;=($D$2-0.08),"-2.5kg","-5kg")))))</f>
        <v/>
      </c>
      <c r="Q198" s="9" t="n"/>
      <c r="R198" s="12" t="n"/>
      <c r="S198" s="12" t="n"/>
      <c r="T198" s="12" t="n"/>
    </row>
    <row r="199">
      <c r="A199" s="12" t="n">
        <v>3</v>
      </c>
      <c r="B199" s="9" t="n"/>
      <c r="C199" s="9" t="n"/>
      <c r="D199" s="9" t="n"/>
      <c r="E199" s="9" t="n"/>
      <c r="F199" s="9" t="n"/>
      <c r="G199" s="9" t="n"/>
      <c r="H199" s="9" t="n"/>
      <c r="I199" s="10">
        <f>IFERROR(INDEX(C199:H199,MATCH(TRUE,INDEX(C199:H199&lt;&gt;"",0),0)),"")</f>
        <v/>
      </c>
      <c r="J199" s="10">
        <f>IFERROR(MIN(IF(C199:H199&lt;&gt;"",C199:H199)),"")</f>
        <v/>
      </c>
      <c r="K199" s="10">
        <f>IFERROR(MATCH(I199,C199:H199,0),"")</f>
        <v/>
      </c>
      <c r="L199" s="10">
        <f>IF(OR(I199="",J199=""),"",ROUND((I199-J199)/I199*100,1))</f>
        <v/>
      </c>
      <c r="M199" s="10">
        <f>IF(L199="","",IF(L199&gt;=25,"是","否"))</f>
        <v/>
      </c>
      <c r="N199" s="10">
        <f>IF(J199="","",IF(J199&lt;0.15,"是","否"))</f>
        <v/>
      </c>
      <c r="O199" s="10">
        <f>IF(I199="","",IF(J199&lt;0.15,"SAFETY_STOP",IF(L199&gt;=25,"VL_THRESHOLD","PLANNED_END")))</f>
        <v/>
      </c>
      <c r="P199" s="10">
        <f>IF(I199="","",IF(I199&gt;($D$2+0.05),"+5kg",IF(I199&gt;($D$2+0.02),"+2.5kg",IF(I199&gt;=($D$2-0.05),"保持",IF(I199&gt;=($D$2-0.08),"-2.5kg","-5kg")))))</f>
        <v/>
      </c>
      <c r="Q199" s="9" t="n"/>
      <c r="R199" s="12" t="n"/>
      <c r="S199" s="12" t="n"/>
      <c r="T199" s="12" t="n"/>
    </row>
    <row r="200">
      <c r="A200" s="12" t="n">
        <v>4</v>
      </c>
      <c r="B200" s="9" t="n"/>
      <c r="C200" s="9" t="n"/>
      <c r="D200" s="9" t="n"/>
      <c r="E200" s="9" t="n"/>
      <c r="F200" s="9" t="n"/>
      <c r="G200" s="9" t="n"/>
      <c r="H200" s="9" t="n"/>
      <c r="I200" s="10">
        <f>IFERROR(INDEX(C200:H200,MATCH(TRUE,INDEX(C200:H200&lt;&gt;"",0),0)),"")</f>
        <v/>
      </c>
      <c r="J200" s="10">
        <f>IFERROR(MIN(IF(C200:H200&lt;&gt;"",C200:H200)),"")</f>
        <v/>
      </c>
      <c r="K200" s="10">
        <f>IFERROR(MATCH(I200,C200:H200,0),"")</f>
        <v/>
      </c>
      <c r="L200" s="10">
        <f>IF(OR(I200="",J200=""),"",ROUND((I200-J200)/I200*100,1))</f>
        <v/>
      </c>
      <c r="M200" s="10">
        <f>IF(L200="","",IF(L200&gt;=25,"是","否"))</f>
        <v/>
      </c>
      <c r="N200" s="10">
        <f>IF(J200="","",IF(J200&lt;0.15,"是","否"))</f>
        <v/>
      </c>
      <c r="O200" s="10">
        <f>IF(I200="","",IF(J200&lt;0.15,"SAFETY_STOP",IF(L200&gt;=25,"VL_THRESHOLD","PLANNED_END")))</f>
        <v/>
      </c>
      <c r="P200" s="10">
        <f>IF(I200="","",IF(I200&gt;($D$2+0.05),"+5kg",IF(I200&gt;($D$2+0.02),"+2.5kg",IF(I200&gt;=($D$2-0.05),"保持",IF(I200&gt;=($D$2-0.08),"-2.5kg","-5kg")))))</f>
        <v/>
      </c>
      <c r="Q200" s="9" t="n"/>
      <c r="R200" s="12" t="n"/>
      <c r="S200" s="12" t="n"/>
      <c r="T200" s="12" t="n"/>
    </row>
    <row r="201">
      <c r="A201" s="12" t="n">
        <v>5</v>
      </c>
      <c r="B201" s="9" t="n"/>
      <c r="C201" s="9" t="n"/>
      <c r="D201" s="9" t="n"/>
      <c r="E201" s="9" t="n"/>
      <c r="F201" s="9" t="n"/>
      <c r="G201" s="9" t="n"/>
      <c r="H201" s="9" t="n"/>
      <c r="I201" s="10">
        <f>IFERROR(INDEX(C201:H201,MATCH(TRUE,INDEX(C201:H201&lt;&gt;"",0),0)),"")</f>
        <v/>
      </c>
      <c r="J201" s="10">
        <f>IFERROR(MIN(IF(C201:H201&lt;&gt;"",C201:H201)),"")</f>
        <v/>
      </c>
      <c r="K201" s="10">
        <f>IFERROR(MATCH(I201,C201:H201,0),"")</f>
        <v/>
      </c>
      <c r="L201" s="10">
        <f>IF(OR(I201="",J201=""),"",ROUND((I201-J201)/I201*100,1))</f>
        <v/>
      </c>
      <c r="M201" s="10">
        <f>IF(L201="","",IF(L201&gt;=25,"是","否"))</f>
        <v/>
      </c>
      <c r="N201" s="10">
        <f>IF(J201="","",IF(J201&lt;0.15,"是","否"))</f>
        <v/>
      </c>
      <c r="O201" s="10">
        <f>IF(I201="","",IF(J201&lt;0.15,"SAFETY_STOP",IF(L201&gt;=25,"VL_THRESHOLD","PLANNED_END")))</f>
        <v/>
      </c>
      <c r="P201" s="10">
        <f>IF(I201="","",IF(I201&gt;($D$2+0.05),"+5kg",IF(I201&gt;($D$2+0.02),"+2.5kg",IF(I201&gt;=($D$2-0.05),"保持",IF(I201&gt;=($D$2-0.08),"-2.5kg","-5kg")))))</f>
        <v/>
      </c>
      <c r="Q201" s="9" t="n"/>
      <c r="R201" s="12" t="n"/>
      <c r="S201" s="12" t="n"/>
      <c r="T201" s="12" t="n"/>
    </row>
    <row r="202">
      <c r="A202" s="12" t="n">
        <v>6</v>
      </c>
      <c r="B202" s="9" t="n"/>
      <c r="C202" s="9" t="n"/>
      <c r="D202" s="9" t="n"/>
      <c r="E202" s="9" t="n"/>
      <c r="F202" s="9" t="n"/>
      <c r="G202" s="9" t="n"/>
      <c r="H202" s="9" t="n"/>
      <c r="I202" s="10">
        <f>IFERROR(INDEX(C202:H202,MATCH(TRUE,INDEX(C202:H202&lt;&gt;"",0),0)),"")</f>
        <v/>
      </c>
      <c r="J202" s="10">
        <f>IFERROR(MIN(IF(C202:H202&lt;&gt;"",C202:H202)),"")</f>
        <v/>
      </c>
      <c r="K202" s="10">
        <f>IFERROR(MATCH(I202,C202:H202,0),"")</f>
        <v/>
      </c>
      <c r="L202" s="10">
        <f>IF(OR(I202="",J202=""),"",ROUND((I202-J202)/I202*100,1))</f>
        <v/>
      </c>
      <c r="M202" s="10">
        <f>IF(L202="","",IF(L202&gt;=25,"是","否"))</f>
        <v/>
      </c>
      <c r="N202" s="10">
        <f>IF(J202="","",IF(J202&lt;0.15,"是","否"))</f>
        <v/>
      </c>
      <c r="O202" s="10">
        <f>IF(I202="","",IF(J202&lt;0.15,"SAFETY_STOP",IF(L202&gt;=25,"VL_THRESHOLD","PLANNED_END")))</f>
        <v/>
      </c>
      <c r="P202" s="10">
        <f>IF(I202="","",IF(I202&gt;($D$2+0.05),"+5kg",IF(I202&gt;($D$2+0.02),"+2.5kg",IF(I202&gt;=($D$2-0.05),"保持",IF(I202&gt;=($D$2-0.08),"-2.5kg","-5kg")))))</f>
        <v/>
      </c>
      <c r="Q202" s="9" t="n"/>
      <c r="R202" s="12" t="n"/>
      <c r="S202" s="12" t="n"/>
      <c r="T202" s="12" t="n"/>
    </row>
    <row r="203">
      <c r="A203" s="8" t="inlineStr">
        <is>
          <t>辅助动作</t>
        </is>
      </c>
      <c r="B203" s="8" t="inlineStr">
        <is>
          <t>动作名称</t>
        </is>
      </c>
      <c r="C203" s="8" t="inlineStr">
        <is>
          <t>负荷kg</t>
        </is>
      </c>
      <c r="D203" s="8" t="inlineStr">
        <is>
          <t>完成(组×次)</t>
        </is>
      </c>
    </row>
    <row r="204">
      <c r="A204" s="9" t="inlineStr"/>
      <c r="B204" s="9" t="n"/>
      <c r="C204" s="9" t="n"/>
      <c r="D204" s="9" t="n"/>
    </row>
    <row r="205">
      <c r="A205" s="8" t="inlineStr">
        <is>
          <t>训练后</t>
        </is>
      </c>
      <c r="B205" s="8" t="inlineStr">
        <is>
          <t>开始时间</t>
        </is>
      </c>
      <c r="C205" s="8" t="inlineStr">
        <is>
          <t>结束时间</t>
        </is>
      </c>
      <c r="D205" s="8" t="inlineStr">
        <is>
          <t>总时长min</t>
        </is>
      </c>
      <c r="E205" s="8" t="inlineStr">
        <is>
          <t>sRPE</t>
        </is>
      </c>
      <c r="F205" s="8" t="inlineStr">
        <is>
          <t>session_load</t>
        </is>
      </c>
      <c r="G205" s="8" t="inlineStr">
        <is>
          <t>有无不适</t>
        </is>
      </c>
      <c r="H205" s="8" t="inlineStr">
        <is>
          <t>备注</t>
        </is>
      </c>
      <c r="I205" s="8" t="inlineStr">
        <is>
          <t>研究员签名</t>
        </is>
      </c>
    </row>
    <row r="206">
      <c r="A206" s="13" t="inlineStr"/>
      <c r="B206" s="13" t="n"/>
      <c r="C206" s="13" t="n"/>
      <c r="D206" s="10">
        <f>IF(OR(B206="",C206=""),"",(C206-B206)*1440)</f>
        <v/>
      </c>
      <c r="E206" s="13" t="n"/>
      <c r="F206" s="10">
        <f>IF(OR(D206="",E206=""),"",D206*E206)</f>
        <v/>
      </c>
      <c r="G206" s="13" t="n"/>
      <c r="H206" s="13" t="n"/>
      <c r="I206" s="13" t="n"/>
    </row>
  </sheetData>
  <mergeCells count="13">
    <mergeCell ref="A1:T1"/>
    <mergeCell ref="A89:T89"/>
    <mergeCell ref="A4:T4"/>
    <mergeCell ref="A106:T106"/>
    <mergeCell ref="A21:T21"/>
    <mergeCell ref="A140:T140"/>
    <mergeCell ref="A55:T55"/>
    <mergeCell ref="A38:T38"/>
    <mergeCell ref="A157:T157"/>
    <mergeCell ref="A72:T72"/>
    <mergeCell ref="A174:T174"/>
    <mergeCell ref="A191:T191"/>
    <mergeCell ref="A123:T1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6" customWidth="1" min="15" max="15"/>
    <col width="12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>
      <c r="A1" s="1" t="inlineStr">
        <is>
          <t>研究二 AI组训练执行计算表 — W3_B（Day B）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目标MCV区间</t>
        </is>
      </c>
      <c r="B2" s="4" t="inlineStr">
        <is>
          <t>0.65-0.75</t>
        </is>
      </c>
      <c r="C2" s="3" t="inlineStr">
        <is>
          <t>目标MCV中点</t>
        </is>
      </c>
      <c r="D2" s="4" t="n">
        <v>0.7</v>
      </c>
      <c r="E2" s="3" t="inlineStr">
        <is>
          <t>VL阈值%</t>
        </is>
      </c>
      <c r="F2" s="4" t="n">
        <v>15</v>
      </c>
      <c r="G2" s="3" t="inlineStr">
        <is>
          <t>安全停止(m/s)</t>
        </is>
      </c>
      <c r="H2" s="4" t="n">
        <v>0.15</v>
      </c>
      <c r="I2" s="3" t="inlineStr">
        <is>
          <t>计划组数</t>
        </is>
      </c>
      <c r="J2" s="4" t="n">
        <v>5</v>
      </c>
      <c r="K2" s="3" t="inlineStr">
        <is>
          <t>每组次数</t>
        </is>
      </c>
      <c r="L2" s="4" t="inlineStr">
        <is>
          <t>3-4</t>
        </is>
      </c>
    </row>
    <row r="4">
      <c r="A4" s="5" t="inlineStr">
        <is>
          <t>── P007 陈鑫 ──────────────────────────────────────────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7" t="n"/>
    </row>
    <row r="5">
      <c r="A5" s="8" t="inlineStr">
        <is>
          <t>编号</t>
        </is>
      </c>
      <c r="B5" s="8" t="inlineStr">
        <is>
          <t>姓名</t>
        </is>
      </c>
      <c r="C5" s="8" t="inlineStr">
        <is>
          <t>身高</t>
        </is>
      </c>
      <c r="D5" s="8" t="inlineStr">
        <is>
          <t>1RM</t>
        </is>
      </c>
      <c r="E5" s="8" t="inlineStr">
        <is>
          <t>睡眠</t>
        </is>
      </c>
      <c r="F5" s="8" t="inlineStr">
        <is>
          <t>压力</t>
        </is>
      </c>
      <c r="G5" s="8" t="inlineStr">
        <is>
          <t>疲劳</t>
        </is>
      </c>
      <c r="H5" s="8" t="inlineStr">
        <is>
          <t>酸痛</t>
        </is>
      </c>
      <c r="I5" s="8" t="inlineStr">
        <is>
          <t>Hooper总</t>
        </is>
      </c>
      <c r="J5" s="8" t="inlineStr">
        <is>
          <t>CMJ1</t>
        </is>
      </c>
      <c r="K5" s="8" t="inlineStr">
        <is>
          <t>CMJ2</t>
        </is>
      </c>
      <c r="L5" s="8" t="inlineStr">
        <is>
          <t>CMJ3</t>
        </is>
      </c>
      <c r="M5" s="8" t="inlineStr">
        <is>
          <t>CMJ均值</t>
        </is>
      </c>
      <c r="N5" s="8" t="inlineStr">
        <is>
          <t>&lt;95%?</t>
        </is>
      </c>
      <c r="O5" s="8" t="inlineStr">
        <is>
          <t>减组?</t>
        </is>
      </c>
      <c r="P5" s="8" t="inlineStr">
        <is>
          <t>实做组数</t>
        </is>
      </c>
      <c r="Q5" s="8" t="inlineStr">
        <is>
          <t>LVP_a</t>
        </is>
      </c>
      <c r="R5" s="8" t="inlineStr">
        <is>
          <t>LVP_b</t>
        </is>
      </c>
      <c r="S5" s="8" t="inlineStr">
        <is>
          <t>等级</t>
        </is>
      </c>
      <c r="T5" s="8" t="inlineStr">
        <is>
          <t>预测起始</t>
        </is>
      </c>
    </row>
    <row r="6">
      <c r="A6" s="9" t="inlineStr">
        <is>
          <t>P007</t>
        </is>
      </c>
      <c r="B6" s="9" t="inlineStr">
        <is>
          <t>陈鑫</t>
        </is>
      </c>
      <c r="C6" s="9" t="n">
        <v>173</v>
      </c>
      <c r="D6" s="9" t="n">
        <v>110</v>
      </c>
      <c r="E6" s="9" t="n"/>
      <c r="F6" s="9" t="n"/>
      <c r="G6" s="9" t="n"/>
      <c r="H6" s="9" t="n"/>
      <c r="I6" s="10">
        <f>IFERROR(SUM(E6:H6),"")</f>
        <v/>
      </c>
      <c r="J6" s="9" t="n"/>
      <c r="K6" s="9" t="n"/>
      <c r="L6" s="9" t="n"/>
      <c r="M6" s="10">
        <f>IFERROR(AVERAGE(J6:L6),"")</f>
        <v/>
      </c>
      <c r="N6" s="10">
        <f>IF(M6="","",IF(M6&lt;63.01,"是⚠","否"))</f>
        <v/>
      </c>
      <c r="O6" s="10">
        <f>IF(M6="","",IF(M6&lt;63.01,"减1组","正常"))</f>
        <v/>
      </c>
      <c r="P6" s="10">
        <f>IF(M6="","",IF(M6&lt;63.01,5-1,5))</f>
        <v/>
      </c>
      <c r="Q6" s="9" t="n">
        <v>1.65</v>
      </c>
      <c r="R6" s="9" t="n">
        <v>-0.0125</v>
      </c>
      <c r="S6" s="9" t="inlineStr">
        <is>
          <t>A</t>
        </is>
      </c>
      <c r="T6" s="10">
        <f>IFERROR(ROUND((0.7-1.65)/-0.0125,0.5),"")</f>
        <v/>
      </c>
    </row>
    <row r="7">
      <c r="A7" s="8" t="inlineStr">
        <is>
          <t>热身校准</t>
        </is>
      </c>
      <c r="B7" s="8" t="inlineStr">
        <is>
          <t>LVP_a</t>
        </is>
      </c>
      <c r="C7" s="8" t="inlineStr">
        <is>
          <t>LVP_b</t>
        </is>
      </c>
      <c r="D7" s="8" t="inlineStr">
        <is>
          <t>50%热身kg</t>
        </is>
      </c>
      <c r="E7" s="8" t="inlineStr">
        <is>
          <t>70%热身kg</t>
        </is>
      </c>
      <c r="F7" s="8" t="inlineStr">
        <is>
          <t>热身负荷kg</t>
        </is>
      </c>
      <c r="G7" s="8" t="inlineStr">
        <is>
          <t>实测MCV</t>
        </is>
      </c>
      <c r="H7" s="8" t="inlineStr">
        <is>
          <t>预测MCV</t>
        </is>
      </c>
      <c r="I7" s="8" t="inlineStr">
        <is>
          <t>Δv</t>
        </is>
      </c>
      <c r="J7" s="8" t="inlineStr">
        <is>
          <t>调整量kg</t>
        </is>
      </c>
      <c r="K7" s="8" t="inlineStr">
        <is>
          <t>校准后第1组kg</t>
        </is>
      </c>
    </row>
    <row r="8">
      <c r="A8" s="11" t="inlineStr"/>
      <c r="B8" s="11" t="n">
        <v>1.65</v>
      </c>
      <c r="C8" s="11" t="n">
        <v>-0.0125</v>
      </c>
      <c r="D8" s="10">
        <f>IFERROR(ROUND(T6*0.5,2.5),"")</f>
        <v/>
      </c>
      <c r="E8" s="10">
        <f>IFERROR(ROUND(T6*0.7,2.5),"")</f>
        <v/>
      </c>
      <c r="F8" s="10">
        <f>D8</f>
        <v/>
      </c>
      <c r="G8" s="9" t="n"/>
      <c r="H8" s="10">
        <f>IF(F8="","",B8+C8*F8)</f>
        <v/>
      </c>
      <c r="I8" s="10">
        <f>IF(OR(G8="",H8=""),"",G8-H8)</f>
        <v/>
      </c>
      <c r="J8" s="10">
        <f>IF(I8="","",IF(I8&gt;0.08,5,IF(I8&gt;0.04,2.5,IF(I8&gt;=-0.04,0,IF(I8&gt;=-0.08,-2.5,-5)))))</f>
        <v/>
      </c>
      <c r="K8" s="10">
        <f>IFERROR(ROUND(T6+J8,2.5),"")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8" t="inlineStr">
        <is>
          <t>组次</t>
        </is>
      </c>
      <c r="B9" s="8" t="inlineStr">
        <is>
          <t>负荷kg</t>
        </is>
      </c>
      <c r="C9" s="8" t="inlineStr">
        <is>
          <t>rep1</t>
        </is>
      </c>
      <c r="D9" s="8" t="inlineStr">
        <is>
          <t>rep2</t>
        </is>
      </c>
      <c r="E9" s="8" t="inlineStr">
        <is>
          <t>rep3</t>
        </is>
      </c>
      <c r="F9" s="8" t="inlineStr">
        <is>
          <t>rep4</t>
        </is>
      </c>
      <c r="G9" s="8" t="inlineStr">
        <is>
          <t>rep5</t>
        </is>
      </c>
      <c r="H9" s="8" t="inlineStr">
        <is>
          <t>rep6</t>
        </is>
      </c>
      <c r="I9" s="8" t="inlineStr">
        <is>
          <t>首rep</t>
        </is>
      </c>
      <c r="J9" s="8" t="inlineStr">
        <is>
          <t>最低速</t>
        </is>
      </c>
      <c r="K9" s="8" t="inlineStr">
        <is>
          <t>最低rep#</t>
        </is>
      </c>
      <c r="L9" s="8" t="inlineStr">
        <is>
          <t>VL%</t>
        </is>
      </c>
      <c r="M9" s="8" t="inlineStr">
        <is>
          <t>VL达标?</t>
        </is>
      </c>
      <c r="N9" s="8" t="inlineStr">
        <is>
          <t>安全停止?</t>
        </is>
      </c>
      <c r="O9" s="8" t="inlineStr">
        <is>
          <t>停组原因</t>
        </is>
      </c>
      <c r="P9" s="8" t="inlineStr">
        <is>
          <t>下组建议</t>
        </is>
      </c>
      <c r="Q9" s="8" t="inlineStr">
        <is>
          <t>实做次数</t>
        </is>
      </c>
    </row>
    <row r="10">
      <c r="A10" s="12" t="n">
        <v>1</v>
      </c>
      <c r="B10" s="10">
        <f>IF(K8="","",K8)</f>
        <v/>
      </c>
      <c r="C10" s="9" t="n"/>
      <c r="D10" s="9" t="n"/>
      <c r="E10" s="9" t="n"/>
      <c r="F10" s="9" t="n"/>
      <c r="G10" s="9" t="n"/>
      <c r="H10" s="9" t="n"/>
      <c r="I10" s="10">
        <f>IFERROR(INDEX(C10:H10,MATCH(TRUE,INDEX(C10:H10&lt;&gt;"",0),0)),"")</f>
        <v/>
      </c>
      <c r="J10" s="10">
        <f>IFERROR(MIN(IF(C10:H10&lt;&gt;"",C10:H10)),"")</f>
        <v/>
      </c>
      <c r="K10" s="10">
        <f>IFERROR(MATCH(I10,C10:H10,0),"")</f>
        <v/>
      </c>
      <c r="L10" s="10">
        <f>IF(OR(I10="",J10=""),"",ROUND((I10-J10)/I10*100,1))</f>
        <v/>
      </c>
      <c r="M10" s="10">
        <f>IF(L10="","",IF(L10&gt;=15,"是","否"))</f>
        <v/>
      </c>
      <c r="N10" s="10">
        <f>IF(J10="","",IF(J10&lt;0.15,"是","否"))</f>
        <v/>
      </c>
      <c r="O10" s="10">
        <f>IF(I10="","",IF(J10&lt;0.15,"SAFETY_STOP",IF(L10&gt;=15,"VL_THRESHOLD","PLANNED_END")))</f>
        <v/>
      </c>
      <c r="P10" s="10">
        <f>IF(I10="","",IF(I10&gt;($D$2+0.05),"+5kg",IF(I10&gt;($D$2+0.02),"+2.5kg",IF(I10&gt;=($D$2-0.05),"保持",IF(I10&gt;=($D$2-0.08),"-2.5kg","-5kg")))))</f>
        <v/>
      </c>
      <c r="Q10" s="9" t="n"/>
      <c r="R10" s="12" t="n"/>
      <c r="S10" s="12" t="n"/>
      <c r="T10" s="12" t="n"/>
    </row>
    <row r="11">
      <c r="A11" s="12" t="n">
        <v>2</v>
      </c>
      <c r="B11" s="9" t="n"/>
      <c r="C11" s="9" t="n"/>
      <c r="D11" s="9" t="n"/>
      <c r="E11" s="9" t="n"/>
      <c r="F11" s="9" t="n"/>
      <c r="G11" s="9" t="n"/>
      <c r="H11" s="9" t="n"/>
      <c r="I11" s="10">
        <f>IFERROR(INDEX(C11:H11,MATCH(TRUE,INDEX(C11:H11&lt;&gt;"",0),0)),"")</f>
        <v/>
      </c>
      <c r="J11" s="10">
        <f>IFERROR(MIN(IF(C11:H11&lt;&gt;"",C11:H11)),"")</f>
        <v/>
      </c>
      <c r="K11" s="10">
        <f>IFERROR(MATCH(I11,C11:H11,0),"")</f>
        <v/>
      </c>
      <c r="L11" s="10">
        <f>IF(OR(I11="",J11=""),"",ROUND((I11-J11)/I11*100,1))</f>
        <v/>
      </c>
      <c r="M11" s="10">
        <f>IF(L11="","",IF(L11&gt;=15,"是","否"))</f>
        <v/>
      </c>
      <c r="N11" s="10">
        <f>IF(J11="","",IF(J11&lt;0.15,"是","否"))</f>
        <v/>
      </c>
      <c r="O11" s="10">
        <f>IF(I11="","",IF(J11&lt;0.15,"SAFETY_STOP",IF(L11&gt;=15,"VL_THRESHOLD","PLANNED_END")))</f>
        <v/>
      </c>
      <c r="P11" s="10">
        <f>IF(I11="","",IF(I11&gt;($D$2+0.05),"+5kg",IF(I11&gt;($D$2+0.02),"+2.5kg",IF(I11&gt;=($D$2-0.05),"保持",IF(I11&gt;=($D$2-0.08),"-2.5kg","-5kg")))))</f>
        <v/>
      </c>
      <c r="Q11" s="9" t="n"/>
      <c r="R11" s="12" t="n"/>
      <c r="S11" s="12" t="n"/>
      <c r="T11" s="12" t="n"/>
    </row>
    <row r="12">
      <c r="A12" s="12" t="n">
        <v>3</v>
      </c>
      <c r="B12" s="9" t="n"/>
      <c r="C12" s="9" t="n"/>
      <c r="D12" s="9" t="n"/>
      <c r="E12" s="9" t="n"/>
      <c r="F12" s="9" t="n"/>
      <c r="G12" s="9" t="n"/>
      <c r="H12" s="9" t="n"/>
      <c r="I12" s="10">
        <f>IFERROR(INDEX(C12:H12,MATCH(TRUE,INDEX(C12:H12&lt;&gt;"",0),0)),"")</f>
        <v/>
      </c>
      <c r="J12" s="10">
        <f>IFERROR(MIN(IF(C12:H12&lt;&gt;"",C12:H12)),"")</f>
        <v/>
      </c>
      <c r="K12" s="10">
        <f>IFERROR(MATCH(I12,C12:H12,0),"")</f>
        <v/>
      </c>
      <c r="L12" s="10">
        <f>IF(OR(I12="",J12=""),"",ROUND((I12-J12)/I12*100,1))</f>
        <v/>
      </c>
      <c r="M12" s="10">
        <f>IF(L12="","",IF(L12&gt;=15,"是","否"))</f>
        <v/>
      </c>
      <c r="N12" s="10">
        <f>IF(J12="","",IF(J12&lt;0.15,"是","否"))</f>
        <v/>
      </c>
      <c r="O12" s="10">
        <f>IF(I12="","",IF(J12&lt;0.15,"SAFETY_STOP",IF(L12&gt;=15,"VL_THRESHOLD","PLANNED_END")))</f>
        <v/>
      </c>
      <c r="P12" s="10">
        <f>IF(I12="","",IF(I12&gt;($D$2+0.05),"+5kg",IF(I12&gt;($D$2+0.02),"+2.5kg",IF(I12&gt;=($D$2-0.05),"保持",IF(I12&gt;=($D$2-0.08),"-2.5kg","-5kg")))))</f>
        <v/>
      </c>
      <c r="Q12" s="9" t="n"/>
      <c r="R12" s="12" t="n"/>
      <c r="S12" s="12" t="n"/>
      <c r="T12" s="12" t="n"/>
    </row>
    <row r="13">
      <c r="A13" s="12" t="n">
        <v>4</v>
      </c>
      <c r="B13" s="9" t="n"/>
      <c r="C13" s="9" t="n"/>
      <c r="D13" s="9" t="n"/>
      <c r="E13" s="9" t="n"/>
      <c r="F13" s="9" t="n"/>
      <c r="G13" s="9" t="n"/>
      <c r="H13" s="9" t="n"/>
      <c r="I13" s="10">
        <f>IFERROR(INDEX(C13:H13,MATCH(TRUE,INDEX(C13:H13&lt;&gt;"",0),0)),"")</f>
        <v/>
      </c>
      <c r="J13" s="10">
        <f>IFERROR(MIN(IF(C13:H13&lt;&gt;"",C13:H13)),"")</f>
        <v/>
      </c>
      <c r="K13" s="10">
        <f>IFERROR(MATCH(I13,C13:H13,0),"")</f>
        <v/>
      </c>
      <c r="L13" s="10">
        <f>IF(OR(I13="",J13=""),"",ROUND((I13-J13)/I13*100,1))</f>
        <v/>
      </c>
      <c r="M13" s="10">
        <f>IF(L13="","",IF(L13&gt;=15,"是","否"))</f>
        <v/>
      </c>
      <c r="N13" s="10">
        <f>IF(J13="","",IF(J13&lt;0.15,"是","否"))</f>
        <v/>
      </c>
      <c r="O13" s="10">
        <f>IF(I13="","",IF(J13&lt;0.15,"SAFETY_STOP",IF(L13&gt;=15,"VL_THRESHOLD","PLANNED_END")))</f>
        <v/>
      </c>
      <c r="P13" s="10">
        <f>IF(I13="","",IF(I13&gt;($D$2+0.05),"+5kg",IF(I13&gt;($D$2+0.02),"+2.5kg",IF(I13&gt;=($D$2-0.05),"保持",IF(I13&gt;=($D$2-0.08),"-2.5kg","-5kg")))))</f>
        <v/>
      </c>
      <c r="Q13" s="9" t="n"/>
      <c r="R13" s="12" t="n"/>
      <c r="S13" s="12" t="n"/>
      <c r="T13" s="12" t="n"/>
    </row>
    <row r="14">
      <c r="A14" s="12" t="n">
        <v>5</v>
      </c>
      <c r="B14" s="9" t="n"/>
      <c r="C14" s="9" t="n"/>
      <c r="D14" s="9" t="n"/>
      <c r="E14" s="9" t="n"/>
      <c r="F14" s="9" t="n"/>
      <c r="G14" s="9" t="n"/>
      <c r="H14" s="9" t="n"/>
      <c r="I14" s="10">
        <f>IFERROR(INDEX(C14:H14,MATCH(TRUE,INDEX(C14:H14&lt;&gt;"",0),0)),"")</f>
        <v/>
      </c>
      <c r="J14" s="10">
        <f>IFERROR(MIN(IF(C14:H14&lt;&gt;"",C14:H14)),"")</f>
        <v/>
      </c>
      <c r="K14" s="10">
        <f>IFERROR(MATCH(I14,C14:H14,0),"")</f>
        <v/>
      </c>
      <c r="L14" s="10">
        <f>IF(OR(I14="",J14=""),"",ROUND((I14-J14)/I14*100,1))</f>
        <v/>
      </c>
      <c r="M14" s="10">
        <f>IF(L14="","",IF(L14&gt;=15,"是","否"))</f>
        <v/>
      </c>
      <c r="N14" s="10">
        <f>IF(J14="","",IF(J14&lt;0.15,"是","否"))</f>
        <v/>
      </c>
      <c r="O14" s="10">
        <f>IF(I14="","",IF(J14&lt;0.15,"SAFETY_STOP",IF(L14&gt;=15,"VL_THRESHOLD","PLANNED_END")))</f>
        <v/>
      </c>
      <c r="P14" s="10">
        <f>IF(I14="","",IF(I14&gt;($D$2+0.05),"+5kg",IF(I14&gt;($D$2+0.02),"+2.5kg",IF(I14&gt;=($D$2-0.05),"保持",IF(I14&gt;=($D$2-0.08),"-2.5kg","-5kg")))))</f>
        <v/>
      </c>
      <c r="Q14" s="9" t="n"/>
      <c r="R14" s="12" t="n"/>
      <c r="S14" s="12" t="n"/>
      <c r="T14" s="12" t="n"/>
    </row>
    <row r="15">
      <c r="A15" s="12" t="n">
        <v>6</v>
      </c>
      <c r="B15" s="9" t="n"/>
      <c r="C15" s="9" t="n"/>
      <c r="D15" s="9" t="n"/>
      <c r="E15" s="9" t="n"/>
      <c r="F15" s="9" t="n"/>
      <c r="G15" s="9" t="n"/>
      <c r="H15" s="9" t="n"/>
      <c r="I15" s="10">
        <f>IFERROR(INDEX(C15:H15,MATCH(TRUE,INDEX(C15:H15&lt;&gt;"",0),0)),"")</f>
        <v/>
      </c>
      <c r="J15" s="10">
        <f>IFERROR(MIN(IF(C15:H15&lt;&gt;"",C15:H15)),"")</f>
        <v/>
      </c>
      <c r="K15" s="10">
        <f>IFERROR(MATCH(I15,C15:H15,0),"")</f>
        <v/>
      </c>
      <c r="L15" s="10">
        <f>IF(OR(I15="",J15=""),"",ROUND((I15-J15)/I15*100,1))</f>
        <v/>
      </c>
      <c r="M15" s="10">
        <f>IF(L15="","",IF(L15&gt;=15,"是","否"))</f>
        <v/>
      </c>
      <c r="N15" s="10">
        <f>IF(J15="","",IF(J15&lt;0.15,"是","否"))</f>
        <v/>
      </c>
      <c r="O15" s="10">
        <f>IF(I15="","",IF(J15&lt;0.15,"SAFETY_STOP",IF(L15&gt;=15,"VL_THRESHOLD","PLANNED_END")))</f>
        <v/>
      </c>
      <c r="P15" s="10">
        <f>IF(I15="","",IF(I15&gt;($D$2+0.05),"+5kg",IF(I15&gt;($D$2+0.02),"+2.5kg",IF(I15&gt;=($D$2-0.05),"保持",IF(I15&gt;=($D$2-0.08),"-2.5kg","-5kg")))))</f>
        <v/>
      </c>
      <c r="Q15" s="9" t="n"/>
      <c r="R15" s="12" t="n"/>
      <c r="S15" s="12" t="n"/>
      <c r="T15" s="12" t="n"/>
    </row>
    <row r="16">
      <c r="A16" s="8" t="inlineStr">
        <is>
          <t>辅助动作</t>
        </is>
      </c>
      <c r="B16" s="8" t="inlineStr">
        <is>
          <t>动作名称</t>
        </is>
      </c>
      <c r="C16" s="8" t="inlineStr">
        <is>
          <t>负荷kg</t>
        </is>
      </c>
      <c r="D16" s="8" t="inlineStr">
        <is>
          <t>完成(组×次)</t>
        </is>
      </c>
    </row>
    <row r="17">
      <c r="A17" s="9" t="inlineStr"/>
      <c r="B17" s="9" t="n"/>
      <c r="C17" s="9" t="n"/>
      <c r="D17" s="9" t="n"/>
    </row>
    <row r="18">
      <c r="A18" s="8" t="inlineStr">
        <is>
          <t>训练后</t>
        </is>
      </c>
      <c r="B18" s="8" t="inlineStr">
        <is>
          <t>开始时间</t>
        </is>
      </c>
      <c r="C18" s="8" t="inlineStr">
        <is>
          <t>结束时间</t>
        </is>
      </c>
      <c r="D18" s="8" t="inlineStr">
        <is>
          <t>总时长min</t>
        </is>
      </c>
      <c r="E18" s="8" t="inlineStr">
        <is>
          <t>sRPE</t>
        </is>
      </c>
      <c r="F18" s="8" t="inlineStr">
        <is>
          <t>session_load</t>
        </is>
      </c>
      <c r="G18" s="8" t="inlineStr">
        <is>
          <t>有无不适</t>
        </is>
      </c>
      <c r="H18" s="8" t="inlineStr">
        <is>
          <t>备注</t>
        </is>
      </c>
      <c r="I18" s="8" t="inlineStr">
        <is>
          <t>研究员签名</t>
        </is>
      </c>
    </row>
    <row r="19">
      <c r="A19" s="13" t="inlineStr"/>
      <c r="B19" s="13" t="n"/>
      <c r="C19" s="13" t="n"/>
      <c r="D19" s="10">
        <f>IF(OR(B19="",C19=""),"",(C19-B19)*1440)</f>
        <v/>
      </c>
      <c r="E19" s="13" t="n"/>
      <c r="F19" s="10">
        <f>IF(OR(D19="",E19=""),"",D19*E19)</f>
        <v/>
      </c>
      <c r="G19" s="13" t="n"/>
      <c r="H19" s="13" t="n"/>
      <c r="I19" s="13" t="n"/>
    </row>
    <row r="21">
      <c r="A21" s="5" t="inlineStr">
        <is>
          <t>── P005 曾庆华 ──────────────────────────────────────────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inlineStr">
        <is>
          <t>编号</t>
        </is>
      </c>
      <c r="B22" s="8" t="inlineStr">
        <is>
          <t>姓名</t>
        </is>
      </c>
      <c r="C22" s="8" t="inlineStr">
        <is>
          <t>身高</t>
        </is>
      </c>
      <c r="D22" s="8" t="inlineStr">
        <is>
          <t>1RM</t>
        </is>
      </c>
      <c r="E22" s="8" t="inlineStr">
        <is>
          <t>睡眠</t>
        </is>
      </c>
      <c r="F22" s="8" t="inlineStr">
        <is>
          <t>压力</t>
        </is>
      </c>
      <c r="G22" s="8" t="inlineStr">
        <is>
          <t>疲劳</t>
        </is>
      </c>
      <c r="H22" s="8" t="inlineStr">
        <is>
          <t>酸痛</t>
        </is>
      </c>
      <c r="I22" s="8" t="inlineStr">
        <is>
          <t>Hooper总</t>
        </is>
      </c>
      <c r="J22" s="8" t="inlineStr">
        <is>
          <t>CMJ1</t>
        </is>
      </c>
      <c r="K22" s="8" t="inlineStr">
        <is>
          <t>CMJ2</t>
        </is>
      </c>
      <c r="L22" s="8" t="inlineStr">
        <is>
          <t>CMJ3</t>
        </is>
      </c>
      <c r="M22" s="8" t="inlineStr">
        <is>
          <t>CMJ均值</t>
        </is>
      </c>
      <c r="N22" s="8" t="inlineStr">
        <is>
          <t>&lt;95%?</t>
        </is>
      </c>
      <c r="O22" s="8" t="inlineStr">
        <is>
          <t>减组?</t>
        </is>
      </c>
      <c r="P22" s="8" t="inlineStr">
        <is>
          <t>实做组数</t>
        </is>
      </c>
      <c r="Q22" s="8" t="inlineStr">
        <is>
          <t>LVP_a</t>
        </is>
      </c>
      <c r="R22" s="8" t="inlineStr">
        <is>
          <t>LVP_b</t>
        </is>
      </c>
      <c r="S22" s="8" t="inlineStr">
        <is>
          <t>等级</t>
        </is>
      </c>
      <c r="T22" s="8" t="inlineStr">
        <is>
          <t>预测起始</t>
        </is>
      </c>
    </row>
    <row r="23">
      <c r="A23" s="9" t="inlineStr">
        <is>
          <t>P005</t>
        </is>
      </c>
      <c r="B23" s="9" t="inlineStr">
        <is>
          <t>曾庆华</t>
        </is>
      </c>
      <c r="C23" s="9" t="n">
        <v>177</v>
      </c>
      <c r="D23" s="9" t="n">
        <v>155</v>
      </c>
      <c r="E23" s="9" t="n"/>
      <c r="F23" s="9" t="n"/>
      <c r="G23" s="9" t="n"/>
      <c r="H23" s="9" t="n"/>
      <c r="I23" s="10">
        <f>IFERROR(SUM(E23:H23),"")</f>
        <v/>
      </c>
      <c r="J23" s="9" t="n"/>
      <c r="K23" s="9" t="n"/>
      <c r="L23" s="9" t="n"/>
      <c r="M23" s="10">
        <f>IFERROR(AVERAGE(J23:L23),"")</f>
        <v/>
      </c>
      <c r="N23" s="10">
        <f>IF(M23="","",IF(M23&lt;57.57,"是⚠","否"))</f>
        <v/>
      </c>
      <c r="O23" s="10">
        <f>IF(M23="","",IF(M23&lt;57.57,"减1组","正常"))</f>
        <v/>
      </c>
      <c r="P23" s="10">
        <f>IF(M23="","",IF(M23&lt;57.57,5-1,5))</f>
        <v/>
      </c>
      <c r="Q23" s="9" t="n">
        <v>1.775</v>
      </c>
      <c r="R23" s="9" t="n">
        <v>-0.008750000000000001</v>
      </c>
      <c r="S23" s="9" t="inlineStr">
        <is>
          <t>B</t>
        </is>
      </c>
      <c r="T23" s="10">
        <f>IFERROR(ROUND((0.7-1.775)/-0.00875,0.5),"")</f>
        <v/>
      </c>
    </row>
    <row r="24">
      <c r="A24" s="8" t="inlineStr">
        <is>
          <t>热身校准</t>
        </is>
      </c>
      <c r="B24" s="8" t="inlineStr">
        <is>
          <t>LVP_a</t>
        </is>
      </c>
      <c r="C24" s="8" t="inlineStr">
        <is>
          <t>LVP_b</t>
        </is>
      </c>
      <c r="D24" s="8" t="inlineStr">
        <is>
          <t>50%热身kg</t>
        </is>
      </c>
      <c r="E24" s="8" t="inlineStr">
        <is>
          <t>70%热身kg</t>
        </is>
      </c>
      <c r="F24" s="8" t="inlineStr">
        <is>
          <t>热身负荷kg</t>
        </is>
      </c>
      <c r="G24" s="8" t="inlineStr">
        <is>
          <t>实测MCV</t>
        </is>
      </c>
      <c r="H24" s="8" t="inlineStr">
        <is>
          <t>预测MCV</t>
        </is>
      </c>
      <c r="I24" s="8" t="inlineStr">
        <is>
          <t>Δv</t>
        </is>
      </c>
      <c r="J24" s="8" t="inlineStr">
        <is>
          <t>调整量kg</t>
        </is>
      </c>
      <c r="K24" s="8" t="inlineStr">
        <is>
          <t>校准后第1组kg</t>
        </is>
      </c>
    </row>
    <row r="25">
      <c r="A25" s="11" t="inlineStr"/>
      <c r="B25" s="11" t="n">
        <v>1.775</v>
      </c>
      <c r="C25" s="11" t="n">
        <v>-0.008750000000000001</v>
      </c>
      <c r="D25" s="10">
        <f>IFERROR(ROUND(T23*0.5,2.5),"")</f>
        <v/>
      </c>
      <c r="E25" s="10">
        <f>IFERROR(ROUND(T23*0.7,2.5),"")</f>
        <v/>
      </c>
      <c r="F25" s="10">
        <f>D25</f>
        <v/>
      </c>
      <c r="G25" s="9" t="n"/>
      <c r="H25" s="10">
        <f>IF(F25="","",B25+C25*F25)</f>
        <v/>
      </c>
      <c r="I25" s="10">
        <f>IF(OR(G25="",H25=""),"",G25-H25)</f>
        <v/>
      </c>
      <c r="J25" s="10">
        <f>IF(I25="","",IF(I25&gt;0.08,5,IF(I25&gt;0.04,2.5,IF(I25&gt;=-0.04,0,IF(I25&gt;=-0.08,-2.5,-5)))))</f>
        <v/>
      </c>
      <c r="K25" s="10">
        <f>IFERROR(ROUND(T23+J25,2.5),"")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8" t="inlineStr">
        <is>
          <t>组次</t>
        </is>
      </c>
      <c r="B26" s="8" t="inlineStr">
        <is>
          <t>负荷kg</t>
        </is>
      </c>
      <c r="C26" s="8" t="inlineStr">
        <is>
          <t>rep1</t>
        </is>
      </c>
      <c r="D26" s="8" t="inlineStr">
        <is>
          <t>rep2</t>
        </is>
      </c>
      <c r="E26" s="8" t="inlineStr">
        <is>
          <t>rep3</t>
        </is>
      </c>
      <c r="F26" s="8" t="inlineStr">
        <is>
          <t>rep4</t>
        </is>
      </c>
      <c r="G26" s="8" t="inlineStr">
        <is>
          <t>rep5</t>
        </is>
      </c>
      <c r="H26" s="8" t="inlineStr">
        <is>
          <t>rep6</t>
        </is>
      </c>
      <c r="I26" s="8" t="inlineStr">
        <is>
          <t>首rep</t>
        </is>
      </c>
      <c r="J26" s="8" t="inlineStr">
        <is>
          <t>最低速</t>
        </is>
      </c>
      <c r="K26" s="8" t="inlineStr">
        <is>
          <t>最低rep#</t>
        </is>
      </c>
      <c r="L26" s="8" t="inlineStr">
        <is>
          <t>VL%</t>
        </is>
      </c>
      <c r="M26" s="8" t="inlineStr">
        <is>
          <t>VL达标?</t>
        </is>
      </c>
      <c r="N26" s="8" t="inlineStr">
        <is>
          <t>安全停止?</t>
        </is>
      </c>
      <c r="O26" s="8" t="inlineStr">
        <is>
          <t>停组原因</t>
        </is>
      </c>
      <c r="P26" s="8" t="inlineStr">
        <is>
          <t>下组建议</t>
        </is>
      </c>
      <c r="Q26" s="8" t="inlineStr">
        <is>
          <t>实做次数</t>
        </is>
      </c>
    </row>
    <row r="27">
      <c r="A27" s="12" t="n">
        <v>1</v>
      </c>
      <c r="B27" s="10">
        <f>IF(K25="","",K25)</f>
        <v/>
      </c>
      <c r="C27" s="9" t="n"/>
      <c r="D27" s="9" t="n"/>
      <c r="E27" s="9" t="n"/>
      <c r="F27" s="9" t="n"/>
      <c r="G27" s="9" t="n"/>
      <c r="H27" s="9" t="n"/>
      <c r="I27" s="10">
        <f>IFERROR(INDEX(C27:H27,MATCH(TRUE,INDEX(C27:H27&lt;&gt;"",0),0)),"")</f>
        <v/>
      </c>
      <c r="J27" s="10">
        <f>IFERROR(MIN(IF(C27:H27&lt;&gt;"",C27:H27)),"")</f>
        <v/>
      </c>
      <c r="K27" s="10">
        <f>IFERROR(MATCH(I27,C27:H27,0),"")</f>
        <v/>
      </c>
      <c r="L27" s="10">
        <f>IF(OR(I27="",J27=""),"",ROUND((I27-J27)/I27*100,1))</f>
        <v/>
      </c>
      <c r="M27" s="10">
        <f>IF(L27="","",IF(L27&gt;=15,"是","否"))</f>
        <v/>
      </c>
      <c r="N27" s="10">
        <f>IF(J27="","",IF(J27&lt;0.15,"是","否"))</f>
        <v/>
      </c>
      <c r="O27" s="10">
        <f>IF(I27="","",IF(J27&lt;0.15,"SAFETY_STOP",IF(L27&gt;=15,"VL_THRESHOLD","PLANNED_END")))</f>
        <v/>
      </c>
      <c r="P27" s="10">
        <f>IF(I27="","",IF(I27&gt;($D$2+0.05),"+5kg",IF(I27&gt;($D$2+0.02),"+2.5kg",IF(I27&gt;=($D$2-0.05),"保持",IF(I27&gt;=($D$2-0.08),"-2.5kg","-5kg")))))</f>
        <v/>
      </c>
      <c r="Q27" s="9" t="n"/>
      <c r="R27" s="12" t="n"/>
      <c r="S27" s="12" t="n"/>
      <c r="T27" s="12" t="n"/>
    </row>
    <row r="28">
      <c r="A28" s="12" t="n">
        <v>2</v>
      </c>
      <c r="B28" s="9" t="n"/>
      <c r="C28" s="9" t="n"/>
      <c r="D28" s="9" t="n"/>
      <c r="E28" s="9" t="n"/>
      <c r="F28" s="9" t="n"/>
      <c r="G28" s="9" t="n"/>
      <c r="H28" s="9" t="n"/>
      <c r="I28" s="10">
        <f>IFERROR(INDEX(C28:H28,MATCH(TRUE,INDEX(C28:H28&lt;&gt;"",0),0)),"")</f>
        <v/>
      </c>
      <c r="J28" s="10">
        <f>IFERROR(MIN(IF(C28:H28&lt;&gt;"",C28:H28)),"")</f>
        <v/>
      </c>
      <c r="K28" s="10">
        <f>IFERROR(MATCH(I28,C28:H28,0),"")</f>
        <v/>
      </c>
      <c r="L28" s="10">
        <f>IF(OR(I28="",J28=""),"",ROUND((I28-J28)/I28*100,1))</f>
        <v/>
      </c>
      <c r="M28" s="10">
        <f>IF(L28="","",IF(L28&gt;=15,"是","否"))</f>
        <v/>
      </c>
      <c r="N28" s="10">
        <f>IF(J28="","",IF(J28&lt;0.15,"是","否"))</f>
        <v/>
      </c>
      <c r="O28" s="10">
        <f>IF(I28="","",IF(J28&lt;0.15,"SAFETY_STOP",IF(L28&gt;=15,"VL_THRESHOLD","PLANNED_END")))</f>
        <v/>
      </c>
      <c r="P28" s="10">
        <f>IF(I28="","",IF(I28&gt;($D$2+0.05),"+5kg",IF(I28&gt;($D$2+0.02),"+2.5kg",IF(I28&gt;=($D$2-0.05),"保持",IF(I28&gt;=($D$2-0.08),"-2.5kg","-5kg")))))</f>
        <v/>
      </c>
      <c r="Q28" s="9" t="n"/>
      <c r="R28" s="12" t="n"/>
      <c r="S28" s="12" t="n"/>
      <c r="T28" s="12" t="n"/>
    </row>
    <row r="29">
      <c r="A29" s="12" t="n">
        <v>3</v>
      </c>
      <c r="B29" s="9" t="n"/>
      <c r="C29" s="9" t="n"/>
      <c r="D29" s="9" t="n"/>
      <c r="E29" s="9" t="n"/>
      <c r="F29" s="9" t="n"/>
      <c r="G29" s="9" t="n"/>
      <c r="H29" s="9" t="n"/>
      <c r="I29" s="10">
        <f>IFERROR(INDEX(C29:H29,MATCH(TRUE,INDEX(C29:H29&lt;&gt;"",0),0)),"")</f>
        <v/>
      </c>
      <c r="J29" s="10">
        <f>IFERROR(MIN(IF(C29:H29&lt;&gt;"",C29:H29)),"")</f>
        <v/>
      </c>
      <c r="K29" s="10">
        <f>IFERROR(MATCH(I29,C29:H29,0),"")</f>
        <v/>
      </c>
      <c r="L29" s="10">
        <f>IF(OR(I29="",J29=""),"",ROUND((I29-J29)/I29*100,1))</f>
        <v/>
      </c>
      <c r="M29" s="10">
        <f>IF(L29="","",IF(L29&gt;=15,"是","否"))</f>
        <v/>
      </c>
      <c r="N29" s="10">
        <f>IF(J29="","",IF(J29&lt;0.15,"是","否"))</f>
        <v/>
      </c>
      <c r="O29" s="10">
        <f>IF(I29="","",IF(J29&lt;0.15,"SAFETY_STOP",IF(L29&gt;=15,"VL_THRESHOLD","PLANNED_END")))</f>
        <v/>
      </c>
      <c r="P29" s="10">
        <f>IF(I29="","",IF(I29&gt;($D$2+0.05),"+5kg",IF(I29&gt;($D$2+0.02),"+2.5kg",IF(I29&gt;=($D$2-0.05),"保持",IF(I29&gt;=($D$2-0.08),"-2.5kg","-5kg")))))</f>
        <v/>
      </c>
      <c r="Q29" s="9" t="n"/>
      <c r="R29" s="12" t="n"/>
      <c r="S29" s="12" t="n"/>
      <c r="T29" s="12" t="n"/>
    </row>
    <row r="30">
      <c r="A30" s="12" t="n">
        <v>4</v>
      </c>
      <c r="B30" s="9" t="n"/>
      <c r="C30" s="9" t="n"/>
      <c r="D30" s="9" t="n"/>
      <c r="E30" s="9" t="n"/>
      <c r="F30" s="9" t="n"/>
      <c r="G30" s="9" t="n"/>
      <c r="H30" s="9" t="n"/>
      <c r="I30" s="10">
        <f>IFERROR(INDEX(C30:H30,MATCH(TRUE,INDEX(C30:H30&lt;&gt;"",0),0)),"")</f>
        <v/>
      </c>
      <c r="J30" s="10">
        <f>IFERROR(MIN(IF(C30:H30&lt;&gt;"",C30:H30)),"")</f>
        <v/>
      </c>
      <c r="K30" s="10">
        <f>IFERROR(MATCH(I30,C30:H30,0),"")</f>
        <v/>
      </c>
      <c r="L30" s="10">
        <f>IF(OR(I30="",J30=""),"",ROUND((I30-J30)/I30*100,1))</f>
        <v/>
      </c>
      <c r="M30" s="10">
        <f>IF(L30="","",IF(L30&gt;=15,"是","否"))</f>
        <v/>
      </c>
      <c r="N30" s="10">
        <f>IF(J30="","",IF(J30&lt;0.15,"是","否"))</f>
        <v/>
      </c>
      <c r="O30" s="10">
        <f>IF(I30="","",IF(J30&lt;0.15,"SAFETY_STOP",IF(L30&gt;=15,"VL_THRESHOLD","PLANNED_END")))</f>
        <v/>
      </c>
      <c r="P30" s="10">
        <f>IF(I30="","",IF(I30&gt;($D$2+0.05),"+5kg",IF(I30&gt;($D$2+0.02),"+2.5kg",IF(I30&gt;=($D$2-0.05),"保持",IF(I30&gt;=($D$2-0.08),"-2.5kg","-5kg")))))</f>
        <v/>
      </c>
      <c r="Q30" s="9" t="n"/>
      <c r="R30" s="12" t="n"/>
      <c r="S30" s="12" t="n"/>
      <c r="T30" s="12" t="n"/>
    </row>
    <row r="31">
      <c r="A31" s="12" t="n">
        <v>5</v>
      </c>
      <c r="B31" s="9" t="n"/>
      <c r="C31" s="9" t="n"/>
      <c r="D31" s="9" t="n"/>
      <c r="E31" s="9" t="n"/>
      <c r="F31" s="9" t="n"/>
      <c r="G31" s="9" t="n"/>
      <c r="H31" s="9" t="n"/>
      <c r="I31" s="10">
        <f>IFERROR(INDEX(C31:H31,MATCH(TRUE,INDEX(C31:H31&lt;&gt;"",0),0)),"")</f>
        <v/>
      </c>
      <c r="J31" s="10">
        <f>IFERROR(MIN(IF(C31:H31&lt;&gt;"",C31:H31)),"")</f>
        <v/>
      </c>
      <c r="K31" s="10">
        <f>IFERROR(MATCH(I31,C31:H31,0),"")</f>
        <v/>
      </c>
      <c r="L31" s="10">
        <f>IF(OR(I31="",J31=""),"",ROUND((I31-J31)/I31*100,1))</f>
        <v/>
      </c>
      <c r="M31" s="10">
        <f>IF(L31="","",IF(L31&gt;=15,"是","否"))</f>
        <v/>
      </c>
      <c r="N31" s="10">
        <f>IF(J31="","",IF(J31&lt;0.15,"是","否"))</f>
        <v/>
      </c>
      <c r="O31" s="10">
        <f>IF(I31="","",IF(J31&lt;0.15,"SAFETY_STOP",IF(L31&gt;=15,"VL_THRESHOLD","PLANNED_END")))</f>
        <v/>
      </c>
      <c r="P31" s="10">
        <f>IF(I31="","",IF(I31&gt;($D$2+0.05),"+5kg",IF(I31&gt;($D$2+0.02),"+2.5kg",IF(I31&gt;=($D$2-0.05),"保持",IF(I31&gt;=($D$2-0.08),"-2.5kg","-5kg")))))</f>
        <v/>
      </c>
      <c r="Q31" s="9" t="n"/>
      <c r="R31" s="12" t="n"/>
      <c r="S31" s="12" t="n"/>
      <c r="T31" s="12" t="n"/>
    </row>
    <row r="32">
      <c r="A32" s="12" t="n">
        <v>6</v>
      </c>
      <c r="B32" s="9" t="n"/>
      <c r="C32" s="9" t="n"/>
      <c r="D32" s="9" t="n"/>
      <c r="E32" s="9" t="n"/>
      <c r="F32" s="9" t="n"/>
      <c r="G32" s="9" t="n"/>
      <c r="H32" s="9" t="n"/>
      <c r="I32" s="10">
        <f>IFERROR(INDEX(C32:H32,MATCH(TRUE,INDEX(C32:H32&lt;&gt;"",0),0)),"")</f>
        <v/>
      </c>
      <c r="J32" s="10">
        <f>IFERROR(MIN(IF(C32:H32&lt;&gt;"",C32:H32)),"")</f>
        <v/>
      </c>
      <c r="K32" s="10">
        <f>IFERROR(MATCH(I32,C32:H32,0),"")</f>
        <v/>
      </c>
      <c r="L32" s="10">
        <f>IF(OR(I32="",J32=""),"",ROUND((I32-J32)/I32*100,1))</f>
        <v/>
      </c>
      <c r="M32" s="10">
        <f>IF(L32="","",IF(L32&gt;=15,"是","否"))</f>
        <v/>
      </c>
      <c r="N32" s="10">
        <f>IF(J32="","",IF(J32&lt;0.15,"是","否"))</f>
        <v/>
      </c>
      <c r="O32" s="10">
        <f>IF(I32="","",IF(J32&lt;0.15,"SAFETY_STOP",IF(L32&gt;=15,"VL_THRESHOLD","PLANNED_END")))</f>
        <v/>
      </c>
      <c r="P32" s="10">
        <f>IF(I32="","",IF(I32&gt;($D$2+0.05),"+5kg",IF(I32&gt;($D$2+0.02),"+2.5kg",IF(I32&gt;=($D$2-0.05),"保持",IF(I32&gt;=($D$2-0.08),"-2.5kg","-5kg")))))</f>
        <v/>
      </c>
      <c r="Q32" s="9" t="n"/>
      <c r="R32" s="12" t="n"/>
      <c r="S32" s="12" t="n"/>
      <c r="T32" s="12" t="n"/>
    </row>
    <row r="33">
      <c r="A33" s="8" t="inlineStr">
        <is>
          <t>辅助动作</t>
        </is>
      </c>
      <c r="B33" s="8" t="inlineStr">
        <is>
          <t>动作名称</t>
        </is>
      </c>
      <c r="C33" s="8" t="inlineStr">
        <is>
          <t>负荷kg</t>
        </is>
      </c>
      <c r="D33" s="8" t="inlineStr">
        <is>
          <t>完成(组×次)</t>
        </is>
      </c>
    </row>
    <row r="34">
      <c r="A34" s="9" t="inlineStr"/>
      <c r="B34" s="9" t="n"/>
      <c r="C34" s="9" t="n"/>
      <c r="D34" s="9" t="n"/>
    </row>
    <row r="35">
      <c r="A35" s="8" t="inlineStr">
        <is>
          <t>训练后</t>
        </is>
      </c>
      <c r="B35" s="8" t="inlineStr">
        <is>
          <t>开始时间</t>
        </is>
      </c>
      <c r="C35" s="8" t="inlineStr">
        <is>
          <t>结束时间</t>
        </is>
      </c>
      <c r="D35" s="8" t="inlineStr">
        <is>
          <t>总时长min</t>
        </is>
      </c>
      <c r="E35" s="8" t="inlineStr">
        <is>
          <t>sRPE</t>
        </is>
      </c>
      <c r="F35" s="8" t="inlineStr">
        <is>
          <t>session_load</t>
        </is>
      </c>
      <c r="G35" s="8" t="inlineStr">
        <is>
          <t>有无不适</t>
        </is>
      </c>
      <c r="H35" s="8" t="inlineStr">
        <is>
          <t>备注</t>
        </is>
      </c>
      <c r="I35" s="8" t="inlineStr">
        <is>
          <t>研究员签名</t>
        </is>
      </c>
    </row>
    <row r="36">
      <c r="A36" s="13" t="inlineStr"/>
      <c r="B36" s="13" t="n"/>
      <c r="C36" s="13" t="n"/>
      <c r="D36" s="10">
        <f>IF(OR(B36="",C36=""),"",(C36-B36)*1440)</f>
        <v/>
      </c>
      <c r="E36" s="13" t="n"/>
      <c r="F36" s="10">
        <f>IF(OR(D36="",E36=""),"",D36*E36)</f>
        <v/>
      </c>
      <c r="G36" s="13" t="n"/>
      <c r="H36" s="13" t="n"/>
      <c r="I36" s="13" t="n"/>
    </row>
    <row r="38">
      <c r="A38" s="5" t="inlineStr">
        <is>
          <t>── P002 何天元 ──────────────────────────────────────────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</row>
    <row r="39">
      <c r="A39" s="8" t="inlineStr">
        <is>
          <t>编号</t>
        </is>
      </c>
      <c r="B39" s="8" t="inlineStr">
        <is>
          <t>姓名</t>
        </is>
      </c>
      <c r="C39" s="8" t="inlineStr">
        <is>
          <t>身高</t>
        </is>
      </c>
      <c r="D39" s="8" t="inlineStr">
        <is>
          <t>1RM</t>
        </is>
      </c>
      <c r="E39" s="8" t="inlineStr">
        <is>
          <t>睡眠</t>
        </is>
      </c>
      <c r="F39" s="8" t="inlineStr">
        <is>
          <t>压力</t>
        </is>
      </c>
      <c r="G39" s="8" t="inlineStr">
        <is>
          <t>疲劳</t>
        </is>
      </c>
      <c r="H39" s="8" t="inlineStr">
        <is>
          <t>酸痛</t>
        </is>
      </c>
      <c r="I39" s="8" t="inlineStr">
        <is>
          <t>Hooper总</t>
        </is>
      </c>
      <c r="J39" s="8" t="inlineStr">
        <is>
          <t>CMJ1</t>
        </is>
      </c>
      <c r="K39" s="8" t="inlineStr">
        <is>
          <t>CMJ2</t>
        </is>
      </c>
      <c r="L39" s="8" t="inlineStr">
        <is>
          <t>CMJ3</t>
        </is>
      </c>
      <c r="M39" s="8" t="inlineStr">
        <is>
          <t>CMJ均值</t>
        </is>
      </c>
      <c r="N39" s="8" t="inlineStr">
        <is>
          <t>&lt;95%?</t>
        </is>
      </c>
      <c r="O39" s="8" t="inlineStr">
        <is>
          <t>减组?</t>
        </is>
      </c>
      <c r="P39" s="8" t="inlineStr">
        <is>
          <t>实做组数</t>
        </is>
      </c>
      <c r="Q39" s="8" t="inlineStr">
        <is>
          <t>LVP_a</t>
        </is>
      </c>
      <c r="R39" s="8" t="inlineStr">
        <is>
          <t>LVP_b</t>
        </is>
      </c>
      <c r="S39" s="8" t="inlineStr">
        <is>
          <t>等级</t>
        </is>
      </c>
      <c r="T39" s="8" t="inlineStr">
        <is>
          <t>预测起始</t>
        </is>
      </c>
    </row>
    <row r="40">
      <c r="A40" s="9" t="inlineStr">
        <is>
          <t>P002</t>
        </is>
      </c>
      <c r="B40" s="9" t="inlineStr">
        <is>
          <t>何天元</t>
        </is>
      </c>
      <c r="C40" s="9" t="n">
        <v>178</v>
      </c>
      <c r="D40" s="9" t="n">
        <v>150</v>
      </c>
      <c r="E40" s="9" t="n"/>
      <c r="F40" s="9" t="n"/>
      <c r="G40" s="9" t="n"/>
      <c r="H40" s="9" t="n"/>
      <c r="I40" s="10">
        <f>IFERROR(SUM(E40:H40),"")</f>
        <v/>
      </c>
      <c r="J40" s="9" t="n"/>
      <c r="K40" s="9" t="n"/>
      <c r="L40" s="9" t="n"/>
      <c r="M40" s="10">
        <f>IFERROR(AVERAGE(J40:L40),"")</f>
        <v/>
      </c>
      <c r="N40" s="10">
        <f>IF(M40="","",IF(M40&lt;60.54,"是⚠","否"))</f>
        <v/>
      </c>
      <c r="O40" s="10">
        <f>IF(M40="","",IF(M40&lt;60.54,"减1组","正常"))</f>
        <v/>
      </c>
      <c r="P40" s="10">
        <f>IF(M40="","",IF(M40&lt;60.54,5-1,5))</f>
        <v/>
      </c>
      <c r="Q40" s="9" t="n">
        <v>1.291</v>
      </c>
      <c r="R40" s="9" t="n">
        <v>-0.0054</v>
      </c>
      <c r="S40" s="9" t="inlineStr">
        <is>
          <t>B</t>
        </is>
      </c>
      <c r="T40" s="10">
        <f>IFERROR(ROUND((0.7-1.291)/-0.0054,0.5),"")</f>
        <v/>
      </c>
    </row>
    <row r="41">
      <c r="A41" s="8" t="inlineStr">
        <is>
          <t>热身校准</t>
        </is>
      </c>
      <c r="B41" s="8" t="inlineStr">
        <is>
          <t>LVP_a</t>
        </is>
      </c>
      <c r="C41" s="8" t="inlineStr">
        <is>
          <t>LVP_b</t>
        </is>
      </c>
      <c r="D41" s="8" t="inlineStr">
        <is>
          <t>50%热身kg</t>
        </is>
      </c>
      <c r="E41" s="8" t="inlineStr">
        <is>
          <t>70%热身kg</t>
        </is>
      </c>
      <c r="F41" s="8" t="inlineStr">
        <is>
          <t>热身负荷kg</t>
        </is>
      </c>
      <c r="G41" s="8" t="inlineStr">
        <is>
          <t>实测MCV</t>
        </is>
      </c>
      <c r="H41" s="8" t="inlineStr">
        <is>
          <t>预测MCV</t>
        </is>
      </c>
      <c r="I41" s="8" t="inlineStr">
        <is>
          <t>Δv</t>
        </is>
      </c>
      <c r="J41" s="8" t="inlineStr">
        <is>
          <t>调整量kg</t>
        </is>
      </c>
      <c r="K41" s="8" t="inlineStr">
        <is>
          <t>校准后第1组kg</t>
        </is>
      </c>
    </row>
    <row r="42">
      <c r="A42" s="11" t="inlineStr"/>
      <c r="B42" s="11" t="n">
        <v>1.291</v>
      </c>
      <c r="C42" s="11" t="n">
        <v>-0.0054</v>
      </c>
      <c r="D42" s="10">
        <f>IFERROR(ROUND(T40*0.5,2.5),"")</f>
        <v/>
      </c>
      <c r="E42" s="10">
        <f>IFERROR(ROUND(T40*0.7,2.5),"")</f>
        <v/>
      </c>
      <c r="F42" s="10">
        <f>D42</f>
        <v/>
      </c>
      <c r="G42" s="9" t="n"/>
      <c r="H42" s="10">
        <f>IF(F42="","",B42+C42*F42)</f>
        <v/>
      </c>
      <c r="I42" s="10">
        <f>IF(OR(G42="",H42=""),"",G42-H42)</f>
        <v/>
      </c>
      <c r="J42" s="10">
        <f>IF(I42="","",IF(I42&gt;0.08,5,IF(I42&gt;0.04,2.5,IF(I42&gt;=-0.04,0,IF(I42&gt;=-0.08,-2.5,-5)))))</f>
        <v/>
      </c>
      <c r="K42" s="10">
        <f>IFERROR(ROUND(T40+J42,2.5),"")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8" t="inlineStr">
        <is>
          <t>组次</t>
        </is>
      </c>
      <c r="B43" s="8" t="inlineStr">
        <is>
          <t>负荷kg</t>
        </is>
      </c>
      <c r="C43" s="8" t="inlineStr">
        <is>
          <t>rep1</t>
        </is>
      </c>
      <c r="D43" s="8" t="inlineStr">
        <is>
          <t>rep2</t>
        </is>
      </c>
      <c r="E43" s="8" t="inlineStr">
        <is>
          <t>rep3</t>
        </is>
      </c>
      <c r="F43" s="8" t="inlineStr">
        <is>
          <t>rep4</t>
        </is>
      </c>
      <c r="G43" s="8" t="inlineStr">
        <is>
          <t>rep5</t>
        </is>
      </c>
      <c r="H43" s="8" t="inlineStr">
        <is>
          <t>rep6</t>
        </is>
      </c>
      <c r="I43" s="8" t="inlineStr">
        <is>
          <t>首rep</t>
        </is>
      </c>
      <c r="J43" s="8" t="inlineStr">
        <is>
          <t>最低速</t>
        </is>
      </c>
      <c r="K43" s="8" t="inlineStr">
        <is>
          <t>最低rep#</t>
        </is>
      </c>
      <c r="L43" s="8" t="inlineStr">
        <is>
          <t>VL%</t>
        </is>
      </c>
      <c r="M43" s="8" t="inlineStr">
        <is>
          <t>VL达标?</t>
        </is>
      </c>
      <c r="N43" s="8" t="inlineStr">
        <is>
          <t>安全停止?</t>
        </is>
      </c>
      <c r="O43" s="8" t="inlineStr">
        <is>
          <t>停组原因</t>
        </is>
      </c>
      <c r="P43" s="8" t="inlineStr">
        <is>
          <t>下组建议</t>
        </is>
      </c>
      <c r="Q43" s="8" t="inlineStr">
        <is>
          <t>实做次数</t>
        </is>
      </c>
    </row>
    <row r="44">
      <c r="A44" s="12" t="n">
        <v>1</v>
      </c>
      <c r="B44" s="10">
        <f>IF(K42="","",K42)</f>
        <v/>
      </c>
      <c r="C44" s="9" t="n"/>
      <c r="D44" s="9" t="n"/>
      <c r="E44" s="9" t="n"/>
      <c r="F44" s="9" t="n"/>
      <c r="G44" s="9" t="n"/>
      <c r="H44" s="9" t="n"/>
      <c r="I44" s="10">
        <f>IFERROR(INDEX(C44:H44,MATCH(TRUE,INDEX(C44:H44&lt;&gt;"",0),0)),"")</f>
        <v/>
      </c>
      <c r="J44" s="10">
        <f>IFERROR(MIN(IF(C44:H44&lt;&gt;"",C44:H44)),"")</f>
        <v/>
      </c>
      <c r="K44" s="10">
        <f>IFERROR(MATCH(I44,C44:H44,0),"")</f>
        <v/>
      </c>
      <c r="L44" s="10">
        <f>IF(OR(I44="",J44=""),"",ROUND((I44-J44)/I44*100,1))</f>
        <v/>
      </c>
      <c r="M44" s="10">
        <f>IF(L44="","",IF(L44&gt;=15,"是","否"))</f>
        <v/>
      </c>
      <c r="N44" s="10">
        <f>IF(J44="","",IF(J44&lt;0.15,"是","否"))</f>
        <v/>
      </c>
      <c r="O44" s="10">
        <f>IF(I44="","",IF(J44&lt;0.15,"SAFETY_STOP",IF(L44&gt;=15,"VL_THRESHOLD","PLANNED_END")))</f>
        <v/>
      </c>
      <c r="P44" s="10">
        <f>IF(I44="","",IF(I44&gt;($D$2+0.05),"+5kg",IF(I44&gt;($D$2+0.02),"+2.5kg",IF(I44&gt;=($D$2-0.05),"保持",IF(I44&gt;=($D$2-0.08),"-2.5kg","-5kg")))))</f>
        <v/>
      </c>
      <c r="Q44" s="9" t="n"/>
      <c r="R44" s="12" t="n"/>
      <c r="S44" s="12" t="n"/>
      <c r="T44" s="12" t="n"/>
    </row>
    <row r="45">
      <c r="A45" s="12" t="n">
        <v>2</v>
      </c>
      <c r="B45" s="9" t="n"/>
      <c r="C45" s="9" t="n"/>
      <c r="D45" s="9" t="n"/>
      <c r="E45" s="9" t="n"/>
      <c r="F45" s="9" t="n"/>
      <c r="G45" s="9" t="n"/>
      <c r="H45" s="9" t="n"/>
      <c r="I45" s="10">
        <f>IFERROR(INDEX(C45:H45,MATCH(TRUE,INDEX(C45:H45&lt;&gt;"",0),0)),"")</f>
        <v/>
      </c>
      <c r="J45" s="10">
        <f>IFERROR(MIN(IF(C45:H45&lt;&gt;"",C45:H45)),"")</f>
        <v/>
      </c>
      <c r="K45" s="10">
        <f>IFERROR(MATCH(I45,C45:H45,0),"")</f>
        <v/>
      </c>
      <c r="L45" s="10">
        <f>IF(OR(I45="",J45=""),"",ROUND((I45-J45)/I45*100,1))</f>
        <v/>
      </c>
      <c r="M45" s="10">
        <f>IF(L45="","",IF(L45&gt;=15,"是","否"))</f>
        <v/>
      </c>
      <c r="N45" s="10">
        <f>IF(J45="","",IF(J45&lt;0.15,"是","否"))</f>
        <v/>
      </c>
      <c r="O45" s="10">
        <f>IF(I45="","",IF(J45&lt;0.15,"SAFETY_STOP",IF(L45&gt;=15,"VL_THRESHOLD","PLANNED_END")))</f>
        <v/>
      </c>
      <c r="P45" s="10">
        <f>IF(I45="","",IF(I45&gt;($D$2+0.05),"+5kg",IF(I45&gt;($D$2+0.02),"+2.5kg",IF(I45&gt;=($D$2-0.05),"保持",IF(I45&gt;=($D$2-0.08),"-2.5kg","-5kg")))))</f>
        <v/>
      </c>
      <c r="Q45" s="9" t="n"/>
      <c r="R45" s="12" t="n"/>
      <c r="S45" s="12" t="n"/>
      <c r="T45" s="12" t="n"/>
    </row>
    <row r="46">
      <c r="A46" s="12" t="n">
        <v>3</v>
      </c>
      <c r="B46" s="9" t="n"/>
      <c r="C46" s="9" t="n"/>
      <c r="D46" s="9" t="n"/>
      <c r="E46" s="9" t="n"/>
      <c r="F46" s="9" t="n"/>
      <c r="G46" s="9" t="n"/>
      <c r="H46" s="9" t="n"/>
      <c r="I46" s="10">
        <f>IFERROR(INDEX(C46:H46,MATCH(TRUE,INDEX(C46:H46&lt;&gt;"",0),0)),"")</f>
        <v/>
      </c>
      <c r="J46" s="10">
        <f>IFERROR(MIN(IF(C46:H46&lt;&gt;"",C46:H46)),"")</f>
        <v/>
      </c>
      <c r="K46" s="10">
        <f>IFERROR(MATCH(I46,C46:H46,0),"")</f>
        <v/>
      </c>
      <c r="L46" s="10">
        <f>IF(OR(I46="",J46=""),"",ROUND((I46-J46)/I46*100,1))</f>
        <v/>
      </c>
      <c r="M46" s="10">
        <f>IF(L46="","",IF(L46&gt;=15,"是","否"))</f>
        <v/>
      </c>
      <c r="N46" s="10">
        <f>IF(J46="","",IF(J46&lt;0.15,"是","否"))</f>
        <v/>
      </c>
      <c r="O46" s="10">
        <f>IF(I46="","",IF(J46&lt;0.15,"SAFETY_STOP",IF(L46&gt;=15,"VL_THRESHOLD","PLANNED_END")))</f>
        <v/>
      </c>
      <c r="P46" s="10">
        <f>IF(I46="","",IF(I46&gt;($D$2+0.05),"+5kg",IF(I46&gt;($D$2+0.02),"+2.5kg",IF(I46&gt;=($D$2-0.05),"保持",IF(I46&gt;=($D$2-0.08),"-2.5kg","-5kg")))))</f>
        <v/>
      </c>
      <c r="Q46" s="9" t="n"/>
      <c r="R46" s="12" t="n"/>
      <c r="S46" s="12" t="n"/>
      <c r="T46" s="12" t="n"/>
    </row>
    <row r="47">
      <c r="A47" s="12" t="n">
        <v>4</v>
      </c>
      <c r="B47" s="9" t="n"/>
      <c r="C47" s="9" t="n"/>
      <c r="D47" s="9" t="n"/>
      <c r="E47" s="9" t="n"/>
      <c r="F47" s="9" t="n"/>
      <c r="G47" s="9" t="n"/>
      <c r="H47" s="9" t="n"/>
      <c r="I47" s="10">
        <f>IFERROR(INDEX(C47:H47,MATCH(TRUE,INDEX(C47:H47&lt;&gt;"",0),0)),"")</f>
        <v/>
      </c>
      <c r="J47" s="10">
        <f>IFERROR(MIN(IF(C47:H47&lt;&gt;"",C47:H47)),"")</f>
        <v/>
      </c>
      <c r="K47" s="10">
        <f>IFERROR(MATCH(I47,C47:H47,0),"")</f>
        <v/>
      </c>
      <c r="L47" s="10">
        <f>IF(OR(I47="",J47=""),"",ROUND((I47-J47)/I47*100,1))</f>
        <v/>
      </c>
      <c r="M47" s="10">
        <f>IF(L47="","",IF(L47&gt;=15,"是","否"))</f>
        <v/>
      </c>
      <c r="N47" s="10">
        <f>IF(J47="","",IF(J47&lt;0.15,"是","否"))</f>
        <v/>
      </c>
      <c r="O47" s="10">
        <f>IF(I47="","",IF(J47&lt;0.15,"SAFETY_STOP",IF(L47&gt;=15,"VL_THRESHOLD","PLANNED_END")))</f>
        <v/>
      </c>
      <c r="P47" s="10">
        <f>IF(I47="","",IF(I47&gt;($D$2+0.05),"+5kg",IF(I47&gt;($D$2+0.02),"+2.5kg",IF(I47&gt;=($D$2-0.05),"保持",IF(I47&gt;=($D$2-0.08),"-2.5kg","-5kg")))))</f>
        <v/>
      </c>
      <c r="Q47" s="9" t="n"/>
      <c r="R47" s="12" t="n"/>
      <c r="S47" s="12" t="n"/>
      <c r="T47" s="12" t="n"/>
    </row>
    <row r="48">
      <c r="A48" s="12" t="n">
        <v>5</v>
      </c>
      <c r="B48" s="9" t="n"/>
      <c r="C48" s="9" t="n"/>
      <c r="D48" s="9" t="n"/>
      <c r="E48" s="9" t="n"/>
      <c r="F48" s="9" t="n"/>
      <c r="G48" s="9" t="n"/>
      <c r="H48" s="9" t="n"/>
      <c r="I48" s="10">
        <f>IFERROR(INDEX(C48:H48,MATCH(TRUE,INDEX(C48:H48&lt;&gt;"",0),0)),"")</f>
        <v/>
      </c>
      <c r="J48" s="10">
        <f>IFERROR(MIN(IF(C48:H48&lt;&gt;"",C48:H48)),"")</f>
        <v/>
      </c>
      <c r="K48" s="10">
        <f>IFERROR(MATCH(I48,C48:H48,0),"")</f>
        <v/>
      </c>
      <c r="L48" s="10">
        <f>IF(OR(I48="",J48=""),"",ROUND((I48-J48)/I48*100,1))</f>
        <v/>
      </c>
      <c r="M48" s="10">
        <f>IF(L48="","",IF(L48&gt;=15,"是","否"))</f>
        <v/>
      </c>
      <c r="N48" s="10">
        <f>IF(J48="","",IF(J48&lt;0.15,"是","否"))</f>
        <v/>
      </c>
      <c r="O48" s="10">
        <f>IF(I48="","",IF(J48&lt;0.15,"SAFETY_STOP",IF(L48&gt;=15,"VL_THRESHOLD","PLANNED_END")))</f>
        <v/>
      </c>
      <c r="P48" s="10">
        <f>IF(I48="","",IF(I48&gt;($D$2+0.05),"+5kg",IF(I48&gt;($D$2+0.02),"+2.5kg",IF(I48&gt;=($D$2-0.05),"保持",IF(I48&gt;=($D$2-0.08),"-2.5kg","-5kg")))))</f>
        <v/>
      </c>
      <c r="Q48" s="9" t="n"/>
      <c r="R48" s="12" t="n"/>
      <c r="S48" s="12" t="n"/>
      <c r="T48" s="12" t="n"/>
    </row>
    <row r="49">
      <c r="A49" s="12" t="n">
        <v>6</v>
      </c>
      <c r="B49" s="9" t="n"/>
      <c r="C49" s="9" t="n"/>
      <c r="D49" s="9" t="n"/>
      <c r="E49" s="9" t="n"/>
      <c r="F49" s="9" t="n"/>
      <c r="G49" s="9" t="n"/>
      <c r="H49" s="9" t="n"/>
      <c r="I49" s="10">
        <f>IFERROR(INDEX(C49:H49,MATCH(TRUE,INDEX(C49:H49&lt;&gt;"",0),0)),"")</f>
        <v/>
      </c>
      <c r="J49" s="10">
        <f>IFERROR(MIN(IF(C49:H49&lt;&gt;"",C49:H49)),"")</f>
        <v/>
      </c>
      <c r="K49" s="10">
        <f>IFERROR(MATCH(I49,C49:H49,0),"")</f>
        <v/>
      </c>
      <c r="L49" s="10">
        <f>IF(OR(I49="",J49=""),"",ROUND((I49-J49)/I49*100,1))</f>
        <v/>
      </c>
      <c r="M49" s="10">
        <f>IF(L49="","",IF(L49&gt;=15,"是","否"))</f>
        <v/>
      </c>
      <c r="N49" s="10">
        <f>IF(J49="","",IF(J49&lt;0.15,"是","否"))</f>
        <v/>
      </c>
      <c r="O49" s="10">
        <f>IF(I49="","",IF(J49&lt;0.15,"SAFETY_STOP",IF(L49&gt;=15,"VL_THRESHOLD","PLANNED_END")))</f>
        <v/>
      </c>
      <c r="P49" s="10">
        <f>IF(I49="","",IF(I49&gt;($D$2+0.05),"+5kg",IF(I49&gt;($D$2+0.02),"+2.5kg",IF(I49&gt;=($D$2-0.05),"保持",IF(I49&gt;=($D$2-0.08),"-2.5kg","-5kg")))))</f>
        <v/>
      </c>
      <c r="Q49" s="9" t="n"/>
      <c r="R49" s="12" t="n"/>
      <c r="S49" s="12" t="n"/>
      <c r="T49" s="12" t="n"/>
    </row>
    <row r="50">
      <c r="A50" s="8" t="inlineStr">
        <is>
          <t>辅助动作</t>
        </is>
      </c>
      <c r="B50" s="8" t="inlineStr">
        <is>
          <t>动作名称</t>
        </is>
      </c>
      <c r="C50" s="8" t="inlineStr">
        <is>
          <t>负荷kg</t>
        </is>
      </c>
      <c r="D50" s="8" t="inlineStr">
        <is>
          <t>完成(组×次)</t>
        </is>
      </c>
    </row>
    <row r="51">
      <c r="A51" s="9" t="inlineStr"/>
      <c r="B51" s="9" t="n"/>
      <c r="C51" s="9" t="n"/>
      <c r="D51" s="9" t="n"/>
    </row>
    <row r="52">
      <c r="A52" s="8" t="inlineStr">
        <is>
          <t>训练后</t>
        </is>
      </c>
      <c r="B52" s="8" t="inlineStr">
        <is>
          <t>开始时间</t>
        </is>
      </c>
      <c r="C52" s="8" t="inlineStr">
        <is>
          <t>结束时间</t>
        </is>
      </c>
      <c r="D52" s="8" t="inlineStr">
        <is>
          <t>总时长min</t>
        </is>
      </c>
      <c r="E52" s="8" t="inlineStr">
        <is>
          <t>sRPE</t>
        </is>
      </c>
      <c r="F52" s="8" t="inlineStr">
        <is>
          <t>session_load</t>
        </is>
      </c>
      <c r="G52" s="8" t="inlineStr">
        <is>
          <t>有无不适</t>
        </is>
      </c>
      <c r="H52" s="8" t="inlineStr">
        <is>
          <t>备注</t>
        </is>
      </c>
      <c r="I52" s="8" t="inlineStr">
        <is>
          <t>研究员签名</t>
        </is>
      </c>
    </row>
    <row r="53">
      <c r="A53" s="13" t="inlineStr"/>
      <c r="B53" s="13" t="n"/>
      <c r="C53" s="13" t="n"/>
      <c r="D53" s="10">
        <f>IF(OR(B53="",C53=""),"",(C53-B53)*1440)</f>
        <v/>
      </c>
      <c r="E53" s="13" t="n"/>
      <c r="F53" s="10">
        <f>IF(OR(D53="",E53=""),"",D53*E53)</f>
        <v/>
      </c>
      <c r="G53" s="13" t="n"/>
      <c r="H53" s="13" t="n"/>
      <c r="I53" s="13" t="n"/>
    </row>
    <row r="55">
      <c r="A55" s="5" t="inlineStr">
        <is>
          <t>── P006 陈镕垚 ──────────────────────────────────────────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</row>
    <row r="56">
      <c r="A56" s="8" t="inlineStr">
        <is>
          <t>编号</t>
        </is>
      </c>
      <c r="B56" s="8" t="inlineStr">
        <is>
          <t>姓名</t>
        </is>
      </c>
      <c r="C56" s="8" t="inlineStr">
        <is>
          <t>身高</t>
        </is>
      </c>
      <c r="D56" s="8" t="inlineStr">
        <is>
          <t>1RM</t>
        </is>
      </c>
      <c r="E56" s="8" t="inlineStr">
        <is>
          <t>睡眠</t>
        </is>
      </c>
      <c r="F56" s="8" t="inlineStr">
        <is>
          <t>压力</t>
        </is>
      </c>
      <c r="G56" s="8" t="inlineStr">
        <is>
          <t>疲劳</t>
        </is>
      </c>
      <c r="H56" s="8" t="inlineStr">
        <is>
          <t>酸痛</t>
        </is>
      </c>
      <c r="I56" s="8" t="inlineStr">
        <is>
          <t>Hooper总</t>
        </is>
      </c>
      <c r="J56" s="8" t="inlineStr">
        <is>
          <t>CMJ1</t>
        </is>
      </c>
      <c r="K56" s="8" t="inlineStr">
        <is>
          <t>CMJ2</t>
        </is>
      </c>
      <c r="L56" s="8" t="inlineStr">
        <is>
          <t>CMJ3</t>
        </is>
      </c>
      <c r="M56" s="8" t="inlineStr">
        <is>
          <t>CMJ均值</t>
        </is>
      </c>
      <c r="N56" s="8" t="inlineStr">
        <is>
          <t>&lt;95%?</t>
        </is>
      </c>
      <c r="O56" s="8" t="inlineStr">
        <is>
          <t>减组?</t>
        </is>
      </c>
      <c r="P56" s="8" t="inlineStr">
        <is>
          <t>实做组数</t>
        </is>
      </c>
      <c r="Q56" s="8" t="inlineStr">
        <is>
          <t>LVP_a</t>
        </is>
      </c>
      <c r="R56" s="8" t="inlineStr">
        <is>
          <t>LVP_b</t>
        </is>
      </c>
      <c r="S56" s="8" t="inlineStr">
        <is>
          <t>等级</t>
        </is>
      </c>
      <c r="T56" s="8" t="inlineStr">
        <is>
          <t>预测起始</t>
        </is>
      </c>
    </row>
    <row r="57">
      <c r="A57" s="9" t="inlineStr">
        <is>
          <t>P006</t>
        </is>
      </c>
      <c r="B57" s="9" t="inlineStr">
        <is>
          <t>陈镕垚</t>
        </is>
      </c>
      <c r="C57" s="9" t="n">
        <v>181</v>
      </c>
      <c r="D57" s="9" t="n">
        <v>145</v>
      </c>
      <c r="E57" s="9" t="n"/>
      <c r="F57" s="9" t="n"/>
      <c r="G57" s="9" t="n"/>
      <c r="H57" s="9" t="n"/>
      <c r="I57" s="10">
        <f>IFERROR(SUM(E57:H57),"")</f>
        <v/>
      </c>
      <c r="J57" s="9" t="n"/>
      <c r="K57" s="9" t="n"/>
      <c r="L57" s="9" t="n"/>
      <c r="M57" s="10">
        <f>IFERROR(AVERAGE(J57:L57),"")</f>
        <v/>
      </c>
      <c r="N57" s="10">
        <f>IF(M57="","",IF(M57&lt;59.06,"是⚠","否"))</f>
        <v/>
      </c>
      <c r="O57" s="10">
        <f>IF(M57="","",IF(M57&lt;59.06,"减1组","正常"))</f>
        <v/>
      </c>
      <c r="P57" s="10">
        <f>IF(M57="","",IF(M57&lt;59.06,5-1,5))</f>
        <v/>
      </c>
      <c r="Q57" s="9" t="n">
        <v>1.45</v>
      </c>
      <c r="R57" s="9" t="n">
        <v>-0.00675</v>
      </c>
      <c r="S57" s="9" t="inlineStr">
        <is>
          <t>B</t>
        </is>
      </c>
      <c r="T57" s="10">
        <f>IFERROR(ROUND((0.7-1.45)/-0.00675,0.5),"")</f>
        <v/>
      </c>
    </row>
    <row r="58">
      <c r="A58" s="8" t="inlineStr">
        <is>
          <t>热身校准</t>
        </is>
      </c>
      <c r="B58" s="8" t="inlineStr">
        <is>
          <t>LVP_a</t>
        </is>
      </c>
      <c r="C58" s="8" t="inlineStr">
        <is>
          <t>LVP_b</t>
        </is>
      </c>
      <c r="D58" s="8" t="inlineStr">
        <is>
          <t>50%热身kg</t>
        </is>
      </c>
      <c r="E58" s="8" t="inlineStr">
        <is>
          <t>70%热身kg</t>
        </is>
      </c>
      <c r="F58" s="8" t="inlineStr">
        <is>
          <t>热身负荷kg</t>
        </is>
      </c>
      <c r="G58" s="8" t="inlineStr">
        <is>
          <t>实测MCV</t>
        </is>
      </c>
      <c r="H58" s="8" t="inlineStr">
        <is>
          <t>预测MCV</t>
        </is>
      </c>
      <c r="I58" s="8" t="inlineStr">
        <is>
          <t>Δv</t>
        </is>
      </c>
      <c r="J58" s="8" t="inlineStr">
        <is>
          <t>调整量kg</t>
        </is>
      </c>
      <c r="K58" s="8" t="inlineStr">
        <is>
          <t>校准后第1组kg</t>
        </is>
      </c>
    </row>
    <row r="59">
      <c r="A59" s="11" t="inlineStr"/>
      <c r="B59" s="11" t="n">
        <v>1.45</v>
      </c>
      <c r="C59" s="11" t="n">
        <v>-0.00675</v>
      </c>
      <c r="D59" s="10">
        <f>IFERROR(ROUND(T57*0.5,2.5),"")</f>
        <v/>
      </c>
      <c r="E59" s="10">
        <f>IFERROR(ROUND(T57*0.7,2.5),"")</f>
        <v/>
      </c>
      <c r="F59" s="10">
        <f>D59</f>
        <v/>
      </c>
      <c r="G59" s="9" t="n"/>
      <c r="H59" s="10">
        <f>IF(F59="","",B59+C59*F59)</f>
        <v/>
      </c>
      <c r="I59" s="10">
        <f>IF(OR(G59="",H59=""),"",G59-H59)</f>
        <v/>
      </c>
      <c r="J59" s="10">
        <f>IF(I59="","",IF(I59&gt;0.08,5,IF(I59&gt;0.04,2.5,IF(I59&gt;=-0.04,0,IF(I59&gt;=-0.08,-2.5,-5)))))</f>
        <v/>
      </c>
      <c r="K59" s="10">
        <f>IFERROR(ROUND(T57+J59,2.5),"")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8" t="inlineStr">
        <is>
          <t>组次</t>
        </is>
      </c>
      <c r="B60" s="8" t="inlineStr">
        <is>
          <t>负荷kg</t>
        </is>
      </c>
      <c r="C60" s="8" t="inlineStr">
        <is>
          <t>rep1</t>
        </is>
      </c>
      <c r="D60" s="8" t="inlineStr">
        <is>
          <t>rep2</t>
        </is>
      </c>
      <c r="E60" s="8" t="inlineStr">
        <is>
          <t>rep3</t>
        </is>
      </c>
      <c r="F60" s="8" t="inlineStr">
        <is>
          <t>rep4</t>
        </is>
      </c>
      <c r="G60" s="8" t="inlineStr">
        <is>
          <t>rep5</t>
        </is>
      </c>
      <c r="H60" s="8" t="inlineStr">
        <is>
          <t>rep6</t>
        </is>
      </c>
      <c r="I60" s="8" t="inlineStr">
        <is>
          <t>首rep</t>
        </is>
      </c>
      <c r="J60" s="8" t="inlineStr">
        <is>
          <t>最低速</t>
        </is>
      </c>
      <c r="K60" s="8" t="inlineStr">
        <is>
          <t>最低rep#</t>
        </is>
      </c>
      <c r="L60" s="8" t="inlineStr">
        <is>
          <t>VL%</t>
        </is>
      </c>
      <c r="M60" s="8" t="inlineStr">
        <is>
          <t>VL达标?</t>
        </is>
      </c>
      <c r="N60" s="8" t="inlineStr">
        <is>
          <t>安全停止?</t>
        </is>
      </c>
      <c r="O60" s="8" t="inlineStr">
        <is>
          <t>停组原因</t>
        </is>
      </c>
      <c r="P60" s="8" t="inlineStr">
        <is>
          <t>下组建议</t>
        </is>
      </c>
      <c r="Q60" s="8" t="inlineStr">
        <is>
          <t>实做次数</t>
        </is>
      </c>
    </row>
    <row r="61">
      <c r="A61" s="12" t="n">
        <v>1</v>
      </c>
      <c r="B61" s="10">
        <f>IF(K59="","",K59)</f>
        <v/>
      </c>
      <c r="C61" s="9" t="n"/>
      <c r="D61" s="9" t="n"/>
      <c r="E61" s="9" t="n"/>
      <c r="F61" s="9" t="n"/>
      <c r="G61" s="9" t="n"/>
      <c r="H61" s="9" t="n"/>
      <c r="I61" s="10">
        <f>IFERROR(INDEX(C61:H61,MATCH(TRUE,INDEX(C61:H61&lt;&gt;"",0),0)),"")</f>
        <v/>
      </c>
      <c r="J61" s="10">
        <f>IFERROR(MIN(IF(C61:H61&lt;&gt;"",C61:H61)),"")</f>
        <v/>
      </c>
      <c r="K61" s="10">
        <f>IFERROR(MATCH(I61,C61:H61,0),"")</f>
        <v/>
      </c>
      <c r="L61" s="10">
        <f>IF(OR(I61="",J61=""),"",ROUND((I61-J61)/I61*100,1))</f>
        <v/>
      </c>
      <c r="M61" s="10">
        <f>IF(L61="","",IF(L61&gt;=15,"是","否"))</f>
        <v/>
      </c>
      <c r="N61" s="10">
        <f>IF(J61="","",IF(J61&lt;0.15,"是","否"))</f>
        <v/>
      </c>
      <c r="O61" s="10">
        <f>IF(I61="","",IF(J61&lt;0.15,"SAFETY_STOP",IF(L61&gt;=15,"VL_THRESHOLD","PLANNED_END")))</f>
        <v/>
      </c>
      <c r="P61" s="10">
        <f>IF(I61="","",IF(I61&gt;($D$2+0.05),"+5kg",IF(I61&gt;($D$2+0.02),"+2.5kg",IF(I61&gt;=($D$2-0.05),"保持",IF(I61&gt;=($D$2-0.08),"-2.5kg","-5kg")))))</f>
        <v/>
      </c>
      <c r="Q61" s="9" t="n"/>
      <c r="R61" s="12" t="n"/>
      <c r="S61" s="12" t="n"/>
      <c r="T61" s="12" t="n"/>
    </row>
    <row r="62">
      <c r="A62" s="12" t="n">
        <v>2</v>
      </c>
      <c r="B62" s="9" t="n"/>
      <c r="C62" s="9" t="n"/>
      <c r="D62" s="9" t="n"/>
      <c r="E62" s="9" t="n"/>
      <c r="F62" s="9" t="n"/>
      <c r="G62" s="9" t="n"/>
      <c r="H62" s="9" t="n"/>
      <c r="I62" s="10">
        <f>IFERROR(INDEX(C62:H62,MATCH(TRUE,INDEX(C62:H62&lt;&gt;"",0),0)),"")</f>
        <v/>
      </c>
      <c r="J62" s="10">
        <f>IFERROR(MIN(IF(C62:H62&lt;&gt;"",C62:H62)),"")</f>
        <v/>
      </c>
      <c r="K62" s="10">
        <f>IFERROR(MATCH(I62,C62:H62,0),"")</f>
        <v/>
      </c>
      <c r="L62" s="10">
        <f>IF(OR(I62="",J62=""),"",ROUND((I62-J62)/I62*100,1))</f>
        <v/>
      </c>
      <c r="M62" s="10">
        <f>IF(L62="","",IF(L62&gt;=15,"是","否"))</f>
        <v/>
      </c>
      <c r="N62" s="10">
        <f>IF(J62="","",IF(J62&lt;0.15,"是","否"))</f>
        <v/>
      </c>
      <c r="O62" s="10">
        <f>IF(I62="","",IF(J62&lt;0.15,"SAFETY_STOP",IF(L62&gt;=15,"VL_THRESHOLD","PLANNED_END")))</f>
        <v/>
      </c>
      <c r="P62" s="10">
        <f>IF(I62="","",IF(I62&gt;($D$2+0.05),"+5kg",IF(I62&gt;($D$2+0.02),"+2.5kg",IF(I62&gt;=($D$2-0.05),"保持",IF(I62&gt;=($D$2-0.08),"-2.5kg","-5kg")))))</f>
        <v/>
      </c>
      <c r="Q62" s="9" t="n"/>
      <c r="R62" s="12" t="n"/>
      <c r="S62" s="12" t="n"/>
      <c r="T62" s="12" t="n"/>
    </row>
    <row r="63">
      <c r="A63" s="12" t="n">
        <v>3</v>
      </c>
      <c r="B63" s="9" t="n"/>
      <c r="C63" s="9" t="n"/>
      <c r="D63" s="9" t="n"/>
      <c r="E63" s="9" t="n"/>
      <c r="F63" s="9" t="n"/>
      <c r="G63" s="9" t="n"/>
      <c r="H63" s="9" t="n"/>
      <c r="I63" s="10">
        <f>IFERROR(INDEX(C63:H63,MATCH(TRUE,INDEX(C63:H63&lt;&gt;"",0),0)),"")</f>
        <v/>
      </c>
      <c r="J63" s="10">
        <f>IFERROR(MIN(IF(C63:H63&lt;&gt;"",C63:H63)),"")</f>
        <v/>
      </c>
      <c r="K63" s="10">
        <f>IFERROR(MATCH(I63,C63:H63,0),"")</f>
        <v/>
      </c>
      <c r="L63" s="10">
        <f>IF(OR(I63="",J63=""),"",ROUND((I63-J63)/I63*100,1))</f>
        <v/>
      </c>
      <c r="M63" s="10">
        <f>IF(L63="","",IF(L63&gt;=15,"是","否"))</f>
        <v/>
      </c>
      <c r="N63" s="10">
        <f>IF(J63="","",IF(J63&lt;0.15,"是","否"))</f>
        <v/>
      </c>
      <c r="O63" s="10">
        <f>IF(I63="","",IF(J63&lt;0.15,"SAFETY_STOP",IF(L63&gt;=15,"VL_THRESHOLD","PLANNED_END")))</f>
        <v/>
      </c>
      <c r="P63" s="10">
        <f>IF(I63="","",IF(I63&gt;($D$2+0.05),"+5kg",IF(I63&gt;($D$2+0.02),"+2.5kg",IF(I63&gt;=($D$2-0.05),"保持",IF(I63&gt;=($D$2-0.08),"-2.5kg","-5kg")))))</f>
        <v/>
      </c>
      <c r="Q63" s="9" t="n"/>
      <c r="R63" s="12" t="n"/>
      <c r="S63" s="12" t="n"/>
      <c r="T63" s="12" t="n"/>
    </row>
    <row r="64">
      <c r="A64" s="12" t="n">
        <v>4</v>
      </c>
      <c r="B64" s="9" t="n"/>
      <c r="C64" s="9" t="n"/>
      <c r="D64" s="9" t="n"/>
      <c r="E64" s="9" t="n"/>
      <c r="F64" s="9" t="n"/>
      <c r="G64" s="9" t="n"/>
      <c r="H64" s="9" t="n"/>
      <c r="I64" s="10">
        <f>IFERROR(INDEX(C64:H64,MATCH(TRUE,INDEX(C64:H64&lt;&gt;"",0),0)),"")</f>
        <v/>
      </c>
      <c r="J64" s="10">
        <f>IFERROR(MIN(IF(C64:H64&lt;&gt;"",C64:H64)),"")</f>
        <v/>
      </c>
      <c r="K64" s="10">
        <f>IFERROR(MATCH(I64,C64:H64,0),"")</f>
        <v/>
      </c>
      <c r="L64" s="10">
        <f>IF(OR(I64="",J64=""),"",ROUND((I64-J64)/I64*100,1))</f>
        <v/>
      </c>
      <c r="M64" s="10">
        <f>IF(L64="","",IF(L64&gt;=15,"是","否"))</f>
        <v/>
      </c>
      <c r="N64" s="10">
        <f>IF(J64="","",IF(J64&lt;0.15,"是","否"))</f>
        <v/>
      </c>
      <c r="O64" s="10">
        <f>IF(I64="","",IF(J64&lt;0.15,"SAFETY_STOP",IF(L64&gt;=15,"VL_THRESHOLD","PLANNED_END")))</f>
        <v/>
      </c>
      <c r="P64" s="10">
        <f>IF(I64="","",IF(I64&gt;($D$2+0.05),"+5kg",IF(I64&gt;($D$2+0.02),"+2.5kg",IF(I64&gt;=($D$2-0.05),"保持",IF(I64&gt;=($D$2-0.08),"-2.5kg","-5kg")))))</f>
        <v/>
      </c>
      <c r="Q64" s="9" t="n"/>
      <c r="R64" s="12" t="n"/>
      <c r="S64" s="12" t="n"/>
      <c r="T64" s="12" t="n"/>
    </row>
    <row r="65">
      <c r="A65" s="12" t="n">
        <v>5</v>
      </c>
      <c r="B65" s="9" t="n"/>
      <c r="C65" s="9" t="n"/>
      <c r="D65" s="9" t="n"/>
      <c r="E65" s="9" t="n"/>
      <c r="F65" s="9" t="n"/>
      <c r="G65" s="9" t="n"/>
      <c r="H65" s="9" t="n"/>
      <c r="I65" s="10">
        <f>IFERROR(INDEX(C65:H65,MATCH(TRUE,INDEX(C65:H65&lt;&gt;"",0),0)),"")</f>
        <v/>
      </c>
      <c r="J65" s="10">
        <f>IFERROR(MIN(IF(C65:H65&lt;&gt;"",C65:H65)),"")</f>
        <v/>
      </c>
      <c r="K65" s="10">
        <f>IFERROR(MATCH(I65,C65:H65,0),"")</f>
        <v/>
      </c>
      <c r="L65" s="10">
        <f>IF(OR(I65="",J65=""),"",ROUND((I65-J65)/I65*100,1))</f>
        <v/>
      </c>
      <c r="M65" s="10">
        <f>IF(L65="","",IF(L65&gt;=15,"是","否"))</f>
        <v/>
      </c>
      <c r="N65" s="10">
        <f>IF(J65="","",IF(J65&lt;0.15,"是","否"))</f>
        <v/>
      </c>
      <c r="O65" s="10">
        <f>IF(I65="","",IF(J65&lt;0.15,"SAFETY_STOP",IF(L65&gt;=15,"VL_THRESHOLD","PLANNED_END")))</f>
        <v/>
      </c>
      <c r="P65" s="10">
        <f>IF(I65="","",IF(I65&gt;($D$2+0.05),"+5kg",IF(I65&gt;($D$2+0.02),"+2.5kg",IF(I65&gt;=($D$2-0.05),"保持",IF(I65&gt;=($D$2-0.08),"-2.5kg","-5kg")))))</f>
        <v/>
      </c>
      <c r="Q65" s="9" t="n"/>
      <c r="R65" s="12" t="n"/>
      <c r="S65" s="12" t="n"/>
      <c r="T65" s="12" t="n"/>
    </row>
    <row r="66">
      <c r="A66" s="12" t="n">
        <v>6</v>
      </c>
      <c r="B66" s="9" t="n"/>
      <c r="C66" s="9" t="n"/>
      <c r="D66" s="9" t="n"/>
      <c r="E66" s="9" t="n"/>
      <c r="F66" s="9" t="n"/>
      <c r="G66" s="9" t="n"/>
      <c r="H66" s="9" t="n"/>
      <c r="I66" s="10">
        <f>IFERROR(INDEX(C66:H66,MATCH(TRUE,INDEX(C66:H66&lt;&gt;"",0),0)),"")</f>
        <v/>
      </c>
      <c r="J66" s="10">
        <f>IFERROR(MIN(IF(C66:H66&lt;&gt;"",C66:H66)),"")</f>
        <v/>
      </c>
      <c r="K66" s="10">
        <f>IFERROR(MATCH(I66,C66:H66,0),"")</f>
        <v/>
      </c>
      <c r="L66" s="10">
        <f>IF(OR(I66="",J66=""),"",ROUND((I66-J66)/I66*100,1))</f>
        <v/>
      </c>
      <c r="M66" s="10">
        <f>IF(L66="","",IF(L66&gt;=15,"是","否"))</f>
        <v/>
      </c>
      <c r="N66" s="10">
        <f>IF(J66="","",IF(J66&lt;0.15,"是","否"))</f>
        <v/>
      </c>
      <c r="O66" s="10">
        <f>IF(I66="","",IF(J66&lt;0.15,"SAFETY_STOP",IF(L66&gt;=15,"VL_THRESHOLD","PLANNED_END")))</f>
        <v/>
      </c>
      <c r="P66" s="10">
        <f>IF(I66="","",IF(I66&gt;($D$2+0.05),"+5kg",IF(I66&gt;($D$2+0.02),"+2.5kg",IF(I66&gt;=($D$2-0.05),"保持",IF(I66&gt;=($D$2-0.08),"-2.5kg","-5kg")))))</f>
        <v/>
      </c>
      <c r="Q66" s="9" t="n"/>
      <c r="R66" s="12" t="n"/>
      <c r="S66" s="12" t="n"/>
      <c r="T66" s="12" t="n"/>
    </row>
    <row r="67">
      <c r="A67" s="8" t="inlineStr">
        <is>
          <t>辅助动作</t>
        </is>
      </c>
      <c r="B67" s="8" t="inlineStr">
        <is>
          <t>动作名称</t>
        </is>
      </c>
      <c r="C67" s="8" t="inlineStr">
        <is>
          <t>负荷kg</t>
        </is>
      </c>
      <c r="D67" s="8" t="inlineStr">
        <is>
          <t>完成(组×次)</t>
        </is>
      </c>
    </row>
    <row r="68">
      <c r="A68" s="9" t="inlineStr"/>
      <c r="B68" s="9" t="n"/>
      <c r="C68" s="9" t="n"/>
      <c r="D68" s="9" t="n"/>
    </row>
    <row r="69">
      <c r="A69" s="8" t="inlineStr">
        <is>
          <t>训练后</t>
        </is>
      </c>
      <c r="B69" s="8" t="inlineStr">
        <is>
          <t>开始时间</t>
        </is>
      </c>
      <c r="C69" s="8" t="inlineStr">
        <is>
          <t>结束时间</t>
        </is>
      </c>
      <c r="D69" s="8" t="inlineStr">
        <is>
          <t>总时长min</t>
        </is>
      </c>
      <c r="E69" s="8" t="inlineStr">
        <is>
          <t>sRPE</t>
        </is>
      </c>
      <c r="F69" s="8" t="inlineStr">
        <is>
          <t>session_load</t>
        </is>
      </c>
      <c r="G69" s="8" t="inlineStr">
        <is>
          <t>有无不适</t>
        </is>
      </c>
      <c r="H69" s="8" t="inlineStr">
        <is>
          <t>备注</t>
        </is>
      </c>
      <c r="I69" s="8" t="inlineStr">
        <is>
          <t>研究员签名</t>
        </is>
      </c>
    </row>
    <row r="70">
      <c r="A70" s="13" t="inlineStr"/>
      <c r="B70" s="13" t="n"/>
      <c r="C70" s="13" t="n"/>
      <c r="D70" s="10">
        <f>IF(OR(B70="",C70=""),"",(C70-B70)*1440)</f>
        <v/>
      </c>
      <c r="E70" s="13" t="n"/>
      <c r="F70" s="10">
        <f>IF(OR(D70="",E70=""),"",D70*E70)</f>
        <v/>
      </c>
      <c r="G70" s="13" t="n"/>
      <c r="H70" s="13" t="n"/>
      <c r="I70" s="13" t="n"/>
    </row>
    <row r="72">
      <c r="A72" s="5" t="inlineStr">
        <is>
          <t>── P015 陈先栋 ──────────────────────────────────────────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7" t="n"/>
    </row>
    <row r="73">
      <c r="A73" s="8" t="inlineStr">
        <is>
          <t>编号</t>
        </is>
      </c>
      <c r="B73" s="8" t="inlineStr">
        <is>
          <t>姓名</t>
        </is>
      </c>
      <c r="C73" s="8" t="inlineStr">
        <is>
          <t>身高</t>
        </is>
      </c>
      <c r="D73" s="8" t="inlineStr">
        <is>
          <t>1RM</t>
        </is>
      </c>
      <c r="E73" s="8" t="inlineStr">
        <is>
          <t>睡眠</t>
        </is>
      </c>
      <c r="F73" s="8" t="inlineStr">
        <is>
          <t>压力</t>
        </is>
      </c>
      <c r="G73" s="8" t="inlineStr">
        <is>
          <t>疲劳</t>
        </is>
      </c>
      <c r="H73" s="8" t="inlineStr">
        <is>
          <t>酸痛</t>
        </is>
      </c>
      <c r="I73" s="8" t="inlineStr">
        <is>
          <t>Hooper总</t>
        </is>
      </c>
      <c r="J73" s="8" t="inlineStr">
        <is>
          <t>CMJ1</t>
        </is>
      </c>
      <c r="K73" s="8" t="inlineStr">
        <is>
          <t>CMJ2</t>
        </is>
      </c>
      <c r="L73" s="8" t="inlineStr">
        <is>
          <t>CMJ3</t>
        </is>
      </c>
      <c r="M73" s="8" t="inlineStr">
        <is>
          <t>CMJ均值</t>
        </is>
      </c>
      <c r="N73" s="8" t="inlineStr">
        <is>
          <t>&lt;95%?</t>
        </is>
      </c>
      <c r="O73" s="8" t="inlineStr">
        <is>
          <t>减组?</t>
        </is>
      </c>
      <c r="P73" s="8" t="inlineStr">
        <is>
          <t>实做组数</t>
        </is>
      </c>
      <c r="Q73" s="8" t="inlineStr">
        <is>
          <t>LVP_a</t>
        </is>
      </c>
      <c r="R73" s="8" t="inlineStr">
        <is>
          <t>LVP_b</t>
        </is>
      </c>
      <c r="S73" s="8" t="inlineStr">
        <is>
          <t>等级</t>
        </is>
      </c>
      <c r="T73" s="8" t="inlineStr">
        <is>
          <t>预测起始</t>
        </is>
      </c>
    </row>
    <row r="74">
      <c r="A74" s="9" t="inlineStr">
        <is>
          <t>P015</t>
        </is>
      </c>
      <c r="B74" s="9" t="inlineStr">
        <is>
          <t>陈先栋</t>
        </is>
      </c>
      <c r="C74" s="9" t="n">
        <v>175</v>
      </c>
      <c r="D74" s="9" t="n">
        <v>135</v>
      </c>
      <c r="E74" s="9" t="n"/>
      <c r="F74" s="9" t="n"/>
      <c r="G74" s="9" t="n"/>
      <c r="H74" s="9" t="n"/>
      <c r="I74" s="10">
        <f>IFERROR(SUM(E74:H74),"")</f>
        <v/>
      </c>
      <c r="J74" s="9" t="n"/>
      <c r="K74" s="9" t="n"/>
      <c r="L74" s="9" t="n"/>
      <c r="M74" s="10">
        <f>IFERROR(AVERAGE(J74:L74),"")</f>
        <v/>
      </c>
      <c r="N74" s="10">
        <f>IF(M74="","",IF(M74&lt;54.25,"是⚠","否"))</f>
        <v/>
      </c>
      <c r="O74" s="10">
        <f>IF(M74="","",IF(M74&lt;54.25,"减1组","正常"))</f>
        <v/>
      </c>
      <c r="P74" s="10">
        <f>IF(M74="","",IF(M74&lt;54.25,5-1,5))</f>
        <v/>
      </c>
      <c r="Q74" s="9" t="n">
        <v>1.77</v>
      </c>
      <c r="R74" s="9" t="n">
        <v>-0.01025</v>
      </c>
      <c r="S74" s="9" t="inlineStr">
        <is>
          <t>C</t>
        </is>
      </c>
      <c r="T74" s="10">
        <f>IFERROR(ROUND((0.7-1.77)/-0.01025,0.5),"")</f>
        <v/>
      </c>
    </row>
    <row r="75">
      <c r="A75" s="8" t="inlineStr">
        <is>
          <t>热身校准</t>
        </is>
      </c>
      <c r="B75" s="8" t="inlineStr">
        <is>
          <t>LVP_a</t>
        </is>
      </c>
      <c r="C75" s="8" t="inlineStr">
        <is>
          <t>LVP_b</t>
        </is>
      </c>
      <c r="D75" s="8" t="inlineStr">
        <is>
          <t>50%热身kg</t>
        </is>
      </c>
      <c r="E75" s="8" t="inlineStr">
        <is>
          <t>70%热身kg</t>
        </is>
      </c>
      <c r="F75" s="8" t="inlineStr">
        <is>
          <t>热身负荷kg</t>
        </is>
      </c>
      <c r="G75" s="8" t="inlineStr">
        <is>
          <t>实测MCV</t>
        </is>
      </c>
      <c r="H75" s="8" t="inlineStr">
        <is>
          <t>预测MCV</t>
        </is>
      </c>
      <c r="I75" s="8" t="inlineStr">
        <is>
          <t>Δv</t>
        </is>
      </c>
      <c r="J75" s="8" t="inlineStr">
        <is>
          <t>调整量kg</t>
        </is>
      </c>
      <c r="K75" s="8" t="inlineStr">
        <is>
          <t>校准后第1组kg</t>
        </is>
      </c>
    </row>
    <row r="76">
      <c r="A76" s="11" t="inlineStr"/>
      <c r="B76" s="11" t="n">
        <v>1.77</v>
      </c>
      <c r="C76" s="11" t="n">
        <v>-0.01025</v>
      </c>
      <c r="D76" s="10">
        <f>IFERROR(ROUND(T74*0.5,2.5),"")</f>
        <v/>
      </c>
      <c r="E76" s="10">
        <f>IFERROR(ROUND(T74*0.7,2.5),"")</f>
        <v/>
      </c>
      <c r="F76" s="10">
        <f>D76</f>
        <v/>
      </c>
      <c r="G76" s="9" t="n"/>
      <c r="H76" s="10">
        <f>IF(F76="","",B76+C76*F76)</f>
        <v/>
      </c>
      <c r="I76" s="10">
        <f>IF(OR(G76="",H76=""),"",G76-H76)</f>
        <v/>
      </c>
      <c r="J76" s="10">
        <f>IF(I76="","",IF(I76&gt;0.08,5,IF(I76&gt;0.04,2.5,IF(I76&gt;=-0.04,0,IF(I76&gt;=-0.08,-2.5,-5)))))</f>
        <v/>
      </c>
      <c r="K76" s="10">
        <f>IFERROR(ROUND(T74+J76,2.5),"")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8" t="inlineStr">
        <is>
          <t>组次</t>
        </is>
      </c>
      <c r="B77" s="8" t="inlineStr">
        <is>
          <t>负荷kg</t>
        </is>
      </c>
      <c r="C77" s="8" t="inlineStr">
        <is>
          <t>rep1</t>
        </is>
      </c>
      <c r="D77" s="8" t="inlineStr">
        <is>
          <t>rep2</t>
        </is>
      </c>
      <c r="E77" s="8" t="inlineStr">
        <is>
          <t>rep3</t>
        </is>
      </c>
      <c r="F77" s="8" t="inlineStr">
        <is>
          <t>rep4</t>
        </is>
      </c>
      <c r="G77" s="8" t="inlineStr">
        <is>
          <t>rep5</t>
        </is>
      </c>
      <c r="H77" s="8" t="inlineStr">
        <is>
          <t>rep6</t>
        </is>
      </c>
      <c r="I77" s="8" t="inlineStr">
        <is>
          <t>首rep</t>
        </is>
      </c>
      <c r="J77" s="8" t="inlineStr">
        <is>
          <t>最低速</t>
        </is>
      </c>
      <c r="K77" s="8" t="inlineStr">
        <is>
          <t>最低rep#</t>
        </is>
      </c>
      <c r="L77" s="8" t="inlineStr">
        <is>
          <t>VL%</t>
        </is>
      </c>
      <c r="M77" s="8" t="inlineStr">
        <is>
          <t>VL达标?</t>
        </is>
      </c>
      <c r="N77" s="8" t="inlineStr">
        <is>
          <t>安全停止?</t>
        </is>
      </c>
      <c r="O77" s="8" t="inlineStr">
        <is>
          <t>停组原因</t>
        </is>
      </c>
      <c r="P77" s="8" t="inlineStr">
        <is>
          <t>下组建议</t>
        </is>
      </c>
      <c r="Q77" s="8" t="inlineStr">
        <is>
          <t>实做次数</t>
        </is>
      </c>
    </row>
    <row r="78">
      <c r="A78" s="12" t="n">
        <v>1</v>
      </c>
      <c r="B78" s="10">
        <f>IF(K76="","",K76)</f>
        <v/>
      </c>
      <c r="C78" s="9" t="n"/>
      <c r="D78" s="9" t="n"/>
      <c r="E78" s="9" t="n"/>
      <c r="F78" s="9" t="n"/>
      <c r="G78" s="9" t="n"/>
      <c r="H78" s="9" t="n"/>
      <c r="I78" s="10">
        <f>IFERROR(INDEX(C78:H78,MATCH(TRUE,INDEX(C78:H78&lt;&gt;"",0),0)),"")</f>
        <v/>
      </c>
      <c r="J78" s="10">
        <f>IFERROR(MIN(IF(C78:H78&lt;&gt;"",C78:H78)),"")</f>
        <v/>
      </c>
      <c r="K78" s="10">
        <f>IFERROR(MATCH(I78,C78:H78,0),"")</f>
        <v/>
      </c>
      <c r="L78" s="10">
        <f>IF(OR(I78="",J78=""),"",ROUND((I78-J78)/I78*100,1))</f>
        <v/>
      </c>
      <c r="M78" s="10">
        <f>IF(L78="","",IF(L78&gt;=15,"是","否"))</f>
        <v/>
      </c>
      <c r="N78" s="10">
        <f>IF(J78="","",IF(J78&lt;0.15,"是","否"))</f>
        <v/>
      </c>
      <c r="O78" s="10">
        <f>IF(I78="","",IF(J78&lt;0.15,"SAFETY_STOP",IF(L78&gt;=15,"VL_THRESHOLD","PLANNED_END")))</f>
        <v/>
      </c>
      <c r="P78" s="10">
        <f>IF(I78="","",IF(I78&gt;($D$2+0.05),"+5kg",IF(I78&gt;($D$2+0.02),"+2.5kg",IF(I78&gt;=($D$2-0.05),"保持",IF(I78&gt;=($D$2-0.08),"-2.5kg","-5kg")))))</f>
        <v/>
      </c>
      <c r="Q78" s="9" t="n"/>
      <c r="R78" s="12" t="n"/>
      <c r="S78" s="12" t="n"/>
      <c r="T78" s="12" t="n"/>
    </row>
    <row r="79">
      <c r="A79" s="12" t="n">
        <v>2</v>
      </c>
      <c r="B79" s="9" t="n"/>
      <c r="C79" s="9" t="n"/>
      <c r="D79" s="9" t="n"/>
      <c r="E79" s="9" t="n"/>
      <c r="F79" s="9" t="n"/>
      <c r="G79" s="9" t="n"/>
      <c r="H79" s="9" t="n"/>
      <c r="I79" s="10">
        <f>IFERROR(INDEX(C79:H79,MATCH(TRUE,INDEX(C79:H79&lt;&gt;"",0),0)),"")</f>
        <v/>
      </c>
      <c r="J79" s="10">
        <f>IFERROR(MIN(IF(C79:H79&lt;&gt;"",C79:H79)),"")</f>
        <v/>
      </c>
      <c r="K79" s="10">
        <f>IFERROR(MATCH(I79,C79:H79,0),"")</f>
        <v/>
      </c>
      <c r="L79" s="10">
        <f>IF(OR(I79="",J79=""),"",ROUND((I79-J79)/I79*100,1))</f>
        <v/>
      </c>
      <c r="M79" s="10">
        <f>IF(L79="","",IF(L79&gt;=15,"是","否"))</f>
        <v/>
      </c>
      <c r="N79" s="10">
        <f>IF(J79="","",IF(J79&lt;0.15,"是","否"))</f>
        <v/>
      </c>
      <c r="O79" s="10">
        <f>IF(I79="","",IF(J79&lt;0.15,"SAFETY_STOP",IF(L79&gt;=15,"VL_THRESHOLD","PLANNED_END")))</f>
        <v/>
      </c>
      <c r="P79" s="10">
        <f>IF(I79="","",IF(I79&gt;($D$2+0.05),"+5kg",IF(I79&gt;($D$2+0.02),"+2.5kg",IF(I79&gt;=($D$2-0.05),"保持",IF(I79&gt;=($D$2-0.08),"-2.5kg","-5kg")))))</f>
        <v/>
      </c>
      <c r="Q79" s="9" t="n"/>
      <c r="R79" s="12" t="n"/>
      <c r="S79" s="12" t="n"/>
      <c r="T79" s="12" t="n"/>
    </row>
    <row r="80">
      <c r="A80" s="12" t="n">
        <v>3</v>
      </c>
      <c r="B80" s="9" t="n"/>
      <c r="C80" s="9" t="n"/>
      <c r="D80" s="9" t="n"/>
      <c r="E80" s="9" t="n"/>
      <c r="F80" s="9" t="n"/>
      <c r="G80" s="9" t="n"/>
      <c r="H80" s="9" t="n"/>
      <c r="I80" s="10">
        <f>IFERROR(INDEX(C80:H80,MATCH(TRUE,INDEX(C80:H80&lt;&gt;"",0),0)),"")</f>
        <v/>
      </c>
      <c r="J80" s="10">
        <f>IFERROR(MIN(IF(C80:H80&lt;&gt;"",C80:H80)),"")</f>
        <v/>
      </c>
      <c r="K80" s="10">
        <f>IFERROR(MATCH(I80,C80:H80,0),"")</f>
        <v/>
      </c>
      <c r="L80" s="10">
        <f>IF(OR(I80="",J80=""),"",ROUND((I80-J80)/I80*100,1))</f>
        <v/>
      </c>
      <c r="M80" s="10">
        <f>IF(L80="","",IF(L80&gt;=15,"是","否"))</f>
        <v/>
      </c>
      <c r="N80" s="10">
        <f>IF(J80="","",IF(J80&lt;0.15,"是","否"))</f>
        <v/>
      </c>
      <c r="O80" s="10">
        <f>IF(I80="","",IF(J80&lt;0.15,"SAFETY_STOP",IF(L80&gt;=15,"VL_THRESHOLD","PLANNED_END")))</f>
        <v/>
      </c>
      <c r="P80" s="10">
        <f>IF(I80="","",IF(I80&gt;($D$2+0.05),"+5kg",IF(I80&gt;($D$2+0.02),"+2.5kg",IF(I80&gt;=($D$2-0.05),"保持",IF(I80&gt;=($D$2-0.08),"-2.5kg","-5kg")))))</f>
        <v/>
      </c>
      <c r="Q80" s="9" t="n"/>
      <c r="R80" s="12" t="n"/>
      <c r="S80" s="12" t="n"/>
      <c r="T80" s="12" t="n"/>
    </row>
    <row r="81">
      <c r="A81" s="12" t="n">
        <v>4</v>
      </c>
      <c r="B81" s="9" t="n"/>
      <c r="C81" s="9" t="n"/>
      <c r="D81" s="9" t="n"/>
      <c r="E81" s="9" t="n"/>
      <c r="F81" s="9" t="n"/>
      <c r="G81" s="9" t="n"/>
      <c r="H81" s="9" t="n"/>
      <c r="I81" s="10">
        <f>IFERROR(INDEX(C81:H81,MATCH(TRUE,INDEX(C81:H81&lt;&gt;"",0),0)),"")</f>
        <v/>
      </c>
      <c r="J81" s="10">
        <f>IFERROR(MIN(IF(C81:H81&lt;&gt;"",C81:H81)),"")</f>
        <v/>
      </c>
      <c r="K81" s="10">
        <f>IFERROR(MATCH(I81,C81:H81,0),"")</f>
        <v/>
      </c>
      <c r="L81" s="10">
        <f>IF(OR(I81="",J81=""),"",ROUND((I81-J81)/I81*100,1))</f>
        <v/>
      </c>
      <c r="M81" s="10">
        <f>IF(L81="","",IF(L81&gt;=15,"是","否"))</f>
        <v/>
      </c>
      <c r="N81" s="10">
        <f>IF(J81="","",IF(J81&lt;0.15,"是","否"))</f>
        <v/>
      </c>
      <c r="O81" s="10">
        <f>IF(I81="","",IF(J81&lt;0.15,"SAFETY_STOP",IF(L81&gt;=15,"VL_THRESHOLD","PLANNED_END")))</f>
        <v/>
      </c>
      <c r="P81" s="10">
        <f>IF(I81="","",IF(I81&gt;($D$2+0.05),"+5kg",IF(I81&gt;($D$2+0.02),"+2.5kg",IF(I81&gt;=($D$2-0.05),"保持",IF(I81&gt;=($D$2-0.08),"-2.5kg","-5kg")))))</f>
        <v/>
      </c>
      <c r="Q81" s="9" t="n"/>
      <c r="R81" s="12" t="n"/>
      <c r="S81" s="12" t="n"/>
      <c r="T81" s="12" t="n"/>
    </row>
    <row r="82">
      <c r="A82" s="12" t="n">
        <v>5</v>
      </c>
      <c r="B82" s="9" t="n"/>
      <c r="C82" s="9" t="n"/>
      <c r="D82" s="9" t="n"/>
      <c r="E82" s="9" t="n"/>
      <c r="F82" s="9" t="n"/>
      <c r="G82" s="9" t="n"/>
      <c r="H82" s="9" t="n"/>
      <c r="I82" s="10">
        <f>IFERROR(INDEX(C82:H82,MATCH(TRUE,INDEX(C82:H82&lt;&gt;"",0),0)),"")</f>
        <v/>
      </c>
      <c r="J82" s="10">
        <f>IFERROR(MIN(IF(C82:H82&lt;&gt;"",C82:H82)),"")</f>
        <v/>
      </c>
      <c r="K82" s="10">
        <f>IFERROR(MATCH(I82,C82:H82,0),"")</f>
        <v/>
      </c>
      <c r="L82" s="10">
        <f>IF(OR(I82="",J82=""),"",ROUND((I82-J82)/I82*100,1))</f>
        <v/>
      </c>
      <c r="M82" s="10">
        <f>IF(L82="","",IF(L82&gt;=15,"是","否"))</f>
        <v/>
      </c>
      <c r="N82" s="10">
        <f>IF(J82="","",IF(J82&lt;0.15,"是","否"))</f>
        <v/>
      </c>
      <c r="O82" s="10">
        <f>IF(I82="","",IF(J82&lt;0.15,"SAFETY_STOP",IF(L82&gt;=15,"VL_THRESHOLD","PLANNED_END")))</f>
        <v/>
      </c>
      <c r="P82" s="10">
        <f>IF(I82="","",IF(I82&gt;($D$2+0.05),"+5kg",IF(I82&gt;($D$2+0.02),"+2.5kg",IF(I82&gt;=($D$2-0.05),"保持",IF(I82&gt;=($D$2-0.08),"-2.5kg","-5kg")))))</f>
        <v/>
      </c>
      <c r="Q82" s="9" t="n"/>
      <c r="R82" s="12" t="n"/>
      <c r="S82" s="12" t="n"/>
      <c r="T82" s="12" t="n"/>
    </row>
    <row r="83">
      <c r="A83" s="12" t="n">
        <v>6</v>
      </c>
      <c r="B83" s="9" t="n"/>
      <c r="C83" s="9" t="n"/>
      <c r="D83" s="9" t="n"/>
      <c r="E83" s="9" t="n"/>
      <c r="F83" s="9" t="n"/>
      <c r="G83" s="9" t="n"/>
      <c r="H83" s="9" t="n"/>
      <c r="I83" s="10">
        <f>IFERROR(INDEX(C83:H83,MATCH(TRUE,INDEX(C83:H83&lt;&gt;"",0),0)),"")</f>
        <v/>
      </c>
      <c r="J83" s="10">
        <f>IFERROR(MIN(IF(C83:H83&lt;&gt;"",C83:H83)),"")</f>
        <v/>
      </c>
      <c r="K83" s="10">
        <f>IFERROR(MATCH(I83,C83:H83,0),"")</f>
        <v/>
      </c>
      <c r="L83" s="10">
        <f>IF(OR(I83="",J83=""),"",ROUND((I83-J83)/I83*100,1))</f>
        <v/>
      </c>
      <c r="M83" s="10">
        <f>IF(L83="","",IF(L83&gt;=15,"是","否"))</f>
        <v/>
      </c>
      <c r="N83" s="10">
        <f>IF(J83="","",IF(J83&lt;0.15,"是","否"))</f>
        <v/>
      </c>
      <c r="O83" s="10">
        <f>IF(I83="","",IF(J83&lt;0.15,"SAFETY_STOP",IF(L83&gt;=15,"VL_THRESHOLD","PLANNED_END")))</f>
        <v/>
      </c>
      <c r="P83" s="10">
        <f>IF(I83="","",IF(I83&gt;($D$2+0.05),"+5kg",IF(I83&gt;($D$2+0.02),"+2.5kg",IF(I83&gt;=($D$2-0.05),"保持",IF(I83&gt;=($D$2-0.08),"-2.5kg","-5kg")))))</f>
        <v/>
      </c>
      <c r="Q83" s="9" t="n"/>
      <c r="R83" s="12" t="n"/>
      <c r="S83" s="12" t="n"/>
      <c r="T83" s="12" t="n"/>
    </row>
    <row r="84">
      <c r="A84" s="8" t="inlineStr">
        <is>
          <t>辅助动作</t>
        </is>
      </c>
      <c r="B84" s="8" t="inlineStr">
        <is>
          <t>动作名称</t>
        </is>
      </c>
      <c r="C84" s="8" t="inlineStr">
        <is>
          <t>负荷kg</t>
        </is>
      </c>
      <c r="D84" s="8" t="inlineStr">
        <is>
          <t>完成(组×次)</t>
        </is>
      </c>
    </row>
    <row r="85">
      <c r="A85" s="9" t="inlineStr"/>
      <c r="B85" s="9" t="n"/>
      <c r="C85" s="9" t="n"/>
      <c r="D85" s="9" t="n"/>
    </row>
    <row r="86">
      <c r="A86" s="8" t="inlineStr">
        <is>
          <t>训练后</t>
        </is>
      </c>
      <c r="B86" s="8" t="inlineStr">
        <is>
          <t>开始时间</t>
        </is>
      </c>
      <c r="C86" s="8" t="inlineStr">
        <is>
          <t>结束时间</t>
        </is>
      </c>
      <c r="D86" s="8" t="inlineStr">
        <is>
          <t>总时长min</t>
        </is>
      </c>
      <c r="E86" s="8" t="inlineStr">
        <is>
          <t>sRPE</t>
        </is>
      </c>
      <c r="F86" s="8" t="inlineStr">
        <is>
          <t>session_load</t>
        </is>
      </c>
      <c r="G86" s="8" t="inlineStr">
        <is>
          <t>有无不适</t>
        </is>
      </c>
      <c r="H86" s="8" t="inlineStr">
        <is>
          <t>备注</t>
        </is>
      </c>
      <c r="I86" s="8" t="inlineStr">
        <is>
          <t>研究员签名</t>
        </is>
      </c>
    </row>
    <row r="87">
      <c r="A87" s="13" t="inlineStr"/>
      <c r="B87" s="13" t="n"/>
      <c r="C87" s="13" t="n"/>
      <c r="D87" s="10">
        <f>IF(OR(B87="",C87=""),"",(C87-B87)*1440)</f>
        <v/>
      </c>
      <c r="E87" s="13" t="n"/>
      <c r="F87" s="10">
        <f>IF(OR(D87="",E87=""),"",D87*E87)</f>
        <v/>
      </c>
      <c r="G87" s="13" t="n"/>
      <c r="H87" s="13" t="n"/>
      <c r="I87" s="13" t="n"/>
    </row>
    <row r="89">
      <c r="A89" s="5" t="inlineStr">
        <is>
          <t>── P011 朱怀远 ──────────────────────────────────────────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" t="n"/>
    </row>
    <row r="90">
      <c r="A90" s="8" t="inlineStr">
        <is>
          <t>编号</t>
        </is>
      </c>
      <c r="B90" s="8" t="inlineStr">
        <is>
          <t>姓名</t>
        </is>
      </c>
      <c r="C90" s="8" t="inlineStr">
        <is>
          <t>身高</t>
        </is>
      </c>
      <c r="D90" s="8" t="inlineStr">
        <is>
          <t>1RM</t>
        </is>
      </c>
      <c r="E90" s="8" t="inlineStr">
        <is>
          <t>睡眠</t>
        </is>
      </c>
      <c r="F90" s="8" t="inlineStr">
        <is>
          <t>压力</t>
        </is>
      </c>
      <c r="G90" s="8" t="inlineStr">
        <is>
          <t>疲劳</t>
        </is>
      </c>
      <c r="H90" s="8" t="inlineStr">
        <is>
          <t>酸痛</t>
        </is>
      </c>
      <c r="I90" s="8" t="inlineStr">
        <is>
          <t>Hooper总</t>
        </is>
      </c>
      <c r="J90" s="8" t="inlineStr">
        <is>
          <t>CMJ1</t>
        </is>
      </c>
      <c r="K90" s="8" t="inlineStr">
        <is>
          <t>CMJ2</t>
        </is>
      </c>
      <c r="L90" s="8" t="inlineStr">
        <is>
          <t>CMJ3</t>
        </is>
      </c>
      <c r="M90" s="8" t="inlineStr">
        <is>
          <t>CMJ均值</t>
        </is>
      </c>
      <c r="N90" s="8" t="inlineStr">
        <is>
          <t>&lt;95%?</t>
        </is>
      </c>
      <c r="O90" s="8" t="inlineStr">
        <is>
          <t>减组?</t>
        </is>
      </c>
      <c r="P90" s="8" t="inlineStr">
        <is>
          <t>实做组数</t>
        </is>
      </c>
      <c r="Q90" s="8" t="inlineStr">
        <is>
          <t>LVP_a</t>
        </is>
      </c>
      <c r="R90" s="8" t="inlineStr">
        <is>
          <t>LVP_b</t>
        </is>
      </c>
      <c r="S90" s="8" t="inlineStr">
        <is>
          <t>等级</t>
        </is>
      </c>
      <c r="T90" s="8" t="inlineStr">
        <is>
          <t>预测起始</t>
        </is>
      </c>
    </row>
    <row r="91">
      <c r="A91" s="9" t="inlineStr">
        <is>
          <t>P011</t>
        </is>
      </c>
      <c r="B91" s="9" t="inlineStr">
        <is>
          <t>朱怀远</t>
        </is>
      </c>
      <c r="C91" s="9" t="n">
        <v>165</v>
      </c>
      <c r="D91" s="9" t="n">
        <v>125</v>
      </c>
      <c r="E91" s="9" t="n"/>
      <c r="F91" s="9" t="n"/>
      <c r="G91" s="9" t="n"/>
      <c r="H91" s="9" t="n"/>
      <c r="I91" s="10">
        <f>IFERROR(SUM(E91:H91),"")</f>
        <v/>
      </c>
      <c r="J91" s="9" t="n"/>
      <c r="K91" s="9" t="n"/>
      <c r="L91" s="9" t="n"/>
      <c r="M91" s="10">
        <f>IFERROR(AVERAGE(J91:L91),"")</f>
        <v/>
      </c>
      <c r="N91" s="10">
        <f>IF(M91="","",IF(M91&lt;64.98,"是⚠","否"))</f>
        <v/>
      </c>
      <c r="O91" s="10">
        <f>IF(M91="","",IF(M91&lt;64.98,"减1组","正常"))</f>
        <v/>
      </c>
      <c r="P91" s="10">
        <f>IF(M91="","",IF(M91&lt;64.98,5-1,5))</f>
        <v/>
      </c>
      <c r="Q91" s="9" t="n">
        <v>1.2583</v>
      </c>
      <c r="R91" s="9" t="n">
        <v>-0.006125</v>
      </c>
      <c r="S91" s="9" t="inlineStr">
        <is>
          <t>D</t>
        </is>
      </c>
      <c r="T91" s="10">
        <f>IFERROR(ROUND((0.7-1.2583)/-0.006125,0.5),"")</f>
        <v/>
      </c>
    </row>
    <row r="92">
      <c r="A92" s="8" t="inlineStr">
        <is>
          <t>热身校准</t>
        </is>
      </c>
      <c r="B92" s="8" t="inlineStr">
        <is>
          <t>LVP_a</t>
        </is>
      </c>
      <c r="C92" s="8" t="inlineStr">
        <is>
          <t>LVP_b</t>
        </is>
      </c>
      <c r="D92" s="8" t="inlineStr">
        <is>
          <t>50%热身kg</t>
        </is>
      </c>
      <c r="E92" s="8" t="inlineStr">
        <is>
          <t>70%热身kg</t>
        </is>
      </c>
      <c r="F92" s="8" t="inlineStr">
        <is>
          <t>热身负荷kg</t>
        </is>
      </c>
      <c r="G92" s="8" t="inlineStr">
        <is>
          <t>实测MCV</t>
        </is>
      </c>
      <c r="H92" s="8" t="inlineStr">
        <is>
          <t>预测MCV</t>
        </is>
      </c>
      <c r="I92" s="8" t="inlineStr">
        <is>
          <t>Δv</t>
        </is>
      </c>
      <c r="J92" s="8" t="inlineStr">
        <is>
          <t>调整量kg</t>
        </is>
      </c>
      <c r="K92" s="8" t="inlineStr">
        <is>
          <t>校准后第1组kg</t>
        </is>
      </c>
    </row>
    <row r="93">
      <c r="A93" s="11" t="inlineStr"/>
      <c r="B93" s="11" t="n">
        <v>1.2583</v>
      </c>
      <c r="C93" s="11" t="n">
        <v>-0.006125</v>
      </c>
      <c r="D93" s="10">
        <f>IFERROR(ROUND(T91*0.5,2.5),"")</f>
        <v/>
      </c>
      <c r="E93" s="10">
        <f>IFERROR(ROUND(T91*0.7,2.5),"")</f>
        <v/>
      </c>
      <c r="F93" s="10">
        <f>D93</f>
        <v/>
      </c>
      <c r="G93" s="9" t="n"/>
      <c r="H93" s="10">
        <f>IF(F93="","",B93+C93*F93)</f>
        <v/>
      </c>
      <c r="I93" s="10">
        <f>IF(OR(G93="",H93=""),"",G93-H93)</f>
        <v/>
      </c>
      <c r="J93" s="10">
        <f>IF(I93="","",IF(I93&gt;0.08,5,IF(I93&gt;0.04,2.5,IF(I93&gt;=-0.04,0,IF(I93&gt;=-0.08,-2.5,-5)))))</f>
        <v/>
      </c>
      <c r="K93" s="10">
        <f>IFERROR(ROUND(T91+J93,2.5),"")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8" t="inlineStr">
        <is>
          <t>组次</t>
        </is>
      </c>
      <c r="B94" s="8" t="inlineStr">
        <is>
          <t>负荷kg</t>
        </is>
      </c>
      <c r="C94" s="8" t="inlineStr">
        <is>
          <t>rep1</t>
        </is>
      </c>
      <c r="D94" s="8" t="inlineStr">
        <is>
          <t>rep2</t>
        </is>
      </c>
      <c r="E94" s="8" t="inlineStr">
        <is>
          <t>rep3</t>
        </is>
      </c>
      <c r="F94" s="8" t="inlineStr">
        <is>
          <t>rep4</t>
        </is>
      </c>
      <c r="G94" s="8" t="inlineStr">
        <is>
          <t>rep5</t>
        </is>
      </c>
      <c r="H94" s="8" t="inlineStr">
        <is>
          <t>rep6</t>
        </is>
      </c>
      <c r="I94" s="8" t="inlineStr">
        <is>
          <t>首rep</t>
        </is>
      </c>
      <c r="J94" s="8" t="inlineStr">
        <is>
          <t>最低速</t>
        </is>
      </c>
      <c r="K94" s="8" t="inlineStr">
        <is>
          <t>最低rep#</t>
        </is>
      </c>
      <c r="L94" s="8" t="inlineStr">
        <is>
          <t>VL%</t>
        </is>
      </c>
      <c r="M94" s="8" t="inlineStr">
        <is>
          <t>VL达标?</t>
        </is>
      </c>
      <c r="N94" s="8" t="inlineStr">
        <is>
          <t>安全停止?</t>
        </is>
      </c>
      <c r="O94" s="8" t="inlineStr">
        <is>
          <t>停组原因</t>
        </is>
      </c>
      <c r="P94" s="8" t="inlineStr">
        <is>
          <t>下组建议</t>
        </is>
      </c>
      <c r="Q94" s="8" t="inlineStr">
        <is>
          <t>实做次数</t>
        </is>
      </c>
    </row>
    <row r="95">
      <c r="A95" s="12" t="n">
        <v>1</v>
      </c>
      <c r="B95" s="10">
        <f>IF(K93="","",K93)</f>
        <v/>
      </c>
      <c r="C95" s="9" t="n"/>
      <c r="D95" s="9" t="n"/>
      <c r="E95" s="9" t="n"/>
      <c r="F95" s="9" t="n"/>
      <c r="G95" s="9" t="n"/>
      <c r="H95" s="9" t="n"/>
      <c r="I95" s="10">
        <f>IFERROR(INDEX(C95:H95,MATCH(TRUE,INDEX(C95:H95&lt;&gt;"",0),0)),"")</f>
        <v/>
      </c>
      <c r="J95" s="10">
        <f>IFERROR(MIN(IF(C95:H95&lt;&gt;"",C95:H95)),"")</f>
        <v/>
      </c>
      <c r="K95" s="10">
        <f>IFERROR(MATCH(I95,C95:H95,0),"")</f>
        <v/>
      </c>
      <c r="L95" s="10">
        <f>IF(OR(I95="",J95=""),"",ROUND((I95-J95)/I95*100,1))</f>
        <v/>
      </c>
      <c r="M95" s="10">
        <f>IF(L95="","",IF(L95&gt;=15,"是","否"))</f>
        <v/>
      </c>
      <c r="N95" s="10">
        <f>IF(J95="","",IF(J95&lt;0.15,"是","否"))</f>
        <v/>
      </c>
      <c r="O95" s="10">
        <f>IF(I95="","",IF(J95&lt;0.15,"SAFETY_STOP",IF(L95&gt;=15,"VL_THRESHOLD","PLANNED_END")))</f>
        <v/>
      </c>
      <c r="P95" s="10">
        <f>IF(I95="","",IF(I95&gt;($D$2+0.05),"+5kg",IF(I95&gt;($D$2+0.02),"+2.5kg",IF(I95&gt;=($D$2-0.05),"保持",IF(I95&gt;=($D$2-0.08),"-2.5kg","-5kg")))))</f>
        <v/>
      </c>
      <c r="Q95" s="9" t="n"/>
      <c r="R95" s="12" t="n"/>
      <c r="S95" s="12" t="n"/>
      <c r="T95" s="12" t="n"/>
    </row>
    <row r="96">
      <c r="A96" s="12" t="n">
        <v>2</v>
      </c>
      <c r="B96" s="9" t="n"/>
      <c r="C96" s="9" t="n"/>
      <c r="D96" s="9" t="n"/>
      <c r="E96" s="9" t="n"/>
      <c r="F96" s="9" t="n"/>
      <c r="G96" s="9" t="n"/>
      <c r="H96" s="9" t="n"/>
      <c r="I96" s="10">
        <f>IFERROR(INDEX(C96:H96,MATCH(TRUE,INDEX(C96:H96&lt;&gt;"",0),0)),"")</f>
        <v/>
      </c>
      <c r="J96" s="10">
        <f>IFERROR(MIN(IF(C96:H96&lt;&gt;"",C96:H96)),"")</f>
        <v/>
      </c>
      <c r="K96" s="10">
        <f>IFERROR(MATCH(I96,C96:H96,0),"")</f>
        <v/>
      </c>
      <c r="L96" s="10">
        <f>IF(OR(I96="",J96=""),"",ROUND((I96-J96)/I96*100,1))</f>
        <v/>
      </c>
      <c r="M96" s="10">
        <f>IF(L96="","",IF(L96&gt;=15,"是","否"))</f>
        <v/>
      </c>
      <c r="N96" s="10">
        <f>IF(J96="","",IF(J96&lt;0.15,"是","否"))</f>
        <v/>
      </c>
      <c r="O96" s="10">
        <f>IF(I96="","",IF(J96&lt;0.15,"SAFETY_STOP",IF(L96&gt;=15,"VL_THRESHOLD","PLANNED_END")))</f>
        <v/>
      </c>
      <c r="P96" s="10">
        <f>IF(I96="","",IF(I96&gt;($D$2+0.05),"+5kg",IF(I96&gt;($D$2+0.02),"+2.5kg",IF(I96&gt;=($D$2-0.05),"保持",IF(I96&gt;=($D$2-0.08),"-2.5kg","-5kg")))))</f>
        <v/>
      </c>
      <c r="Q96" s="9" t="n"/>
      <c r="R96" s="12" t="n"/>
      <c r="S96" s="12" t="n"/>
      <c r="T96" s="12" t="n"/>
    </row>
    <row r="97">
      <c r="A97" s="12" t="n">
        <v>3</v>
      </c>
      <c r="B97" s="9" t="n"/>
      <c r="C97" s="9" t="n"/>
      <c r="D97" s="9" t="n"/>
      <c r="E97" s="9" t="n"/>
      <c r="F97" s="9" t="n"/>
      <c r="G97" s="9" t="n"/>
      <c r="H97" s="9" t="n"/>
      <c r="I97" s="10">
        <f>IFERROR(INDEX(C97:H97,MATCH(TRUE,INDEX(C97:H97&lt;&gt;"",0),0)),"")</f>
        <v/>
      </c>
      <c r="J97" s="10">
        <f>IFERROR(MIN(IF(C97:H97&lt;&gt;"",C97:H97)),"")</f>
        <v/>
      </c>
      <c r="K97" s="10">
        <f>IFERROR(MATCH(I97,C97:H97,0),"")</f>
        <v/>
      </c>
      <c r="L97" s="10">
        <f>IF(OR(I97="",J97=""),"",ROUND((I97-J97)/I97*100,1))</f>
        <v/>
      </c>
      <c r="M97" s="10">
        <f>IF(L97="","",IF(L97&gt;=15,"是","否"))</f>
        <v/>
      </c>
      <c r="N97" s="10">
        <f>IF(J97="","",IF(J97&lt;0.15,"是","否"))</f>
        <v/>
      </c>
      <c r="O97" s="10">
        <f>IF(I97="","",IF(J97&lt;0.15,"SAFETY_STOP",IF(L97&gt;=15,"VL_THRESHOLD","PLANNED_END")))</f>
        <v/>
      </c>
      <c r="P97" s="10">
        <f>IF(I97="","",IF(I97&gt;($D$2+0.05),"+5kg",IF(I97&gt;($D$2+0.02),"+2.5kg",IF(I97&gt;=($D$2-0.05),"保持",IF(I97&gt;=($D$2-0.08),"-2.5kg","-5kg")))))</f>
        <v/>
      </c>
      <c r="Q97" s="9" t="n"/>
      <c r="R97" s="12" t="n"/>
      <c r="S97" s="12" t="n"/>
      <c r="T97" s="12" t="n"/>
    </row>
    <row r="98">
      <c r="A98" s="12" t="n">
        <v>4</v>
      </c>
      <c r="B98" s="9" t="n"/>
      <c r="C98" s="9" t="n"/>
      <c r="D98" s="9" t="n"/>
      <c r="E98" s="9" t="n"/>
      <c r="F98" s="9" t="n"/>
      <c r="G98" s="9" t="n"/>
      <c r="H98" s="9" t="n"/>
      <c r="I98" s="10">
        <f>IFERROR(INDEX(C98:H98,MATCH(TRUE,INDEX(C98:H98&lt;&gt;"",0),0)),"")</f>
        <v/>
      </c>
      <c r="J98" s="10">
        <f>IFERROR(MIN(IF(C98:H98&lt;&gt;"",C98:H98)),"")</f>
        <v/>
      </c>
      <c r="K98" s="10">
        <f>IFERROR(MATCH(I98,C98:H98,0),"")</f>
        <v/>
      </c>
      <c r="L98" s="10">
        <f>IF(OR(I98="",J98=""),"",ROUND((I98-J98)/I98*100,1))</f>
        <v/>
      </c>
      <c r="M98" s="10">
        <f>IF(L98="","",IF(L98&gt;=15,"是","否"))</f>
        <v/>
      </c>
      <c r="N98" s="10">
        <f>IF(J98="","",IF(J98&lt;0.15,"是","否"))</f>
        <v/>
      </c>
      <c r="O98" s="10">
        <f>IF(I98="","",IF(J98&lt;0.15,"SAFETY_STOP",IF(L98&gt;=15,"VL_THRESHOLD","PLANNED_END")))</f>
        <v/>
      </c>
      <c r="P98" s="10">
        <f>IF(I98="","",IF(I98&gt;($D$2+0.05),"+5kg",IF(I98&gt;($D$2+0.02),"+2.5kg",IF(I98&gt;=($D$2-0.05),"保持",IF(I98&gt;=($D$2-0.08),"-2.5kg","-5kg")))))</f>
        <v/>
      </c>
      <c r="Q98" s="9" t="n"/>
      <c r="R98" s="12" t="n"/>
      <c r="S98" s="12" t="n"/>
      <c r="T98" s="12" t="n"/>
    </row>
    <row r="99">
      <c r="A99" s="12" t="n">
        <v>5</v>
      </c>
      <c r="B99" s="9" t="n"/>
      <c r="C99" s="9" t="n"/>
      <c r="D99" s="9" t="n"/>
      <c r="E99" s="9" t="n"/>
      <c r="F99" s="9" t="n"/>
      <c r="G99" s="9" t="n"/>
      <c r="H99" s="9" t="n"/>
      <c r="I99" s="10">
        <f>IFERROR(INDEX(C99:H99,MATCH(TRUE,INDEX(C99:H99&lt;&gt;"",0),0)),"")</f>
        <v/>
      </c>
      <c r="J99" s="10">
        <f>IFERROR(MIN(IF(C99:H99&lt;&gt;"",C99:H99)),"")</f>
        <v/>
      </c>
      <c r="K99" s="10">
        <f>IFERROR(MATCH(I99,C99:H99,0),"")</f>
        <v/>
      </c>
      <c r="L99" s="10">
        <f>IF(OR(I99="",J99=""),"",ROUND((I99-J99)/I99*100,1))</f>
        <v/>
      </c>
      <c r="M99" s="10">
        <f>IF(L99="","",IF(L99&gt;=15,"是","否"))</f>
        <v/>
      </c>
      <c r="N99" s="10">
        <f>IF(J99="","",IF(J99&lt;0.15,"是","否"))</f>
        <v/>
      </c>
      <c r="O99" s="10">
        <f>IF(I99="","",IF(J99&lt;0.15,"SAFETY_STOP",IF(L99&gt;=15,"VL_THRESHOLD","PLANNED_END")))</f>
        <v/>
      </c>
      <c r="P99" s="10">
        <f>IF(I99="","",IF(I99&gt;($D$2+0.05),"+5kg",IF(I99&gt;($D$2+0.02),"+2.5kg",IF(I99&gt;=($D$2-0.05),"保持",IF(I99&gt;=($D$2-0.08),"-2.5kg","-5kg")))))</f>
        <v/>
      </c>
      <c r="Q99" s="9" t="n"/>
      <c r="R99" s="12" t="n"/>
      <c r="S99" s="12" t="n"/>
      <c r="T99" s="12" t="n"/>
    </row>
    <row r="100">
      <c r="A100" s="12" t="n">
        <v>6</v>
      </c>
      <c r="B100" s="9" t="n"/>
      <c r="C100" s="9" t="n"/>
      <c r="D100" s="9" t="n"/>
      <c r="E100" s="9" t="n"/>
      <c r="F100" s="9" t="n"/>
      <c r="G100" s="9" t="n"/>
      <c r="H100" s="9" t="n"/>
      <c r="I100" s="10">
        <f>IFERROR(INDEX(C100:H100,MATCH(TRUE,INDEX(C100:H100&lt;&gt;"",0),0)),"")</f>
        <v/>
      </c>
      <c r="J100" s="10">
        <f>IFERROR(MIN(IF(C100:H100&lt;&gt;"",C100:H100)),"")</f>
        <v/>
      </c>
      <c r="K100" s="10">
        <f>IFERROR(MATCH(I100,C100:H100,0),"")</f>
        <v/>
      </c>
      <c r="L100" s="10">
        <f>IF(OR(I100="",J100=""),"",ROUND((I100-J100)/I100*100,1))</f>
        <v/>
      </c>
      <c r="M100" s="10">
        <f>IF(L100="","",IF(L100&gt;=15,"是","否"))</f>
        <v/>
      </c>
      <c r="N100" s="10">
        <f>IF(J100="","",IF(J100&lt;0.15,"是","否"))</f>
        <v/>
      </c>
      <c r="O100" s="10">
        <f>IF(I100="","",IF(J100&lt;0.15,"SAFETY_STOP",IF(L100&gt;=15,"VL_THRESHOLD","PLANNED_END")))</f>
        <v/>
      </c>
      <c r="P100" s="10">
        <f>IF(I100="","",IF(I100&gt;($D$2+0.05),"+5kg",IF(I100&gt;($D$2+0.02),"+2.5kg",IF(I100&gt;=($D$2-0.05),"保持",IF(I100&gt;=($D$2-0.08),"-2.5kg","-5kg")))))</f>
        <v/>
      </c>
      <c r="Q100" s="9" t="n"/>
      <c r="R100" s="12" t="n"/>
      <c r="S100" s="12" t="n"/>
      <c r="T100" s="12" t="n"/>
    </row>
    <row r="101">
      <c r="A101" s="8" t="inlineStr">
        <is>
          <t>辅助动作</t>
        </is>
      </c>
      <c r="B101" s="8" t="inlineStr">
        <is>
          <t>动作名称</t>
        </is>
      </c>
      <c r="C101" s="8" t="inlineStr">
        <is>
          <t>负荷kg</t>
        </is>
      </c>
      <c r="D101" s="8" t="inlineStr">
        <is>
          <t>完成(组×次)</t>
        </is>
      </c>
    </row>
    <row r="102">
      <c r="A102" s="9" t="inlineStr"/>
      <c r="B102" s="9" t="n"/>
      <c r="C102" s="9" t="n"/>
      <c r="D102" s="9" t="n"/>
    </row>
    <row r="103">
      <c r="A103" s="8" t="inlineStr">
        <is>
          <t>训练后</t>
        </is>
      </c>
      <c r="B103" s="8" t="inlineStr">
        <is>
          <t>开始时间</t>
        </is>
      </c>
      <c r="C103" s="8" t="inlineStr">
        <is>
          <t>结束时间</t>
        </is>
      </c>
      <c r="D103" s="8" t="inlineStr">
        <is>
          <t>总时长min</t>
        </is>
      </c>
      <c r="E103" s="8" t="inlineStr">
        <is>
          <t>sRPE</t>
        </is>
      </c>
      <c r="F103" s="8" t="inlineStr">
        <is>
          <t>session_load</t>
        </is>
      </c>
      <c r="G103" s="8" t="inlineStr">
        <is>
          <t>有无不适</t>
        </is>
      </c>
      <c r="H103" s="8" t="inlineStr">
        <is>
          <t>备注</t>
        </is>
      </c>
      <c r="I103" s="8" t="inlineStr">
        <is>
          <t>研究员签名</t>
        </is>
      </c>
    </row>
    <row r="104">
      <c r="A104" s="13" t="inlineStr"/>
      <c r="B104" s="13" t="n"/>
      <c r="C104" s="13" t="n"/>
      <c r="D104" s="10">
        <f>IF(OR(B104="",C104=""),"",(C104-B104)*1440)</f>
        <v/>
      </c>
      <c r="E104" s="13" t="n"/>
      <c r="F104" s="10">
        <f>IF(OR(D104="",E104=""),"",D104*E104)</f>
        <v/>
      </c>
      <c r="G104" s="13" t="n"/>
      <c r="H104" s="13" t="n"/>
      <c r="I104" s="13" t="n"/>
    </row>
    <row r="106">
      <c r="A106" s="5" t="inlineStr">
        <is>
          <t>── P016 杜遥 ──────────────────────────────────────────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7" t="n"/>
    </row>
    <row r="107">
      <c r="A107" s="8" t="inlineStr">
        <is>
          <t>编号</t>
        </is>
      </c>
      <c r="B107" s="8" t="inlineStr">
        <is>
          <t>姓名</t>
        </is>
      </c>
      <c r="C107" s="8" t="inlineStr">
        <is>
          <t>身高</t>
        </is>
      </c>
      <c r="D107" s="8" t="inlineStr">
        <is>
          <t>1RM</t>
        </is>
      </c>
      <c r="E107" s="8" t="inlineStr">
        <is>
          <t>睡眠</t>
        </is>
      </c>
      <c r="F107" s="8" t="inlineStr">
        <is>
          <t>压力</t>
        </is>
      </c>
      <c r="G107" s="8" t="inlineStr">
        <is>
          <t>疲劳</t>
        </is>
      </c>
      <c r="H107" s="8" t="inlineStr">
        <is>
          <t>酸痛</t>
        </is>
      </c>
      <c r="I107" s="8" t="inlineStr">
        <is>
          <t>Hooper总</t>
        </is>
      </c>
      <c r="J107" s="8" t="inlineStr">
        <is>
          <t>CMJ1</t>
        </is>
      </c>
      <c r="K107" s="8" t="inlineStr">
        <is>
          <t>CMJ2</t>
        </is>
      </c>
      <c r="L107" s="8" t="inlineStr">
        <is>
          <t>CMJ3</t>
        </is>
      </c>
      <c r="M107" s="8" t="inlineStr">
        <is>
          <t>CMJ均值</t>
        </is>
      </c>
      <c r="N107" s="8" t="inlineStr">
        <is>
          <t>&lt;95%?</t>
        </is>
      </c>
      <c r="O107" s="8" t="inlineStr">
        <is>
          <t>减组?</t>
        </is>
      </c>
      <c r="P107" s="8" t="inlineStr">
        <is>
          <t>实做组数</t>
        </is>
      </c>
      <c r="Q107" s="8" t="inlineStr">
        <is>
          <t>LVP_a</t>
        </is>
      </c>
      <c r="R107" s="8" t="inlineStr">
        <is>
          <t>LVP_b</t>
        </is>
      </c>
      <c r="S107" s="8" t="inlineStr">
        <is>
          <t>等级</t>
        </is>
      </c>
      <c r="T107" s="8" t="inlineStr">
        <is>
          <t>预测起始</t>
        </is>
      </c>
    </row>
    <row r="108">
      <c r="A108" s="9" t="inlineStr">
        <is>
          <t>P016</t>
        </is>
      </c>
      <c r="B108" s="9" t="inlineStr">
        <is>
          <t>杜遥</t>
        </is>
      </c>
      <c r="C108" s="9" t="n">
        <v>180</v>
      </c>
      <c r="D108" s="9" t="n">
        <v>135</v>
      </c>
      <c r="E108" s="9" t="n"/>
      <c r="F108" s="9" t="n"/>
      <c r="G108" s="9" t="n"/>
      <c r="H108" s="9" t="n"/>
      <c r="I108" s="10">
        <f>IFERROR(SUM(E108:H108),"")</f>
        <v/>
      </c>
      <c r="J108" s="9" t="n"/>
      <c r="K108" s="9" t="n"/>
      <c r="L108" s="9" t="n"/>
      <c r="M108" s="10">
        <f>IFERROR(AVERAGE(J108:L108),"")</f>
        <v/>
      </c>
      <c r="N108" s="10">
        <f>IF(M108="","",IF(M108&lt;49.75,"是⚠","否"))</f>
        <v/>
      </c>
      <c r="O108" s="10">
        <f>IF(M108="","",IF(M108&lt;49.75,"减1组","正常"))</f>
        <v/>
      </c>
      <c r="P108" s="10">
        <f>IF(M108="","",IF(M108&lt;49.75,5-1,5))</f>
        <v/>
      </c>
      <c r="Q108" s="9" t="n">
        <v>1.54</v>
      </c>
      <c r="R108" s="9" t="n">
        <v>-0.008500000000000001</v>
      </c>
      <c r="S108" s="9" t="inlineStr">
        <is>
          <t>B</t>
        </is>
      </c>
      <c r="T108" s="10">
        <f>IFERROR(ROUND((0.7-1.54)/-0.0085,0.5),"")</f>
        <v/>
      </c>
    </row>
    <row r="109">
      <c r="A109" s="8" t="inlineStr">
        <is>
          <t>热身校准</t>
        </is>
      </c>
      <c r="B109" s="8" t="inlineStr">
        <is>
          <t>LVP_a</t>
        </is>
      </c>
      <c r="C109" s="8" t="inlineStr">
        <is>
          <t>LVP_b</t>
        </is>
      </c>
      <c r="D109" s="8" t="inlineStr">
        <is>
          <t>50%热身kg</t>
        </is>
      </c>
      <c r="E109" s="8" t="inlineStr">
        <is>
          <t>70%热身kg</t>
        </is>
      </c>
      <c r="F109" s="8" t="inlineStr">
        <is>
          <t>热身负荷kg</t>
        </is>
      </c>
      <c r="G109" s="8" t="inlineStr">
        <is>
          <t>实测MCV</t>
        </is>
      </c>
      <c r="H109" s="8" t="inlineStr">
        <is>
          <t>预测MCV</t>
        </is>
      </c>
      <c r="I109" s="8" t="inlineStr">
        <is>
          <t>Δv</t>
        </is>
      </c>
      <c r="J109" s="8" t="inlineStr">
        <is>
          <t>调整量kg</t>
        </is>
      </c>
      <c r="K109" s="8" t="inlineStr">
        <is>
          <t>校准后第1组kg</t>
        </is>
      </c>
    </row>
    <row r="110">
      <c r="A110" s="11" t="inlineStr"/>
      <c r="B110" s="11" t="n">
        <v>1.54</v>
      </c>
      <c r="C110" s="11" t="n">
        <v>-0.008500000000000001</v>
      </c>
      <c r="D110" s="10">
        <f>IFERROR(ROUND(T108*0.5,2.5),"")</f>
        <v/>
      </c>
      <c r="E110" s="10">
        <f>IFERROR(ROUND(T108*0.7,2.5),"")</f>
        <v/>
      </c>
      <c r="F110" s="10">
        <f>D110</f>
        <v/>
      </c>
      <c r="G110" s="9" t="n"/>
      <c r="H110" s="10">
        <f>IF(F110="","",B110+C110*F110)</f>
        <v/>
      </c>
      <c r="I110" s="10">
        <f>IF(OR(G110="",H110=""),"",G110-H110)</f>
        <v/>
      </c>
      <c r="J110" s="10">
        <f>IF(I110="","",IF(I110&gt;0.08,5,IF(I110&gt;0.04,2.5,IF(I110&gt;=-0.04,0,IF(I110&gt;=-0.08,-2.5,-5)))))</f>
        <v/>
      </c>
      <c r="K110" s="10">
        <f>IFERROR(ROUND(T108+J110,2.5),"")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8" t="inlineStr">
        <is>
          <t>组次</t>
        </is>
      </c>
      <c r="B111" s="8" t="inlineStr">
        <is>
          <t>负荷kg</t>
        </is>
      </c>
      <c r="C111" s="8" t="inlineStr">
        <is>
          <t>rep1</t>
        </is>
      </c>
      <c r="D111" s="8" t="inlineStr">
        <is>
          <t>rep2</t>
        </is>
      </c>
      <c r="E111" s="8" t="inlineStr">
        <is>
          <t>rep3</t>
        </is>
      </c>
      <c r="F111" s="8" t="inlineStr">
        <is>
          <t>rep4</t>
        </is>
      </c>
      <c r="G111" s="8" t="inlineStr">
        <is>
          <t>rep5</t>
        </is>
      </c>
      <c r="H111" s="8" t="inlineStr">
        <is>
          <t>rep6</t>
        </is>
      </c>
      <c r="I111" s="8" t="inlineStr">
        <is>
          <t>首rep</t>
        </is>
      </c>
      <c r="J111" s="8" t="inlineStr">
        <is>
          <t>最低速</t>
        </is>
      </c>
      <c r="K111" s="8" t="inlineStr">
        <is>
          <t>最低rep#</t>
        </is>
      </c>
      <c r="L111" s="8" t="inlineStr">
        <is>
          <t>VL%</t>
        </is>
      </c>
      <c r="M111" s="8" t="inlineStr">
        <is>
          <t>VL达标?</t>
        </is>
      </c>
      <c r="N111" s="8" t="inlineStr">
        <is>
          <t>安全停止?</t>
        </is>
      </c>
      <c r="O111" s="8" t="inlineStr">
        <is>
          <t>停组原因</t>
        </is>
      </c>
      <c r="P111" s="8" t="inlineStr">
        <is>
          <t>下组建议</t>
        </is>
      </c>
      <c r="Q111" s="8" t="inlineStr">
        <is>
          <t>实做次数</t>
        </is>
      </c>
    </row>
    <row r="112">
      <c r="A112" s="12" t="n">
        <v>1</v>
      </c>
      <c r="B112" s="10">
        <f>IF(K110="","",K110)</f>
        <v/>
      </c>
      <c r="C112" s="9" t="n"/>
      <c r="D112" s="9" t="n"/>
      <c r="E112" s="9" t="n"/>
      <c r="F112" s="9" t="n"/>
      <c r="G112" s="9" t="n"/>
      <c r="H112" s="9" t="n"/>
      <c r="I112" s="10">
        <f>IFERROR(INDEX(C112:H112,MATCH(TRUE,INDEX(C112:H112&lt;&gt;"",0),0)),"")</f>
        <v/>
      </c>
      <c r="J112" s="10">
        <f>IFERROR(MIN(IF(C112:H112&lt;&gt;"",C112:H112)),"")</f>
        <v/>
      </c>
      <c r="K112" s="10">
        <f>IFERROR(MATCH(I112,C112:H112,0),"")</f>
        <v/>
      </c>
      <c r="L112" s="10">
        <f>IF(OR(I112="",J112=""),"",ROUND((I112-J112)/I112*100,1))</f>
        <v/>
      </c>
      <c r="M112" s="10">
        <f>IF(L112="","",IF(L112&gt;=15,"是","否"))</f>
        <v/>
      </c>
      <c r="N112" s="10">
        <f>IF(J112="","",IF(J112&lt;0.15,"是","否"))</f>
        <v/>
      </c>
      <c r="O112" s="10">
        <f>IF(I112="","",IF(J112&lt;0.15,"SAFETY_STOP",IF(L112&gt;=15,"VL_THRESHOLD","PLANNED_END")))</f>
        <v/>
      </c>
      <c r="P112" s="10">
        <f>IF(I112="","",IF(I112&gt;($D$2+0.05),"+5kg",IF(I112&gt;($D$2+0.02),"+2.5kg",IF(I112&gt;=($D$2-0.05),"保持",IF(I112&gt;=($D$2-0.08),"-2.5kg","-5kg")))))</f>
        <v/>
      </c>
      <c r="Q112" s="9" t="n"/>
      <c r="R112" s="12" t="n"/>
      <c r="S112" s="12" t="n"/>
      <c r="T112" s="12" t="n"/>
    </row>
    <row r="113">
      <c r="A113" s="12" t="n">
        <v>2</v>
      </c>
      <c r="B113" s="9" t="n"/>
      <c r="C113" s="9" t="n"/>
      <c r="D113" s="9" t="n"/>
      <c r="E113" s="9" t="n"/>
      <c r="F113" s="9" t="n"/>
      <c r="G113" s="9" t="n"/>
      <c r="H113" s="9" t="n"/>
      <c r="I113" s="10">
        <f>IFERROR(INDEX(C113:H113,MATCH(TRUE,INDEX(C113:H113&lt;&gt;"",0),0)),"")</f>
        <v/>
      </c>
      <c r="J113" s="10">
        <f>IFERROR(MIN(IF(C113:H113&lt;&gt;"",C113:H113)),"")</f>
        <v/>
      </c>
      <c r="K113" s="10">
        <f>IFERROR(MATCH(I113,C113:H113,0),"")</f>
        <v/>
      </c>
      <c r="L113" s="10">
        <f>IF(OR(I113="",J113=""),"",ROUND((I113-J113)/I113*100,1))</f>
        <v/>
      </c>
      <c r="M113" s="10">
        <f>IF(L113="","",IF(L113&gt;=15,"是","否"))</f>
        <v/>
      </c>
      <c r="N113" s="10">
        <f>IF(J113="","",IF(J113&lt;0.15,"是","否"))</f>
        <v/>
      </c>
      <c r="O113" s="10">
        <f>IF(I113="","",IF(J113&lt;0.15,"SAFETY_STOP",IF(L113&gt;=15,"VL_THRESHOLD","PLANNED_END")))</f>
        <v/>
      </c>
      <c r="P113" s="10">
        <f>IF(I113="","",IF(I113&gt;($D$2+0.05),"+5kg",IF(I113&gt;($D$2+0.02),"+2.5kg",IF(I113&gt;=($D$2-0.05),"保持",IF(I113&gt;=($D$2-0.08),"-2.5kg","-5kg")))))</f>
        <v/>
      </c>
      <c r="Q113" s="9" t="n"/>
      <c r="R113" s="12" t="n"/>
      <c r="S113" s="12" t="n"/>
      <c r="T113" s="12" t="n"/>
    </row>
    <row r="114">
      <c r="A114" s="12" t="n">
        <v>3</v>
      </c>
      <c r="B114" s="9" t="n"/>
      <c r="C114" s="9" t="n"/>
      <c r="D114" s="9" t="n"/>
      <c r="E114" s="9" t="n"/>
      <c r="F114" s="9" t="n"/>
      <c r="G114" s="9" t="n"/>
      <c r="H114" s="9" t="n"/>
      <c r="I114" s="10">
        <f>IFERROR(INDEX(C114:H114,MATCH(TRUE,INDEX(C114:H114&lt;&gt;"",0),0)),"")</f>
        <v/>
      </c>
      <c r="J114" s="10">
        <f>IFERROR(MIN(IF(C114:H114&lt;&gt;"",C114:H114)),"")</f>
        <v/>
      </c>
      <c r="K114" s="10">
        <f>IFERROR(MATCH(I114,C114:H114,0),"")</f>
        <v/>
      </c>
      <c r="L114" s="10">
        <f>IF(OR(I114="",J114=""),"",ROUND((I114-J114)/I114*100,1))</f>
        <v/>
      </c>
      <c r="M114" s="10">
        <f>IF(L114="","",IF(L114&gt;=15,"是","否"))</f>
        <v/>
      </c>
      <c r="N114" s="10">
        <f>IF(J114="","",IF(J114&lt;0.15,"是","否"))</f>
        <v/>
      </c>
      <c r="O114" s="10">
        <f>IF(I114="","",IF(J114&lt;0.15,"SAFETY_STOP",IF(L114&gt;=15,"VL_THRESHOLD","PLANNED_END")))</f>
        <v/>
      </c>
      <c r="P114" s="10">
        <f>IF(I114="","",IF(I114&gt;($D$2+0.05),"+5kg",IF(I114&gt;($D$2+0.02),"+2.5kg",IF(I114&gt;=($D$2-0.05),"保持",IF(I114&gt;=($D$2-0.08),"-2.5kg","-5kg")))))</f>
        <v/>
      </c>
      <c r="Q114" s="9" t="n"/>
      <c r="R114" s="12" t="n"/>
      <c r="S114" s="12" t="n"/>
      <c r="T114" s="12" t="n"/>
    </row>
    <row r="115">
      <c r="A115" s="12" t="n">
        <v>4</v>
      </c>
      <c r="B115" s="9" t="n"/>
      <c r="C115" s="9" t="n"/>
      <c r="D115" s="9" t="n"/>
      <c r="E115" s="9" t="n"/>
      <c r="F115" s="9" t="n"/>
      <c r="G115" s="9" t="n"/>
      <c r="H115" s="9" t="n"/>
      <c r="I115" s="10">
        <f>IFERROR(INDEX(C115:H115,MATCH(TRUE,INDEX(C115:H115&lt;&gt;"",0),0)),"")</f>
        <v/>
      </c>
      <c r="J115" s="10">
        <f>IFERROR(MIN(IF(C115:H115&lt;&gt;"",C115:H115)),"")</f>
        <v/>
      </c>
      <c r="K115" s="10">
        <f>IFERROR(MATCH(I115,C115:H115,0),"")</f>
        <v/>
      </c>
      <c r="L115" s="10">
        <f>IF(OR(I115="",J115=""),"",ROUND((I115-J115)/I115*100,1))</f>
        <v/>
      </c>
      <c r="M115" s="10">
        <f>IF(L115="","",IF(L115&gt;=15,"是","否"))</f>
        <v/>
      </c>
      <c r="N115" s="10">
        <f>IF(J115="","",IF(J115&lt;0.15,"是","否"))</f>
        <v/>
      </c>
      <c r="O115" s="10">
        <f>IF(I115="","",IF(J115&lt;0.15,"SAFETY_STOP",IF(L115&gt;=15,"VL_THRESHOLD","PLANNED_END")))</f>
        <v/>
      </c>
      <c r="P115" s="10">
        <f>IF(I115="","",IF(I115&gt;($D$2+0.05),"+5kg",IF(I115&gt;($D$2+0.02),"+2.5kg",IF(I115&gt;=($D$2-0.05),"保持",IF(I115&gt;=($D$2-0.08),"-2.5kg","-5kg")))))</f>
        <v/>
      </c>
      <c r="Q115" s="9" t="n"/>
      <c r="R115" s="12" t="n"/>
      <c r="S115" s="12" t="n"/>
      <c r="T115" s="12" t="n"/>
    </row>
    <row r="116">
      <c r="A116" s="12" t="n">
        <v>5</v>
      </c>
      <c r="B116" s="9" t="n"/>
      <c r="C116" s="9" t="n"/>
      <c r="D116" s="9" t="n"/>
      <c r="E116" s="9" t="n"/>
      <c r="F116" s="9" t="n"/>
      <c r="G116" s="9" t="n"/>
      <c r="H116" s="9" t="n"/>
      <c r="I116" s="10">
        <f>IFERROR(INDEX(C116:H116,MATCH(TRUE,INDEX(C116:H116&lt;&gt;"",0),0)),"")</f>
        <v/>
      </c>
      <c r="J116" s="10">
        <f>IFERROR(MIN(IF(C116:H116&lt;&gt;"",C116:H116)),"")</f>
        <v/>
      </c>
      <c r="K116" s="10">
        <f>IFERROR(MATCH(I116,C116:H116,0),"")</f>
        <v/>
      </c>
      <c r="L116" s="10">
        <f>IF(OR(I116="",J116=""),"",ROUND((I116-J116)/I116*100,1))</f>
        <v/>
      </c>
      <c r="M116" s="10">
        <f>IF(L116="","",IF(L116&gt;=15,"是","否"))</f>
        <v/>
      </c>
      <c r="N116" s="10">
        <f>IF(J116="","",IF(J116&lt;0.15,"是","否"))</f>
        <v/>
      </c>
      <c r="O116" s="10">
        <f>IF(I116="","",IF(J116&lt;0.15,"SAFETY_STOP",IF(L116&gt;=15,"VL_THRESHOLD","PLANNED_END")))</f>
        <v/>
      </c>
      <c r="P116" s="10">
        <f>IF(I116="","",IF(I116&gt;($D$2+0.05),"+5kg",IF(I116&gt;($D$2+0.02),"+2.5kg",IF(I116&gt;=($D$2-0.05),"保持",IF(I116&gt;=($D$2-0.08),"-2.5kg","-5kg")))))</f>
        <v/>
      </c>
      <c r="Q116" s="9" t="n"/>
      <c r="R116" s="12" t="n"/>
      <c r="S116" s="12" t="n"/>
      <c r="T116" s="12" t="n"/>
    </row>
    <row r="117">
      <c r="A117" s="12" t="n">
        <v>6</v>
      </c>
      <c r="B117" s="9" t="n"/>
      <c r="C117" s="9" t="n"/>
      <c r="D117" s="9" t="n"/>
      <c r="E117" s="9" t="n"/>
      <c r="F117" s="9" t="n"/>
      <c r="G117" s="9" t="n"/>
      <c r="H117" s="9" t="n"/>
      <c r="I117" s="10">
        <f>IFERROR(INDEX(C117:H117,MATCH(TRUE,INDEX(C117:H117&lt;&gt;"",0),0)),"")</f>
        <v/>
      </c>
      <c r="J117" s="10">
        <f>IFERROR(MIN(IF(C117:H117&lt;&gt;"",C117:H117)),"")</f>
        <v/>
      </c>
      <c r="K117" s="10">
        <f>IFERROR(MATCH(I117,C117:H117,0),"")</f>
        <v/>
      </c>
      <c r="L117" s="10">
        <f>IF(OR(I117="",J117=""),"",ROUND((I117-J117)/I117*100,1))</f>
        <v/>
      </c>
      <c r="M117" s="10">
        <f>IF(L117="","",IF(L117&gt;=15,"是","否"))</f>
        <v/>
      </c>
      <c r="N117" s="10">
        <f>IF(J117="","",IF(J117&lt;0.15,"是","否"))</f>
        <v/>
      </c>
      <c r="O117" s="10">
        <f>IF(I117="","",IF(J117&lt;0.15,"SAFETY_STOP",IF(L117&gt;=15,"VL_THRESHOLD","PLANNED_END")))</f>
        <v/>
      </c>
      <c r="P117" s="10">
        <f>IF(I117="","",IF(I117&gt;($D$2+0.05),"+5kg",IF(I117&gt;($D$2+0.02),"+2.5kg",IF(I117&gt;=($D$2-0.05),"保持",IF(I117&gt;=($D$2-0.08),"-2.5kg","-5kg")))))</f>
        <v/>
      </c>
      <c r="Q117" s="9" t="n"/>
      <c r="R117" s="12" t="n"/>
      <c r="S117" s="12" t="n"/>
      <c r="T117" s="12" t="n"/>
    </row>
    <row r="118">
      <c r="A118" s="8" t="inlineStr">
        <is>
          <t>辅助动作</t>
        </is>
      </c>
      <c r="B118" s="8" t="inlineStr">
        <is>
          <t>动作名称</t>
        </is>
      </c>
      <c r="C118" s="8" t="inlineStr">
        <is>
          <t>负荷kg</t>
        </is>
      </c>
      <c r="D118" s="8" t="inlineStr">
        <is>
          <t>完成(组×次)</t>
        </is>
      </c>
    </row>
    <row r="119">
      <c r="A119" s="9" t="inlineStr"/>
      <c r="B119" s="9" t="n"/>
      <c r="C119" s="9" t="n"/>
      <c r="D119" s="9" t="n"/>
    </row>
    <row r="120">
      <c r="A120" s="8" t="inlineStr">
        <is>
          <t>训练后</t>
        </is>
      </c>
      <c r="B120" s="8" t="inlineStr">
        <is>
          <t>开始时间</t>
        </is>
      </c>
      <c r="C120" s="8" t="inlineStr">
        <is>
          <t>结束时间</t>
        </is>
      </c>
      <c r="D120" s="8" t="inlineStr">
        <is>
          <t>总时长min</t>
        </is>
      </c>
      <c r="E120" s="8" t="inlineStr">
        <is>
          <t>sRPE</t>
        </is>
      </c>
      <c r="F120" s="8" t="inlineStr">
        <is>
          <t>session_load</t>
        </is>
      </c>
      <c r="G120" s="8" t="inlineStr">
        <is>
          <t>有无不适</t>
        </is>
      </c>
      <c r="H120" s="8" t="inlineStr">
        <is>
          <t>备注</t>
        </is>
      </c>
      <c r="I120" s="8" t="inlineStr">
        <is>
          <t>研究员签名</t>
        </is>
      </c>
    </row>
    <row r="121">
      <c r="A121" s="13" t="inlineStr"/>
      <c r="B121" s="13" t="n"/>
      <c r="C121" s="13" t="n"/>
      <c r="D121" s="10">
        <f>IF(OR(B121="",C121=""),"",(C121-B121)*1440)</f>
        <v/>
      </c>
      <c r="E121" s="13" t="n"/>
      <c r="F121" s="10">
        <f>IF(OR(D121="",E121=""),"",D121*E121)</f>
        <v/>
      </c>
      <c r="G121" s="13" t="n"/>
      <c r="H121" s="13" t="n"/>
      <c r="I121" s="13" t="n"/>
    </row>
    <row r="123">
      <c r="A123" s="5" t="inlineStr">
        <is>
          <t>── P025 范芳忠 ──────────────────────────────────────────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7" t="n"/>
    </row>
    <row r="124">
      <c r="A124" s="8" t="inlineStr">
        <is>
          <t>编号</t>
        </is>
      </c>
      <c r="B124" s="8" t="inlineStr">
        <is>
          <t>姓名</t>
        </is>
      </c>
      <c r="C124" s="8" t="inlineStr">
        <is>
          <t>身高</t>
        </is>
      </c>
      <c r="D124" s="8" t="inlineStr">
        <is>
          <t>1RM</t>
        </is>
      </c>
      <c r="E124" s="8" t="inlineStr">
        <is>
          <t>睡眠</t>
        </is>
      </c>
      <c r="F124" s="8" t="inlineStr">
        <is>
          <t>压力</t>
        </is>
      </c>
      <c r="G124" s="8" t="inlineStr">
        <is>
          <t>疲劳</t>
        </is>
      </c>
      <c r="H124" s="8" t="inlineStr">
        <is>
          <t>酸痛</t>
        </is>
      </c>
      <c r="I124" s="8" t="inlineStr">
        <is>
          <t>Hooper总</t>
        </is>
      </c>
      <c r="J124" s="8" t="inlineStr">
        <is>
          <t>CMJ1</t>
        </is>
      </c>
      <c r="K124" s="8" t="inlineStr">
        <is>
          <t>CMJ2</t>
        </is>
      </c>
      <c r="L124" s="8" t="inlineStr">
        <is>
          <t>CMJ3</t>
        </is>
      </c>
      <c r="M124" s="8" t="inlineStr">
        <is>
          <t>CMJ均值</t>
        </is>
      </c>
      <c r="N124" s="8" t="inlineStr">
        <is>
          <t>&lt;95%?</t>
        </is>
      </c>
      <c r="O124" s="8" t="inlineStr">
        <is>
          <t>减组?</t>
        </is>
      </c>
      <c r="P124" s="8" t="inlineStr">
        <is>
          <t>实做组数</t>
        </is>
      </c>
      <c r="Q124" s="8" t="inlineStr">
        <is>
          <t>LVP_a</t>
        </is>
      </c>
      <c r="R124" s="8" t="inlineStr">
        <is>
          <t>LVP_b</t>
        </is>
      </c>
      <c r="S124" s="8" t="inlineStr">
        <is>
          <t>等级</t>
        </is>
      </c>
      <c r="T124" s="8" t="inlineStr">
        <is>
          <t>预测起始</t>
        </is>
      </c>
    </row>
    <row r="125">
      <c r="A125" s="9" t="inlineStr">
        <is>
          <t>P025</t>
        </is>
      </c>
      <c r="B125" s="9" t="inlineStr">
        <is>
          <t>范芳忠</t>
        </is>
      </c>
      <c r="C125" s="9" t="n">
        <v>178</v>
      </c>
      <c r="D125" s="9" t="n">
        <v>135</v>
      </c>
      <c r="E125" s="9" t="n"/>
      <c r="F125" s="9" t="n"/>
      <c r="G125" s="9" t="n"/>
      <c r="H125" s="9" t="n"/>
      <c r="I125" s="10">
        <f>IFERROR(SUM(E125:H125),"")</f>
        <v/>
      </c>
      <c r="J125" s="9" t="n"/>
      <c r="K125" s="9" t="n"/>
      <c r="L125" s="9" t="n"/>
      <c r="M125" s="10">
        <f>IFERROR(AVERAGE(J125:L125),"")</f>
        <v/>
      </c>
      <c r="N125" s="10">
        <f>IF(M125="","",IF(M125&lt;58.43,"是⚠","否"))</f>
        <v/>
      </c>
      <c r="O125" s="10">
        <f>IF(M125="","",IF(M125&lt;58.43,"减1组","正常"))</f>
        <v/>
      </c>
      <c r="P125" s="10">
        <f>IF(M125="","",IF(M125&lt;58.43,5-1,5))</f>
        <v/>
      </c>
      <c r="Q125" s="9" t="n">
        <v>1.77</v>
      </c>
      <c r="R125" s="9" t="n">
        <v>-0.0105</v>
      </c>
      <c r="S125" s="9" t="inlineStr">
        <is>
          <t>A</t>
        </is>
      </c>
      <c r="T125" s="10">
        <f>IFERROR(ROUND((0.7-1.77)/-0.0105,0.5),"")</f>
        <v/>
      </c>
    </row>
    <row r="126">
      <c r="A126" s="8" t="inlineStr">
        <is>
          <t>热身校准</t>
        </is>
      </c>
      <c r="B126" s="8" t="inlineStr">
        <is>
          <t>LVP_a</t>
        </is>
      </c>
      <c r="C126" s="8" t="inlineStr">
        <is>
          <t>LVP_b</t>
        </is>
      </c>
      <c r="D126" s="8" t="inlineStr">
        <is>
          <t>50%热身kg</t>
        </is>
      </c>
      <c r="E126" s="8" t="inlineStr">
        <is>
          <t>70%热身kg</t>
        </is>
      </c>
      <c r="F126" s="8" t="inlineStr">
        <is>
          <t>热身负荷kg</t>
        </is>
      </c>
      <c r="G126" s="8" t="inlineStr">
        <is>
          <t>实测MCV</t>
        </is>
      </c>
      <c r="H126" s="8" t="inlineStr">
        <is>
          <t>预测MCV</t>
        </is>
      </c>
      <c r="I126" s="8" t="inlineStr">
        <is>
          <t>Δv</t>
        </is>
      </c>
      <c r="J126" s="8" t="inlineStr">
        <is>
          <t>调整量kg</t>
        </is>
      </c>
      <c r="K126" s="8" t="inlineStr">
        <is>
          <t>校准后第1组kg</t>
        </is>
      </c>
    </row>
    <row r="127">
      <c r="A127" s="11" t="inlineStr"/>
      <c r="B127" s="11" t="n">
        <v>1.77</v>
      </c>
      <c r="C127" s="11" t="n">
        <v>-0.0105</v>
      </c>
      <c r="D127" s="10">
        <f>IFERROR(ROUND(T125*0.5,2.5),"")</f>
        <v/>
      </c>
      <c r="E127" s="10">
        <f>IFERROR(ROUND(T125*0.7,2.5),"")</f>
        <v/>
      </c>
      <c r="F127" s="10">
        <f>D127</f>
        <v/>
      </c>
      <c r="G127" s="9" t="n"/>
      <c r="H127" s="10">
        <f>IF(F127="","",B127+C127*F127)</f>
        <v/>
      </c>
      <c r="I127" s="10">
        <f>IF(OR(G127="",H127=""),"",G127-H127)</f>
        <v/>
      </c>
      <c r="J127" s="10">
        <f>IF(I127="","",IF(I127&gt;0.08,5,IF(I127&gt;0.04,2.5,IF(I127&gt;=-0.04,0,IF(I127&gt;=-0.08,-2.5,-5)))))</f>
        <v/>
      </c>
      <c r="K127" s="10">
        <f>IFERROR(ROUND(T125+J127,2.5),"")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8" t="inlineStr">
        <is>
          <t>组次</t>
        </is>
      </c>
      <c r="B128" s="8" t="inlineStr">
        <is>
          <t>负荷kg</t>
        </is>
      </c>
      <c r="C128" s="8" t="inlineStr">
        <is>
          <t>rep1</t>
        </is>
      </c>
      <c r="D128" s="8" t="inlineStr">
        <is>
          <t>rep2</t>
        </is>
      </c>
      <c r="E128" s="8" t="inlineStr">
        <is>
          <t>rep3</t>
        </is>
      </c>
      <c r="F128" s="8" t="inlineStr">
        <is>
          <t>rep4</t>
        </is>
      </c>
      <c r="G128" s="8" t="inlineStr">
        <is>
          <t>rep5</t>
        </is>
      </c>
      <c r="H128" s="8" t="inlineStr">
        <is>
          <t>rep6</t>
        </is>
      </c>
      <c r="I128" s="8" t="inlineStr">
        <is>
          <t>首rep</t>
        </is>
      </c>
      <c r="J128" s="8" t="inlineStr">
        <is>
          <t>最低速</t>
        </is>
      </c>
      <c r="K128" s="8" t="inlineStr">
        <is>
          <t>最低rep#</t>
        </is>
      </c>
      <c r="L128" s="8" t="inlineStr">
        <is>
          <t>VL%</t>
        </is>
      </c>
      <c r="M128" s="8" t="inlineStr">
        <is>
          <t>VL达标?</t>
        </is>
      </c>
      <c r="N128" s="8" t="inlineStr">
        <is>
          <t>安全停止?</t>
        </is>
      </c>
      <c r="O128" s="8" t="inlineStr">
        <is>
          <t>停组原因</t>
        </is>
      </c>
      <c r="P128" s="8" t="inlineStr">
        <is>
          <t>下组建议</t>
        </is>
      </c>
      <c r="Q128" s="8" t="inlineStr">
        <is>
          <t>实做次数</t>
        </is>
      </c>
    </row>
    <row r="129">
      <c r="A129" s="12" t="n">
        <v>1</v>
      </c>
      <c r="B129" s="10">
        <f>IF(K127="","",K127)</f>
        <v/>
      </c>
      <c r="C129" s="9" t="n"/>
      <c r="D129" s="9" t="n"/>
      <c r="E129" s="9" t="n"/>
      <c r="F129" s="9" t="n"/>
      <c r="G129" s="9" t="n"/>
      <c r="H129" s="9" t="n"/>
      <c r="I129" s="10">
        <f>IFERROR(INDEX(C129:H129,MATCH(TRUE,INDEX(C129:H129&lt;&gt;"",0),0)),"")</f>
        <v/>
      </c>
      <c r="J129" s="10">
        <f>IFERROR(MIN(IF(C129:H129&lt;&gt;"",C129:H129)),"")</f>
        <v/>
      </c>
      <c r="K129" s="10">
        <f>IFERROR(MATCH(I129,C129:H129,0),"")</f>
        <v/>
      </c>
      <c r="L129" s="10">
        <f>IF(OR(I129="",J129=""),"",ROUND((I129-J129)/I129*100,1))</f>
        <v/>
      </c>
      <c r="M129" s="10">
        <f>IF(L129="","",IF(L129&gt;=15,"是","否"))</f>
        <v/>
      </c>
      <c r="N129" s="10">
        <f>IF(J129="","",IF(J129&lt;0.15,"是","否"))</f>
        <v/>
      </c>
      <c r="O129" s="10">
        <f>IF(I129="","",IF(J129&lt;0.15,"SAFETY_STOP",IF(L129&gt;=15,"VL_THRESHOLD","PLANNED_END")))</f>
        <v/>
      </c>
      <c r="P129" s="10">
        <f>IF(I129="","",IF(I129&gt;($D$2+0.05),"+5kg",IF(I129&gt;($D$2+0.02),"+2.5kg",IF(I129&gt;=($D$2-0.05),"保持",IF(I129&gt;=($D$2-0.08),"-2.5kg","-5kg")))))</f>
        <v/>
      </c>
      <c r="Q129" s="9" t="n"/>
      <c r="R129" s="12" t="n"/>
      <c r="S129" s="12" t="n"/>
      <c r="T129" s="12" t="n"/>
    </row>
    <row r="130">
      <c r="A130" s="12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10">
        <f>IFERROR(INDEX(C130:H130,MATCH(TRUE,INDEX(C130:H130&lt;&gt;"",0),0)),"")</f>
        <v/>
      </c>
      <c r="J130" s="10">
        <f>IFERROR(MIN(IF(C130:H130&lt;&gt;"",C130:H130)),"")</f>
        <v/>
      </c>
      <c r="K130" s="10">
        <f>IFERROR(MATCH(I130,C130:H130,0),"")</f>
        <v/>
      </c>
      <c r="L130" s="10">
        <f>IF(OR(I130="",J130=""),"",ROUND((I130-J130)/I130*100,1))</f>
        <v/>
      </c>
      <c r="M130" s="10">
        <f>IF(L130="","",IF(L130&gt;=15,"是","否"))</f>
        <v/>
      </c>
      <c r="N130" s="10">
        <f>IF(J130="","",IF(J130&lt;0.15,"是","否"))</f>
        <v/>
      </c>
      <c r="O130" s="10">
        <f>IF(I130="","",IF(J130&lt;0.15,"SAFETY_STOP",IF(L130&gt;=15,"VL_THRESHOLD","PLANNED_END")))</f>
        <v/>
      </c>
      <c r="P130" s="10">
        <f>IF(I130="","",IF(I130&gt;($D$2+0.05),"+5kg",IF(I130&gt;($D$2+0.02),"+2.5kg",IF(I130&gt;=($D$2-0.05),"保持",IF(I130&gt;=($D$2-0.08),"-2.5kg","-5kg")))))</f>
        <v/>
      </c>
      <c r="Q130" s="9" t="n"/>
      <c r="R130" s="12" t="n"/>
      <c r="S130" s="12" t="n"/>
      <c r="T130" s="12" t="n"/>
    </row>
    <row r="131">
      <c r="A131" s="12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10">
        <f>IFERROR(INDEX(C131:H131,MATCH(TRUE,INDEX(C131:H131&lt;&gt;"",0),0)),"")</f>
        <v/>
      </c>
      <c r="J131" s="10">
        <f>IFERROR(MIN(IF(C131:H131&lt;&gt;"",C131:H131)),"")</f>
        <v/>
      </c>
      <c r="K131" s="10">
        <f>IFERROR(MATCH(I131,C131:H131,0),"")</f>
        <v/>
      </c>
      <c r="L131" s="10">
        <f>IF(OR(I131="",J131=""),"",ROUND((I131-J131)/I131*100,1))</f>
        <v/>
      </c>
      <c r="M131" s="10">
        <f>IF(L131="","",IF(L131&gt;=15,"是","否"))</f>
        <v/>
      </c>
      <c r="N131" s="10">
        <f>IF(J131="","",IF(J131&lt;0.15,"是","否"))</f>
        <v/>
      </c>
      <c r="O131" s="10">
        <f>IF(I131="","",IF(J131&lt;0.15,"SAFETY_STOP",IF(L131&gt;=15,"VL_THRESHOLD","PLANNED_END")))</f>
        <v/>
      </c>
      <c r="P131" s="10">
        <f>IF(I131="","",IF(I131&gt;($D$2+0.05),"+5kg",IF(I131&gt;($D$2+0.02),"+2.5kg",IF(I131&gt;=($D$2-0.05),"保持",IF(I131&gt;=($D$2-0.08),"-2.5kg","-5kg")))))</f>
        <v/>
      </c>
      <c r="Q131" s="9" t="n"/>
      <c r="R131" s="12" t="n"/>
      <c r="S131" s="12" t="n"/>
      <c r="T131" s="12" t="n"/>
    </row>
    <row r="132">
      <c r="A132" s="12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10">
        <f>IFERROR(INDEX(C132:H132,MATCH(TRUE,INDEX(C132:H132&lt;&gt;"",0),0)),"")</f>
        <v/>
      </c>
      <c r="J132" s="10">
        <f>IFERROR(MIN(IF(C132:H132&lt;&gt;"",C132:H132)),"")</f>
        <v/>
      </c>
      <c r="K132" s="10">
        <f>IFERROR(MATCH(I132,C132:H132,0),"")</f>
        <v/>
      </c>
      <c r="L132" s="10">
        <f>IF(OR(I132="",J132=""),"",ROUND((I132-J132)/I132*100,1))</f>
        <v/>
      </c>
      <c r="M132" s="10">
        <f>IF(L132="","",IF(L132&gt;=15,"是","否"))</f>
        <v/>
      </c>
      <c r="N132" s="10">
        <f>IF(J132="","",IF(J132&lt;0.15,"是","否"))</f>
        <v/>
      </c>
      <c r="O132" s="10">
        <f>IF(I132="","",IF(J132&lt;0.15,"SAFETY_STOP",IF(L132&gt;=15,"VL_THRESHOLD","PLANNED_END")))</f>
        <v/>
      </c>
      <c r="P132" s="10">
        <f>IF(I132="","",IF(I132&gt;($D$2+0.05),"+5kg",IF(I132&gt;($D$2+0.02),"+2.5kg",IF(I132&gt;=($D$2-0.05),"保持",IF(I132&gt;=($D$2-0.08),"-2.5kg","-5kg")))))</f>
        <v/>
      </c>
      <c r="Q132" s="9" t="n"/>
      <c r="R132" s="12" t="n"/>
      <c r="S132" s="12" t="n"/>
      <c r="T132" s="12" t="n"/>
    </row>
    <row r="133">
      <c r="A133" s="12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10">
        <f>IFERROR(INDEX(C133:H133,MATCH(TRUE,INDEX(C133:H133&lt;&gt;"",0),0)),"")</f>
        <v/>
      </c>
      <c r="J133" s="10">
        <f>IFERROR(MIN(IF(C133:H133&lt;&gt;"",C133:H133)),"")</f>
        <v/>
      </c>
      <c r="K133" s="10">
        <f>IFERROR(MATCH(I133,C133:H133,0),"")</f>
        <v/>
      </c>
      <c r="L133" s="10">
        <f>IF(OR(I133="",J133=""),"",ROUND((I133-J133)/I133*100,1))</f>
        <v/>
      </c>
      <c r="M133" s="10">
        <f>IF(L133="","",IF(L133&gt;=15,"是","否"))</f>
        <v/>
      </c>
      <c r="N133" s="10">
        <f>IF(J133="","",IF(J133&lt;0.15,"是","否"))</f>
        <v/>
      </c>
      <c r="O133" s="10">
        <f>IF(I133="","",IF(J133&lt;0.15,"SAFETY_STOP",IF(L133&gt;=15,"VL_THRESHOLD","PLANNED_END")))</f>
        <v/>
      </c>
      <c r="P133" s="10">
        <f>IF(I133="","",IF(I133&gt;($D$2+0.05),"+5kg",IF(I133&gt;($D$2+0.02),"+2.5kg",IF(I133&gt;=($D$2-0.05),"保持",IF(I133&gt;=($D$2-0.08),"-2.5kg","-5kg")))))</f>
        <v/>
      </c>
      <c r="Q133" s="9" t="n"/>
      <c r="R133" s="12" t="n"/>
      <c r="S133" s="12" t="n"/>
      <c r="T133" s="12" t="n"/>
    </row>
    <row r="134">
      <c r="A134" s="12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10">
        <f>IFERROR(INDEX(C134:H134,MATCH(TRUE,INDEX(C134:H134&lt;&gt;"",0),0)),"")</f>
        <v/>
      </c>
      <c r="J134" s="10">
        <f>IFERROR(MIN(IF(C134:H134&lt;&gt;"",C134:H134)),"")</f>
        <v/>
      </c>
      <c r="K134" s="10">
        <f>IFERROR(MATCH(I134,C134:H134,0),"")</f>
        <v/>
      </c>
      <c r="L134" s="10">
        <f>IF(OR(I134="",J134=""),"",ROUND((I134-J134)/I134*100,1))</f>
        <v/>
      </c>
      <c r="M134" s="10">
        <f>IF(L134="","",IF(L134&gt;=15,"是","否"))</f>
        <v/>
      </c>
      <c r="N134" s="10">
        <f>IF(J134="","",IF(J134&lt;0.15,"是","否"))</f>
        <v/>
      </c>
      <c r="O134" s="10">
        <f>IF(I134="","",IF(J134&lt;0.15,"SAFETY_STOP",IF(L134&gt;=15,"VL_THRESHOLD","PLANNED_END")))</f>
        <v/>
      </c>
      <c r="P134" s="10">
        <f>IF(I134="","",IF(I134&gt;($D$2+0.05),"+5kg",IF(I134&gt;($D$2+0.02),"+2.5kg",IF(I134&gt;=($D$2-0.05),"保持",IF(I134&gt;=($D$2-0.08),"-2.5kg","-5kg")))))</f>
        <v/>
      </c>
      <c r="Q134" s="9" t="n"/>
      <c r="R134" s="12" t="n"/>
      <c r="S134" s="12" t="n"/>
      <c r="T134" s="12" t="n"/>
    </row>
    <row r="135">
      <c r="A135" s="8" t="inlineStr">
        <is>
          <t>辅助动作</t>
        </is>
      </c>
      <c r="B135" s="8" t="inlineStr">
        <is>
          <t>动作名称</t>
        </is>
      </c>
      <c r="C135" s="8" t="inlineStr">
        <is>
          <t>负荷kg</t>
        </is>
      </c>
      <c r="D135" s="8" t="inlineStr">
        <is>
          <t>完成(组×次)</t>
        </is>
      </c>
    </row>
    <row r="136">
      <c r="A136" s="9" t="inlineStr"/>
      <c r="B136" s="9" t="n"/>
      <c r="C136" s="9" t="n"/>
      <c r="D136" s="9" t="n"/>
    </row>
    <row r="137">
      <c r="A137" s="8" t="inlineStr">
        <is>
          <t>训练后</t>
        </is>
      </c>
      <c r="B137" s="8" t="inlineStr">
        <is>
          <t>开始时间</t>
        </is>
      </c>
      <c r="C137" s="8" t="inlineStr">
        <is>
          <t>结束时间</t>
        </is>
      </c>
      <c r="D137" s="8" t="inlineStr">
        <is>
          <t>总时长min</t>
        </is>
      </c>
      <c r="E137" s="8" t="inlineStr">
        <is>
          <t>sRPE</t>
        </is>
      </c>
      <c r="F137" s="8" t="inlineStr">
        <is>
          <t>session_load</t>
        </is>
      </c>
      <c r="G137" s="8" t="inlineStr">
        <is>
          <t>有无不适</t>
        </is>
      </c>
      <c r="H137" s="8" t="inlineStr">
        <is>
          <t>备注</t>
        </is>
      </c>
      <c r="I137" s="8" t="inlineStr">
        <is>
          <t>研究员签名</t>
        </is>
      </c>
    </row>
    <row r="138">
      <c r="A138" s="13" t="inlineStr"/>
      <c r="B138" s="13" t="n"/>
      <c r="C138" s="13" t="n"/>
      <c r="D138" s="10">
        <f>IF(OR(B138="",C138=""),"",(C138-B138)*1440)</f>
        <v/>
      </c>
      <c r="E138" s="13" t="n"/>
      <c r="F138" s="10">
        <f>IF(OR(D138="",E138=""),"",D138*E138)</f>
        <v/>
      </c>
      <c r="G138" s="13" t="n"/>
      <c r="H138" s="13" t="n"/>
      <c r="I138" s="13" t="n"/>
    </row>
    <row r="140">
      <c r="A140" s="5" t="inlineStr">
        <is>
          <t>── P018 孟维宇 ──────────────────────────────────────────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7" t="n"/>
    </row>
    <row r="141">
      <c r="A141" s="8" t="inlineStr">
        <is>
          <t>编号</t>
        </is>
      </c>
      <c r="B141" s="8" t="inlineStr">
        <is>
          <t>姓名</t>
        </is>
      </c>
      <c r="C141" s="8" t="inlineStr">
        <is>
          <t>身高</t>
        </is>
      </c>
      <c r="D141" s="8" t="inlineStr">
        <is>
          <t>1RM</t>
        </is>
      </c>
      <c r="E141" s="8" t="inlineStr">
        <is>
          <t>睡眠</t>
        </is>
      </c>
      <c r="F141" s="8" t="inlineStr">
        <is>
          <t>压力</t>
        </is>
      </c>
      <c r="G141" s="8" t="inlineStr">
        <is>
          <t>疲劳</t>
        </is>
      </c>
      <c r="H141" s="8" t="inlineStr">
        <is>
          <t>酸痛</t>
        </is>
      </c>
      <c r="I141" s="8" t="inlineStr">
        <is>
          <t>Hooper总</t>
        </is>
      </c>
      <c r="J141" s="8" t="inlineStr">
        <is>
          <t>CMJ1</t>
        </is>
      </c>
      <c r="K141" s="8" t="inlineStr">
        <is>
          <t>CMJ2</t>
        </is>
      </c>
      <c r="L141" s="8" t="inlineStr">
        <is>
          <t>CMJ3</t>
        </is>
      </c>
      <c r="M141" s="8" t="inlineStr">
        <is>
          <t>CMJ均值</t>
        </is>
      </c>
      <c r="N141" s="8" t="inlineStr">
        <is>
          <t>&lt;95%?</t>
        </is>
      </c>
      <c r="O141" s="8" t="inlineStr">
        <is>
          <t>减组?</t>
        </is>
      </c>
      <c r="P141" s="8" t="inlineStr">
        <is>
          <t>实做组数</t>
        </is>
      </c>
      <c r="Q141" s="8" t="inlineStr">
        <is>
          <t>LVP_a</t>
        </is>
      </c>
      <c r="R141" s="8" t="inlineStr">
        <is>
          <t>LVP_b</t>
        </is>
      </c>
      <c r="S141" s="8" t="inlineStr">
        <is>
          <t>等级</t>
        </is>
      </c>
      <c r="T141" s="8" t="inlineStr">
        <is>
          <t>预测起始</t>
        </is>
      </c>
    </row>
    <row r="142">
      <c r="A142" s="9" t="inlineStr">
        <is>
          <t>P018</t>
        </is>
      </c>
      <c r="B142" s="9" t="inlineStr">
        <is>
          <t>孟维宇</t>
        </is>
      </c>
      <c r="C142" s="9" t="n">
        <v>173</v>
      </c>
      <c r="D142" s="9" t="n">
        <v>122.5</v>
      </c>
      <c r="E142" s="9" t="n"/>
      <c r="F142" s="9" t="n"/>
      <c r="G142" s="9" t="n"/>
      <c r="H142" s="9" t="n"/>
      <c r="I142" s="10">
        <f>IFERROR(SUM(E142:H142),"")</f>
        <v/>
      </c>
      <c r="J142" s="9" t="n"/>
      <c r="K142" s="9" t="n"/>
      <c r="L142" s="9" t="n"/>
      <c r="M142" s="10">
        <f>IFERROR(AVERAGE(J142:L142),"")</f>
        <v/>
      </c>
      <c r="N142" s="10">
        <f>IF(M142="","",IF(M142&lt;52.6,"是⚠","否"))</f>
        <v/>
      </c>
      <c r="O142" s="10">
        <f>IF(M142="","",IF(M142&lt;52.6,"减1组","正常"))</f>
        <v/>
      </c>
      <c r="P142" s="10">
        <f>IF(M142="","",IF(M142&lt;52.6,5-1,5))</f>
        <v/>
      </c>
      <c r="Q142" s="9" t="n">
        <v>1.71</v>
      </c>
      <c r="R142" s="9" t="n">
        <v>-0.0105</v>
      </c>
      <c r="S142" s="9" t="inlineStr">
        <is>
          <t>B</t>
        </is>
      </c>
      <c r="T142" s="10">
        <f>IFERROR(ROUND((0.7-1.71)/-0.0105,0.5),"")</f>
        <v/>
      </c>
    </row>
    <row r="143">
      <c r="A143" s="8" t="inlineStr">
        <is>
          <t>热身校准</t>
        </is>
      </c>
      <c r="B143" s="8" t="inlineStr">
        <is>
          <t>LVP_a</t>
        </is>
      </c>
      <c r="C143" s="8" t="inlineStr">
        <is>
          <t>LVP_b</t>
        </is>
      </c>
      <c r="D143" s="8" t="inlineStr">
        <is>
          <t>50%热身kg</t>
        </is>
      </c>
      <c r="E143" s="8" t="inlineStr">
        <is>
          <t>70%热身kg</t>
        </is>
      </c>
      <c r="F143" s="8" t="inlineStr">
        <is>
          <t>热身负荷kg</t>
        </is>
      </c>
      <c r="G143" s="8" t="inlineStr">
        <is>
          <t>实测MCV</t>
        </is>
      </c>
      <c r="H143" s="8" t="inlineStr">
        <is>
          <t>预测MCV</t>
        </is>
      </c>
      <c r="I143" s="8" t="inlineStr">
        <is>
          <t>Δv</t>
        </is>
      </c>
      <c r="J143" s="8" t="inlineStr">
        <is>
          <t>调整量kg</t>
        </is>
      </c>
      <c r="K143" s="8" t="inlineStr">
        <is>
          <t>校准后第1组kg</t>
        </is>
      </c>
    </row>
    <row r="144">
      <c r="A144" s="11" t="inlineStr"/>
      <c r="B144" s="11" t="n">
        <v>1.71</v>
      </c>
      <c r="C144" s="11" t="n">
        <v>-0.0105</v>
      </c>
      <c r="D144" s="10">
        <f>IFERROR(ROUND(T142*0.5,2.5),"")</f>
        <v/>
      </c>
      <c r="E144" s="10">
        <f>IFERROR(ROUND(T142*0.7,2.5),"")</f>
        <v/>
      </c>
      <c r="F144" s="10">
        <f>D144</f>
        <v/>
      </c>
      <c r="G144" s="9" t="n"/>
      <c r="H144" s="10">
        <f>IF(F144="","",B144+C144*F144)</f>
        <v/>
      </c>
      <c r="I144" s="10">
        <f>IF(OR(G144="",H144=""),"",G144-H144)</f>
        <v/>
      </c>
      <c r="J144" s="10">
        <f>IF(I144="","",IF(I144&gt;0.08,5,IF(I144&gt;0.04,2.5,IF(I144&gt;=-0.04,0,IF(I144&gt;=-0.08,-2.5,-5)))))</f>
        <v/>
      </c>
      <c r="K144" s="10">
        <f>IFERROR(ROUND(T142+J144,2.5),"")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8" t="inlineStr">
        <is>
          <t>组次</t>
        </is>
      </c>
      <c r="B145" s="8" t="inlineStr">
        <is>
          <t>负荷kg</t>
        </is>
      </c>
      <c r="C145" s="8" t="inlineStr">
        <is>
          <t>rep1</t>
        </is>
      </c>
      <c r="D145" s="8" t="inlineStr">
        <is>
          <t>rep2</t>
        </is>
      </c>
      <c r="E145" s="8" t="inlineStr">
        <is>
          <t>rep3</t>
        </is>
      </c>
      <c r="F145" s="8" t="inlineStr">
        <is>
          <t>rep4</t>
        </is>
      </c>
      <c r="G145" s="8" t="inlineStr">
        <is>
          <t>rep5</t>
        </is>
      </c>
      <c r="H145" s="8" t="inlineStr">
        <is>
          <t>rep6</t>
        </is>
      </c>
      <c r="I145" s="8" t="inlineStr">
        <is>
          <t>首rep</t>
        </is>
      </c>
      <c r="J145" s="8" t="inlineStr">
        <is>
          <t>最低速</t>
        </is>
      </c>
      <c r="K145" s="8" t="inlineStr">
        <is>
          <t>最低rep#</t>
        </is>
      </c>
      <c r="L145" s="8" t="inlineStr">
        <is>
          <t>VL%</t>
        </is>
      </c>
      <c r="M145" s="8" t="inlineStr">
        <is>
          <t>VL达标?</t>
        </is>
      </c>
      <c r="N145" s="8" t="inlineStr">
        <is>
          <t>安全停止?</t>
        </is>
      </c>
      <c r="O145" s="8" t="inlineStr">
        <is>
          <t>停组原因</t>
        </is>
      </c>
      <c r="P145" s="8" t="inlineStr">
        <is>
          <t>下组建议</t>
        </is>
      </c>
      <c r="Q145" s="8" t="inlineStr">
        <is>
          <t>实做次数</t>
        </is>
      </c>
    </row>
    <row r="146">
      <c r="A146" s="12" t="n">
        <v>1</v>
      </c>
      <c r="B146" s="10">
        <f>IF(K144="","",K144)</f>
        <v/>
      </c>
      <c r="C146" s="9" t="n"/>
      <c r="D146" s="9" t="n"/>
      <c r="E146" s="9" t="n"/>
      <c r="F146" s="9" t="n"/>
      <c r="G146" s="9" t="n"/>
      <c r="H146" s="9" t="n"/>
      <c r="I146" s="10">
        <f>IFERROR(INDEX(C146:H146,MATCH(TRUE,INDEX(C146:H146&lt;&gt;"",0),0)),"")</f>
        <v/>
      </c>
      <c r="J146" s="10">
        <f>IFERROR(MIN(IF(C146:H146&lt;&gt;"",C146:H146)),"")</f>
        <v/>
      </c>
      <c r="K146" s="10">
        <f>IFERROR(MATCH(I146,C146:H146,0),"")</f>
        <v/>
      </c>
      <c r="L146" s="10">
        <f>IF(OR(I146="",J146=""),"",ROUND((I146-J146)/I146*100,1))</f>
        <v/>
      </c>
      <c r="M146" s="10">
        <f>IF(L146="","",IF(L146&gt;=15,"是","否"))</f>
        <v/>
      </c>
      <c r="N146" s="10">
        <f>IF(J146="","",IF(J146&lt;0.15,"是","否"))</f>
        <v/>
      </c>
      <c r="O146" s="10">
        <f>IF(I146="","",IF(J146&lt;0.15,"SAFETY_STOP",IF(L146&gt;=15,"VL_THRESHOLD","PLANNED_END")))</f>
        <v/>
      </c>
      <c r="P146" s="10">
        <f>IF(I146="","",IF(I146&gt;($D$2+0.05),"+5kg",IF(I146&gt;($D$2+0.02),"+2.5kg",IF(I146&gt;=($D$2-0.05),"保持",IF(I146&gt;=($D$2-0.08),"-2.5kg","-5kg")))))</f>
        <v/>
      </c>
      <c r="Q146" s="9" t="n"/>
      <c r="R146" s="12" t="n"/>
      <c r="S146" s="12" t="n"/>
      <c r="T146" s="12" t="n"/>
    </row>
    <row r="147">
      <c r="A147" s="12" t="n">
        <v>2</v>
      </c>
      <c r="B147" s="9" t="n"/>
      <c r="C147" s="9" t="n"/>
      <c r="D147" s="9" t="n"/>
      <c r="E147" s="9" t="n"/>
      <c r="F147" s="9" t="n"/>
      <c r="G147" s="9" t="n"/>
      <c r="H147" s="9" t="n"/>
      <c r="I147" s="10">
        <f>IFERROR(INDEX(C147:H147,MATCH(TRUE,INDEX(C147:H147&lt;&gt;"",0),0)),"")</f>
        <v/>
      </c>
      <c r="J147" s="10">
        <f>IFERROR(MIN(IF(C147:H147&lt;&gt;"",C147:H147)),"")</f>
        <v/>
      </c>
      <c r="K147" s="10">
        <f>IFERROR(MATCH(I147,C147:H147,0),"")</f>
        <v/>
      </c>
      <c r="L147" s="10">
        <f>IF(OR(I147="",J147=""),"",ROUND((I147-J147)/I147*100,1))</f>
        <v/>
      </c>
      <c r="M147" s="10">
        <f>IF(L147="","",IF(L147&gt;=15,"是","否"))</f>
        <v/>
      </c>
      <c r="N147" s="10">
        <f>IF(J147="","",IF(J147&lt;0.15,"是","否"))</f>
        <v/>
      </c>
      <c r="O147" s="10">
        <f>IF(I147="","",IF(J147&lt;0.15,"SAFETY_STOP",IF(L147&gt;=15,"VL_THRESHOLD","PLANNED_END")))</f>
        <v/>
      </c>
      <c r="P147" s="10">
        <f>IF(I147="","",IF(I147&gt;($D$2+0.05),"+5kg",IF(I147&gt;($D$2+0.02),"+2.5kg",IF(I147&gt;=($D$2-0.05),"保持",IF(I147&gt;=($D$2-0.08),"-2.5kg","-5kg")))))</f>
        <v/>
      </c>
      <c r="Q147" s="9" t="n"/>
      <c r="R147" s="12" t="n"/>
      <c r="S147" s="12" t="n"/>
      <c r="T147" s="12" t="n"/>
    </row>
    <row r="148">
      <c r="A148" s="12" t="n">
        <v>3</v>
      </c>
      <c r="B148" s="9" t="n"/>
      <c r="C148" s="9" t="n"/>
      <c r="D148" s="9" t="n"/>
      <c r="E148" s="9" t="n"/>
      <c r="F148" s="9" t="n"/>
      <c r="G148" s="9" t="n"/>
      <c r="H148" s="9" t="n"/>
      <c r="I148" s="10">
        <f>IFERROR(INDEX(C148:H148,MATCH(TRUE,INDEX(C148:H148&lt;&gt;"",0),0)),"")</f>
        <v/>
      </c>
      <c r="J148" s="10">
        <f>IFERROR(MIN(IF(C148:H148&lt;&gt;"",C148:H148)),"")</f>
        <v/>
      </c>
      <c r="K148" s="10">
        <f>IFERROR(MATCH(I148,C148:H148,0),"")</f>
        <v/>
      </c>
      <c r="L148" s="10">
        <f>IF(OR(I148="",J148=""),"",ROUND((I148-J148)/I148*100,1))</f>
        <v/>
      </c>
      <c r="M148" s="10">
        <f>IF(L148="","",IF(L148&gt;=15,"是","否"))</f>
        <v/>
      </c>
      <c r="N148" s="10">
        <f>IF(J148="","",IF(J148&lt;0.15,"是","否"))</f>
        <v/>
      </c>
      <c r="O148" s="10">
        <f>IF(I148="","",IF(J148&lt;0.15,"SAFETY_STOP",IF(L148&gt;=15,"VL_THRESHOLD","PLANNED_END")))</f>
        <v/>
      </c>
      <c r="P148" s="10">
        <f>IF(I148="","",IF(I148&gt;($D$2+0.05),"+5kg",IF(I148&gt;($D$2+0.02),"+2.5kg",IF(I148&gt;=($D$2-0.05),"保持",IF(I148&gt;=($D$2-0.08),"-2.5kg","-5kg")))))</f>
        <v/>
      </c>
      <c r="Q148" s="9" t="n"/>
      <c r="R148" s="12" t="n"/>
      <c r="S148" s="12" t="n"/>
      <c r="T148" s="12" t="n"/>
    </row>
    <row r="149">
      <c r="A149" s="12" t="n">
        <v>4</v>
      </c>
      <c r="B149" s="9" t="n"/>
      <c r="C149" s="9" t="n"/>
      <c r="D149" s="9" t="n"/>
      <c r="E149" s="9" t="n"/>
      <c r="F149" s="9" t="n"/>
      <c r="G149" s="9" t="n"/>
      <c r="H149" s="9" t="n"/>
      <c r="I149" s="10">
        <f>IFERROR(INDEX(C149:H149,MATCH(TRUE,INDEX(C149:H149&lt;&gt;"",0),0)),"")</f>
        <v/>
      </c>
      <c r="J149" s="10">
        <f>IFERROR(MIN(IF(C149:H149&lt;&gt;"",C149:H149)),"")</f>
        <v/>
      </c>
      <c r="K149" s="10">
        <f>IFERROR(MATCH(I149,C149:H149,0),"")</f>
        <v/>
      </c>
      <c r="L149" s="10">
        <f>IF(OR(I149="",J149=""),"",ROUND((I149-J149)/I149*100,1))</f>
        <v/>
      </c>
      <c r="M149" s="10">
        <f>IF(L149="","",IF(L149&gt;=15,"是","否"))</f>
        <v/>
      </c>
      <c r="N149" s="10">
        <f>IF(J149="","",IF(J149&lt;0.15,"是","否"))</f>
        <v/>
      </c>
      <c r="O149" s="10">
        <f>IF(I149="","",IF(J149&lt;0.15,"SAFETY_STOP",IF(L149&gt;=15,"VL_THRESHOLD","PLANNED_END")))</f>
        <v/>
      </c>
      <c r="P149" s="10">
        <f>IF(I149="","",IF(I149&gt;($D$2+0.05),"+5kg",IF(I149&gt;($D$2+0.02),"+2.5kg",IF(I149&gt;=($D$2-0.05),"保持",IF(I149&gt;=($D$2-0.08),"-2.5kg","-5kg")))))</f>
        <v/>
      </c>
      <c r="Q149" s="9" t="n"/>
      <c r="R149" s="12" t="n"/>
      <c r="S149" s="12" t="n"/>
      <c r="T149" s="12" t="n"/>
    </row>
    <row r="150">
      <c r="A150" s="12" t="n">
        <v>5</v>
      </c>
      <c r="B150" s="9" t="n"/>
      <c r="C150" s="9" t="n"/>
      <c r="D150" s="9" t="n"/>
      <c r="E150" s="9" t="n"/>
      <c r="F150" s="9" t="n"/>
      <c r="G150" s="9" t="n"/>
      <c r="H150" s="9" t="n"/>
      <c r="I150" s="10">
        <f>IFERROR(INDEX(C150:H150,MATCH(TRUE,INDEX(C150:H150&lt;&gt;"",0),0)),"")</f>
        <v/>
      </c>
      <c r="J150" s="10">
        <f>IFERROR(MIN(IF(C150:H150&lt;&gt;"",C150:H150)),"")</f>
        <v/>
      </c>
      <c r="K150" s="10">
        <f>IFERROR(MATCH(I150,C150:H150,0),"")</f>
        <v/>
      </c>
      <c r="L150" s="10">
        <f>IF(OR(I150="",J150=""),"",ROUND((I150-J150)/I150*100,1))</f>
        <v/>
      </c>
      <c r="M150" s="10">
        <f>IF(L150="","",IF(L150&gt;=15,"是","否"))</f>
        <v/>
      </c>
      <c r="N150" s="10">
        <f>IF(J150="","",IF(J150&lt;0.15,"是","否"))</f>
        <v/>
      </c>
      <c r="O150" s="10">
        <f>IF(I150="","",IF(J150&lt;0.15,"SAFETY_STOP",IF(L150&gt;=15,"VL_THRESHOLD","PLANNED_END")))</f>
        <v/>
      </c>
      <c r="P150" s="10">
        <f>IF(I150="","",IF(I150&gt;($D$2+0.05),"+5kg",IF(I150&gt;($D$2+0.02),"+2.5kg",IF(I150&gt;=($D$2-0.05),"保持",IF(I150&gt;=($D$2-0.08),"-2.5kg","-5kg")))))</f>
        <v/>
      </c>
      <c r="Q150" s="9" t="n"/>
      <c r="R150" s="12" t="n"/>
      <c r="S150" s="12" t="n"/>
      <c r="T150" s="12" t="n"/>
    </row>
    <row r="151">
      <c r="A151" s="12" t="n">
        <v>6</v>
      </c>
      <c r="B151" s="9" t="n"/>
      <c r="C151" s="9" t="n"/>
      <c r="D151" s="9" t="n"/>
      <c r="E151" s="9" t="n"/>
      <c r="F151" s="9" t="n"/>
      <c r="G151" s="9" t="n"/>
      <c r="H151" s="9" t="n"/>
      <c r="I151" s="10">
        <f>IFERROR(INDEX(C151:H151,MATCH(TRUE,INDEX(C151:H151&lt;&gt;"",0),0)),"")</f>
        <v/>
      </c>
      <c r="J151" s="10">
        <f>IFERROR(MIN(IF(C151:H151&lt;&gt;"",C151:H151)),"")</f>
        <v/>
      </c>
      <c r="K151" s="10">
        <f>IFERROR(MATCH(I151,C151:H151,0),"")</f>
        <v/>
      </c>
      <c r="L151" s="10">
        <f>IF(OR(I151="",J151=""),"",ROUND((I151-J151)/I151*100,1))</f>
        <v/>
      </c>
      <c r="M151" s="10">
        <f>IF(L151="","",IF(L151&gt;=15,"是","否"))</f>
        <v/>
      </c>
      <c r="N151" s="10">
        <f>IF(J151="","",IF(J151&lt;0.15,"是","否"))</f>
        <v/>
      </c>
      <c r="O151" s="10">
        <f>IF(I151="","",IF(J151&lt;0.15,"SAFETY_STOP",IF(L151&gt;=15,"VL_THRESHOLD","PLANNED_END")))</f>
        <v/>
      </c>
      <c r="P151" s="10">
        <f>IF(I151="","",IF(I151&gt;($D$2+0.05),"+5kg",IF(I151&gt;($D$2+0.02),"+2.5kg",IF(I151&gt;=($D$2-0.05),"保持",IF(I151&gt;=($D$2-0.08),"-2.5kg","-5kg")))))</f>
        <v/>
      </c>
      <c r="Q151" s="9" t="n"/>
      <c r="R151" s="12" t="n"/>
      <c r="S151" s="12" t="n"/>
      <c r="T151" s="12" t="n"/>
    </row>
    <row r="152">
      <c r="A152" s="8" t="inlineStr">
        <is>
          <t>辅助动作</t>
        </is>
      </c>
      <c r="B152" s="8" t="inlineStr">
        <is>
          <t>动作名称</t>
        </is>
      </c>
      <c r="C152" s="8" t="inlineStr">
        <is>
          <t>负荷kg</t>
        </is>
      </c>
      <c r="D152" s="8" t="inlineStr">
        <is>
          <t>完成(组×次)</t>
        </is>
      </c>
    </row>
    <row r="153">
      <c r="A153" s="9" t="inlineStr"/>
      <c r="B153" s="9" t="n"/>
      <c r="C153" s="9" t="n"/>
      <c r="D153" s="9" t="n"/>
    </row>
    <row r="154">
      <c r="A154" s="8" t="inlineStr">
        <is>
          <t>训练后</t>
        </is>
      </c>
      <c r="B154" s="8" t="inlineStr">
        <is>
          <t>开始时间</t>
        </is>
      </c>
      <c r="C154" s="8" t="inlineStr">
        <is>
          <t>结束时间</t>
        </is>
      </c>
      <c r="D154" s="8" t="inlineStr">
        <is>
          <t>总时长min</t>
        </is>
      </c>
      <c r="E154" s="8" t="inlineStr">
        <is>
          <t>sRPE</t>
        </is>
      </c>
      <c r="F154" s="8" t="inlineStr">
        <is>
          <t>session_load</t>
        </is>
      </c>
      <c r="G154" s="8" t="inlineStr">
        <is>
          <t>有无不适</t>
        </is>
      </c>
      <c r="H154" s="8" t="inlineStr">
        <is>
          <t>备注</t>
        </is>
      </c>
      <c r="I154" s="8" t="inlineStr">
        <is>
          <t>研究员签名</t>
        </is>
      </c>
    </row>
    <row r="155">
      <c r="A155" s="13" t="inlineStr"/>
      <c r="B155" s="13" t="n"/>
      <c r="C155" s="13" t="n"/>
      <c r="D155" s="10">
        <f>IF(OR(B155="",C155=""),"",(C155-B155)*1440)</f>
        <v/>
      </c>
      <c r="E155" s="13" t="n"/>
      <c r="F155" s="10">
        <f>IF(OR(D155="",E155=""),"",D155*E155)</f>
        <v/>
      </c>
      <c r="G155" s="13" t="n"/>
      <c r="H155" s="13" t="n"/>
      <c r="I155" s="13" t="n"/>
    </row>
    <row r="157">
      <c r="A157" s="5" t="inlineStr">
        <is>
          <t>── P026 古翔宇 ──────────────────────────────────────────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7" t="n"/>
    </row>
    <row r="158">
      <c r="A158" s="8" t="inlineStr">
        <is>
          <t>编号</t>
        </is>
      </c>
      <c r="B158" s="8" t="inlineStr">
        <is>
          <t>姓名</t>
        </is>
      </c>
      <c r="C158" s="8" t="inlineStr">
        <is>
          <t>身高</t>
        </is>
      </c>
      <c r="D158" s="8" t="inlineStr">
        <is>
          <t>1RM</t>
        </is>
      </c>
      <c r="E158" s="8" t="inlineStr">
        <is>
          <t>睡眠</t>
        </is>
      </c>
      <c r="F158" s="8" t="inlineStr">
        <is>
          <t>压力</t>
        </is>
      </c>
      <c r="G158" s="8" t="inlineStr">
        <is>
          <t>疲劳</t>
        </is>
      </c>
      <c r="H158" s="8" t="inlineStr">
        <is>
          <t>酸痛</t>
        </is>
      </c>
      <c r="I158" s="8" t="inlineStr">
        <is>
          <t>Hooper总</t>
        </is>
      </c>
      <c r="J158" s="8" t="inlineStr">
        <is>
          <t>CMJ1</t>
        </is>
      </c>
      <c r="K158" s="8" t="inlineStr">
        <is>
          <t>CMJ2</t>
        </is>
      </c>
      <c r="L158" s="8" t="inlineStr">
        <is>
          <t>CMJ3</t>
        </is>
      </c>
      <c r="M158" s="8" t="inlineStr">
        <is>
          <t>CMJ均值</t>
        </is>
      </c>
      <c r="N158" s="8" t="inlineStr">
        <is>
          <t>&lt;95%?</t>
        </is>
      </c>
      <c r="O158" s="8" t="inlineStr">
        <is>
          <t>减组?</t>
        </is>
      </c>
      <c r="P158" s="8" t="inlineStr">
        <is>
          <t>实做组数</t>
        </is>
      </c>
      <c r="Q158" s="8" t="inlineStr">
        <is>
          <t>LVP_a</t>
        </is>
      </c>
      <c r="R158" s="8" t="inlineStr">
        <is>
          <t>LVP_b</t>
        </is>
      </c>
      <c r="S158" s="8" t="inlineStr">
        <is>
          <t>等级</t>
        </is>
      </c>
      <c r="T158" s="8" t="inlineStr">
        <is>
          <t>预测起始</t>
        </is>
      </c>
    </row>
    <row r="159">
      <c r="A159" s="9" t="inlineStr">
        <is>
          <t>P026</t>
        </is>
      </c>
      <c r="B159" s="9" t="inlineStr">
        <is>
          <t>古翔宇</t>
        </is>
      </c>
      <c r="C159" s="9" t="n">
        <v>180</v>
      </c>
      <c r="D159" s="9" t="n">
        <v>135</v>
      </c>
      <c r="E159" s="9" t="n"/>
      <c r="F159" s="9" t="n"/>
      <c r="G159" s="9" t="n"/>
      <c r="H159" s="9" t="n"/>
      <c r="I159" s="10">
        <f>IFERROR(SUM(E159:H159),"")</f>
        <v/>
      </c>
      <c r="J159" s="9" t="n"/>
      <c r="K159" s="9" t="n"/>
      <c r="L159" s="9" t="n"/>
      <c r="M159" s="10">
        <f>IFERROR(AVERAGE(J159:L159),"")</f>
        <v/>
      </c>
      <c r="N159" s="10">
        <f>IF(M159="","",IF(M159&lt;45.51,"是⚠","否"))</f>
        <v/>
      </c>
      <c r="O159" s="10">
        <f>IF(M159="","",IF(M159&lt;45.51,"减1组","正常"))</f>
        <v/>
      </c>
      <c r="P159" s="10">
        <f>IF(M159="","",IF(M159&lt;45.51,5-1,5))</f>
        <v/>
      </c>
      <c r="Q159" s="9" t="n">
        <v>1.64</v>
      </c>
      <c r="R159" s="9" t="n">
        <v>-0.00975</v>
      </c>
      <c r="S159" s="9" t="inlineStr">
        <is>
          <t>A</t>
        </is>
      </c>
      <c r="T159" s="10">
        <f>IFERROR(ROUND((0.7-1.64)/-0.00975,0.5),"")</f>
        <v/>
      </c>
    </row>
    <row r="160">
      <c r="A160" s="8" t="inlineStr">
        <is>
          <t>热身校准</t>
        </is>
      </c>
      <c r="B160" s="8" t="inlineStr">
        <is>
          <t>LVP_a</t>
        </is>
      </c>
      <c r="C160" s="8" t="inlineStr">
        <is>
          <t>LVP_b</t>
        </is>
      </c>
      <c r="D160" s="8" t="inlineStr">
        <is>
          <t>50%热身kg</t>
        </is>
      </c>
      <c r="E160" s="8" t="inlineStr">
        <is>
          <t>70%热身kg</t>
        </is>
      </c>
      <c r="F160" s="8" t="inlineStr">
        <is>
          <t>热身负荷kg</t>
        </is>
      </c>
      <c r="G160" s="8" t="inlineStr">
        <is>
          <t>实测MCV</t>
        </is>
      </c>
      <c r="H160" s="8" t="inlineStr">
        <is>
          <t>预测MCV</t>
        </is>
      </c>
      <c r="I160" s="8" t="inlineStr">
        <is>
          <t>Δv</t>
        </is>
      </c>
      <c r="J160" s="8" t="inlineStr">
        <is>
          <t>调整量kg</t>
        </is>
      </c>
      <c r="K160" s="8" t="inlineStr">
        <is>
          <t>校准后第1组kg</t>
        </is>
      </c>
    </row>
    <row r="161">
      <c r="A161" s="11" t="inlineStr"/>
      <c r="B161" s="11" t="n">
        <v>1.64</v>
      </c>
      <c r="C161" s="11" t="n">
        <v>-0.00975</v>
      </c>
      <c r="D161" s="10">
        <f>IFERROR(ROUND(T159*0.5,2.5),"")</f>
        <v/>
      </c>
      <c r="E161" s="10">
        <f>IFERROR(ROUND(T159*0.7,2.5),"")</f>
        <v/>
      </c>
      <c r="F161" s="10">
        <f>D161</f>
        <v/>
      </c>
      <c r="G161" s="9" t="n"/>
      <c r="H161" s="10">
        <f>IF(F161="","",B161+C161*F161)</f>
        <v/>
      </c>
      <c r="I161" s="10">
        <f>IF(OR(G161="",H161=""),"",G161-H161)</f>
        <v/>
      </c>
      <c r="J161" s="10">
        <f>IF(I161="","",IF(I161&gt;0.08,5,IF(I161&gt;0.04,2.5,IF(I161&gt;=-0.04,0,IF(I161&gt;=-0.08,-2.5,-5)))))</f>
        <v/>
      </c>
      <c r="K161" s="10">
        <f>IFERROR(ROUND(T159+J161,2.5),"")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8" t="inlineStr">
        <is>
          <t>组次</t>
        </is>
      </c>
      <c r="B162" s="8" t="inlineStr">
        <is>
          <t>负荷kg</t>
        </is>
      </c>
      <c r="C162" s="8" t="inlineStr">
        <is>
          <t>rep1</t>
        </is>
      </c>
      <c r="D162" s="8" t="inlineStr">
        <is>
          <t>rep2</t>
        </is>
      </c>
      <c r="E162" s="8" t="inlineStr">
        <is>
          <t>rep3</t>
        </is>
      </c>
      <c r="F162" s="8" t="inlineStr">
        <is>
          <t>rep4</t>
        </is>
      </c>
      <c r="G162" s="8" t="inlineStr">
        <is>
          <t>rep5</t>
        </is>
      </c>
      <c r="H162" s="8" t="inlineStr">
        <is>
          <t>rep6</t>
        </is>
      </c>
      <c r="I162" s="8" t="inlineStr">
        <is>
          <t>首rep</t>
        </is>
      </c>
      <c r="J162" s="8" t="inlineStr">
        <is>
          <t>最低速</t>
        </is>
      </c>
      <c r="K162" s="8" t="inlineStr">
        <is>
          <t>最低rep#</t>
        </is>
      </c>
      <c r="L162" s="8" t="inlineStr">
        <is>
          <t>VL%</t>
        </is>
      </c>
      <c r="M162" s="8" t="inlineStr">
        <is>
          <t>VL达标?</t>
        </is>
      </c>
      <c r="N162" s="8" t="inlineStr">
        <is>
          <t>安全停止?</t>
        </is>
      </c>
      <c r="O162" s="8" t="inlineStr">
        <is>
          <t>停组原因</t>
        </is>
      </c>
      <c r="P162" s="8" t="inlineStr">
        <is>
          <t>下组建议</t>
        </is>
      </c>
      <c r="Q162" s="8" t="inlineStr">
        <is>
          <t>实做次数</t>
        </is>
      </c>
    </row>
    <row r="163">
      <c r="A163" s="12" t="n">
        <v>1</v>
      </c>
      <c r="B163" s="10">
        <f>IF(K161="","",K161)</f>
        <v/>
      </c>
      <c r="C163" s="9" t="n"/>
      <c r="D163" s="9" t="n"/>
      <c r="E163" s="9" t="n"/>
      <c r="F163" s="9" t="n"/>
      <c r="G163" s="9" t="n"/>
      <c r="H163" s="9" t="n"/>
      <c r="I163" s="10">
        <f>IFERROR(INDEX(C163:H163,MATCH(TRUE,INDEX(C163:H163&lt;&gt;"",0),0)),"")</f>
        <v/>
      </c>
      <c r="J163" s="10">
        <f>IFERROR(MIN(IF(C163:H163&lt;&gt;"",C163:H163)),"")</f>
        <v/>
      </c>
      <c r="K163" s="10">
        <f>IFERROR(MATCH(I163,C163:H163,0),"")</f>
        <v/>
      </c>
      <c r="L163" s="10">
        <f>IF(OR(I163="",J163=""),"",ROUND((I163-J163)/I163*100,1))</f>
        <v/>
      </c>
      <c r="M163" s="10">
        <f>IF(L163="","",IF(L163&gt;=15,"是","否"))</f>
        <v/>
      </c>
      <c r="N163" s="10">
        <f>IF(J163="","",IF(J163&lt;0.15,"是","否"))</f>
        <v/>
      </c>
      <c r="O163" s="10">
        <f>IF(I163="","",IF(J163&lt;0.15,"SAFETY_STOP",IF(L163&gt;=15,"VL_THRESHOLD","PLANNED_END")))</f>
        <v/>
      </c>
      <c r="P163" s="10">
        <f>IF(I163="","",IF(I163&gt;($D$2+0.05),"+5kg",IF(I163&gt;($D$2+0.02),"+2.5kg",IF(I163&gt;=($D$2-0.05),"保持",IF(I163&gt;=($D$2-0.08),"-2.5kg","-5kg")))))</f>
        <v/>
      </c>
      <c r="Q163" s="9" t="n"/>
      <c r="R163" s="12" t="n"/>
      <c r="S163" s="12" t="n"/>
      <c r="T163" s="12" t="n"/>
    </row>
    <row r="164">
      <c r="A164" s="12" t="n">
        <v>2</v>
      </c>
      <c r="B164" s="9" t="n"/>
      <c r="C164" s="9" t="n"/>
      <c r="D164" s="9" t="n"/>
      <c r="E164" s="9" t="n"/>
      <c r="F164" s="9" t="n"/>
      <c r="G164" s="9" t="n"/>
      <c r="H164" s="9" t="n"/>
      <c r="I164" s="10">
        <f>IFERROR(INDEX(C164:H164,MATCH(TRUE,INDEX(C164:H164&lt;&gt;"",0),0)),"")</f>
        <v/>
      </c>
      <c r="J164" s="10">
        <f>IFERROR(MIN(IF(C164:H164&lt;&gt;"",C164:H164)),"")</f>
        <v/>
      </c>
      <c r="K164" s="10">
        <f>IFERROR(MATCH(I164,C164:H164,0),"")</f>
        <v/>
      </c>
      <c r="L164" s="10">
        <f>IF(OR(I164="",J164=""),"",ROUND((I164-J164)/I164*100,1))</f>
        <v/>
      </c>
      <c r="M164" s="10">
        <f>IF(L164="","",IF(L164&gt;=15,"是","否"))</f>
        <v/>
      </c>
      <c r="N164" s="10">
        <f>IF(J164="","",IF(J164&lt;0.15,"是","否"))</f>
        <v/>
      </c>
      <c r="O164" s="10">
        <f>IF(I164="","",IF(J164&lt;0.15,"SAFETY_STOP",IF(L164&gt;=15,"VL_THRESHOLD","PLANNED_END")))</f>
        <v/>
      </c>
      <c r="P164" s="10">
        <f>IF(I164="","",IF(I164&gt;($D$2+0.05),"+5kg",IF(I164&gt;($D$2+0.02),"+2.5kg",IF(I164&gt;=($D$2-0.05),"保持",IF(I164&gt;=($D$2-0.08),"-2.5kg","-5kg")))))</f>
        <v/>
      </c>
      <c r="Q164" s="9" t="n"/>
      <c r="R164" s="12" t="n"/>
      <c r="S164" s="12" t="n"/>
      <c r="T164" s="12" t="n"/>
    </row>
    <row r="165">
      <c r="A165" s="12" t="n">
        <v>3</v>
      </c>
      <c r="B165" s="9" t="n"/>
      <c r="C165" s="9" t="n"/>
      <c r="D165" s="9" t="n"/>
      <c r="E165" s="9" t="n"/>
      <c r="F165" s="9" t="n"/>
      <c r="G165" s="9" t="n"/>
      <c r="H165" s="9" t="n"/>
      <c r="I165" s="10">
        <f>IFERROR(INDEX(C165:H165,MATCH(TRUE,INDEX(C165:H165&lt;&gt;"",0),0)),"")</f>
        <v/>
      </c>
      <c r="J165" s="10">
        <f>IFERROR(MIN(IF(C165:H165&lt;&gt;"",C165:H165)),"")</f>
        <v/>
      </c>
      <c r="K165" s="10">
        <f>IFERROR(MATCH(I165,C165:H165,0),"")</f>
        <v/>
      </c>
      <c r="L165" s="10">
        <f>IF(OR(I165="",J165=""),"",ROUND((I165-J165)/I165*100,1))</f>
        <v/>
      </c>
      <c r="M165" s="10">
        <f>IF(L165="","",IF(L165&gt;=15,"是","否"))</f>
        <v/>
      </c>
      <c r="N165" s="10">
        <f>IF(J165="","",IF(J165&lt;0.15,"是","否"))</f>
        <v/>
      </c>
      <c r="O165" s="10">
        <f>IF(I165="","",IF(J165&lt;0.15,"SAFETY_STOP",IF(L165&gt;=15,"VL_THRESHOLD","PLANNED_END")))</f>
        <v/>
      </c>
      <c r="P165" s="10">
        <f>IF(I165="","",IF(I165&gt;($D$2+0.05),"+5kg",IF(I165&gt;($D$2+0.02),"+2.5kg",IF(I165&gt;=($D$2-0.05),"保持",IF(I165&gt;=($D$2-0.08),"-2.5kg","-5kg")))))</f>
        <v/>
      </c>
      <c r="Q165" s="9" t="n"/>
      <c r="R165" s="12" t="n"/>
      <c r="S165" s="12" t="n"/>
      <c r="T165" s="12" t="n"/>
    </row>
    <row r="166">
      <c r="A166" s="12" t="n">
        <v>4</v>
      </c>
      <c r="B166" s="9" t="n"/>
      <c r="C166" s="9" t="n"/>
      <c r="D166" s="9" t="n"/>
      <c r="E166" s="9" t="n"/>
      <c r="F166" s="9" t="n"/>
      <c r="G166" s="9" t="n"/>
      <c r="H166" s="9" t="n"/>
      <c r="I166" s="10">
        <f>IFERROR(INDEX(C166:H166,MATCH(TRUE,INDEX(C166:H166&lt;&gt;"",0),0)),"")</f>
        <v/>
      </c>
      <c r="J166" s="10">
        <f>IFERROR(MIN(IF(C166:H166&lt;&gt;"",C166:H166)),"")</f>
        <v/>
      </c>
      <c r="K166" s="10">
        <f>IFERROR(MATCH(I166,C166:H166,0),"")</f>
        <v/>
      </c>
      <c r="L166" s="10">
        <f>IF(OR(I166="",J166=""),"",ROUND((I166-J166)/I166*100,1))</f>
        <v/>
      </c>
      <c r="M166" s="10">
        <f>IF(L166="","",IF(L166&gt;=15,"是","否"))</f>
        <v/>
      </c>
      <c r="N166" s="10">
        <f>IF(J166="","",IF(J166&lt;0.15,"是","否"))</f>
        <v/>
      </c>
      <c r="O166" s="10">
        <f>IF(I166="","",IF(J166&lt;0.15,"SAFETY_STOP",IF(L166&gt;=15,"VL_THRESHOLD","PLANNED_END")))</f>
        <v/>
      </c>
      <c r="P166" s="10">
        <f>IF(I166="","",IF(I166&gt;($D$2+0.05),"+5kg",IF(I166&gt;($D$2+0.02),"+2.5kg",IF(I166&gt;=($D$2-0.05),"保持",IF(I166&gt;=($D$2-0.08),"-2.5kg","-5kg")))))</f>
        <v/>
      </c>
      <c r="Q166" s="9" t="n"/>
      <c r="R166" s="12" t="n"/>
      <c r="S166" s="12" t="n"/>
      <c r="T166" s="12" t="n"/>
    </row>
    <row r="167">
      <c r="A167" s="12" t="n">
        <v>5</v>
      </c>
      <c r="B167" s="9" t="n"/>
      <c r="C167" s="9" t="n"/>
      <c r="D167" s="9" t="n"/>
      <c r="E167" s="9" t="n"/>
      <c r="F167" s="9" t="n"/>
      <c r="G167" s="9" t="n"/>
      <c r="H167" s="9" t="n"/>
      <c r="I167" s="10">
        <f>IFERROR(INDEX(C167:H167,MATCH(TRUE,INDEX(C167:H167&lt;&gt;"",0),0)),"")</f>
        <v/>
      </c>
      <c r="J167" s="10">
        <f>IFERROR(MIN(IF(C167:H167&lt;&gt;"",C167:H167)),"")</f>
        <v/>
      </c>
      <c r="K167" s="10">
        <f>IFERROR(MATCH(I167,C167:H167,0),"")</f>
        <v/>
      </c>
      <c r="L167" s="10">
        <f>IF(OR(I167="",J167=""),"",ROUND((I167-J167)/I167*100,1))</f>
        <v/>
      </c>
      <c r="M167" s="10">
        <f>IF(L167="","",IF(L167&gt;=15,"是","否"))</f>
        <v/>
      </c>
      <c r="N167" s="10">
        <f>IF(J167="","",IF(J167&lt;0.15,"是","否"))</f>
        <v/>
      </c>
      <c r="O167" s="10">
        <f>IF(I167="","",IF(J167&lt;0.15,"SAFETY_STOP",IF(L167&gt;=15,"VL_THRESHOLD","PLANNED_END")))</f>
        <v/>
      </c>
      <c r="P167" s="10">
        <f>IF(I167="","",IF(I167&gt;($D$2+0.05),"+5kg",IF(I167&gt;($D$2+0.02),"+2.5kg",IF(I167&gt;=($D$2-0.05),"保持",IF(I167&gt;=($D$2-0.08),"-2.5kg","-5kg")))))</f>
        <v/>
      </c>
      <c r="Q167" s="9" t="n"/>
      <c r="R167" s="12" t="n"/>
      <c r="S167" s="12" t="n"/>
      <c r="T167" s="12" t="n"/>
    </row>
    <row r="168">
      <c r="A168" s="12" t="n">
        <v>6</v>
      </c>
      <c r="B168" s="9" t="n"/>
      <c r="C168" s="9" t="n"/>
      <c r="D168" s="9" t="n"/>
      <c r="E168" s="9" t="n"/>
      <c r="F168" s="9" t="n"/>
      <c r="G168" s="9" t="n"/>
      <c r="H168" s="9" t="n"/>
      <c r="I168" s="10">
        <f>IFERROR(INDEX(C168:H168,MATCH(TRUE,INDEX(C168:H168&lt;&gt;"",0),0)),"")</f>
        <v/>
      </c>
      <c r="J168" s="10">
        <f>IFERROR(MIN(IF(C168:H168&lt;&gt;"",C168:H168)),"")</f>
        <v/>
      </c>
      <c r="K168" s="10">
        <f>IFERROR(MATCH(I168,C168:H168,0),"")</f>
        <v/>
      </c>
      <c r="L168" s="10">
        <f>IF(OR(I168="",J168=""),"",ROUND((I168-J168)/I168*100,1))</f>
        <v/>
      </c>
      <c r="M168" s="10">
        <f>IF(L168="","",IF(L168&gt;=15,"是","否"))</f>
        <v/>
      </c>
      <c r="N168" s="10">
        <f>IF(J168="","",IF(J168&lt;0.15,"是","否"))</f>
        <v/>
      </c>
      <c r="O168" s="10">
        <f>IF(I168="","",IF(J168&lt;0.15,"SAFETY_STOP",IF(L168&gt;=15,"VL_THRESHOLD","PLANNED_END")))</f>
        <v/>
      </c>
      <c r="P168" s="10">
        <f>IF(I168="","",IF(I168&gt;($D$2+0.05),"+5kg",IF(I168&gt;($D$2+0.02),"+2.5kg",IF(I168&gt;=($D$2-0.05),"保持",IF(I168&gt;=($D$2-0.08),"-2.5kg","-5kg")))))</f>
        <v/>
      </c>
      <c r="Q168" s="9" t="n"/>
      <c r="R168" s="12" t="n"/>
      <c r="S168" s="12" t="n"/>
      <c r="T168" s="12" t="n"/>
    </row>
    <row r="169">
      <c r="A169" s="8" t="inlineStr">
        <is>
          <t>辅助动作</t>
        </is>
      </c>
      <c r="B169" s="8" t="inlineStr">
        <is>
          <t>动作名称</t>
        </is>
      </c>
      <c r="C169" s="8" t="inlineStr">
        <is>
          <t>负荷kg</t>
        </is>
      </c>
      <c r="D169" s="8" t="inlineStr">
        <is>
          <t>完成(组×次)</t>
        </is>
      </c>
    </row>
    <row r="170">
      <c r="A170" s="9" t="inlineStr"/>
      <c r="B170" s="9" t="n"/>
      <c r="C170" s="9" t="n"/>
      <c r="D170" s="9" t="n"/>
    </row>
    <row r="171">
      <c r="A171" s="8" t="inlineStr">
        <is>
          <t>训练后</t>
        </is>
      </c>
      <c r="B171" s="8" t="inlineStr">
        <is>
          <t>开始时间</t>
        </is>
      </c>
      <c r="C171" s="8" t="inlineStr">
        <is>
          <t>结束时间</t>
        </is>
      </c>
      <c r="D171" s="8" t="inlineStr">
        <is>
          <t>总时长min</t>
        </is>
      </c>
      <c r="E171" s="8" t="inlineStr">
        <is>
          <t>sRPE</t>
        </is>
      </c>
      <c r="F171" s="8" t="inlineStr">
        <is>
          <t>session_load</t>
        </is>
      </c>
      <c r="G171" s="8" t="inlineStr">
        <is>
          <t>有无不适</t>
        </is>
      </c>
      <c r="H171" s="8" t="inlineStr">
        <is>
          <t>备注</t>
        </is>
      </c>
      <c r="I171" s="8" t="inlineStr">
        <is>
          <t>研究员签名</t>
        </is>
      </c>
    </row>
    <row r="172">
      <c r="A172" s="13" t="inlineStr"/>
      <c r="B172" s="13" t="n"/>
      <c r="C172" s="13" t="n"/>
      <c r="D172" s="10">
        <f>IF(OR(B172="",C172=""),"",(C172-B172)*1440)</f>
        <v/>
      </c>
      <c r="E172" s="13" t="n"/>
      <c r="F172" s="10">
        <f>IF(OR(D172="",E172=""),"",D172*E172)</f>
        <v/>
      </c>
      <c r="G172" s="13" t="n"/>
      <c r="H172" s="13" t="n"/>
      <c r="I172" s="13" t="n"/>
    </row>
    <row r="174">
      <c r="A174" s="5" t="inlineStr">
        <is>
          <t>── P010 张锦荣 ──────────────────────────────────────────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" t="n"/>
    </row>
    <row r="175">
      <c r="A175" s="8" t="inlineStr">
        <is>
          <t>编号</t>
        </is>
      </c>
      <c r="B175" s="8" t="inlineStr">
        <is>
          <t>姓名</t>
        </is>
      </c>
      <c r="C175" s="8" t="inlineStr">
        <is>
          <t>身高</t>
        </is>
      </c>
      <c r="D175" s="8" t="inlineStr">
        <is>
          <t>1RM</t>
        </is>
      </c>
      <c r="E175" s="8" t="inlineStr">
        <is>
          <t>睡眠</t>
        </is>
      </c>
      <c r="F175" s="8" t="inlineStr">
        <is>
          <t>压力</t>
        </is>
      </c>
      <c r="G175" s="8" t="inlineStr">
        <is>
          <t>疲劳</t>
        </is>
      </c>
      <c r="H175" s="8" t="inlineStr">
        <is>
          <t>酸痛</t>
        </is>
      </c>
      <c r="I175" s="8" t="inlineStr">
        <is>
          <t>Hooper总</t>
        </is>
      </c>
      <c r="J175" s="8" t="inlineStr">
        <is>
          <t>CMJ1</t>
        </is>
      </c>
      <c r="K175" s="8" t="inlineStr">
        <is>
          <t>CMJ2</t>
        </is>
      </c>
      <c r="L175" s="8" t="inlineStr">
        <is>
          <t>CMJ3</t>
        </is>
      </c>
      <c r="M175" s="8" t="inlineStr">
        <is>
          <t>CMJ均值</t>
        </is>
      </c>
      <c r="N175" s="8" t="inlineStr">
        <is>
          <t>&lt;95%?</t>
        </is>
      </c>
      <c r="O175" s="8" t="inlineStr">
        <is>
          <t>减组?</t>
        </is>
      </c>
      <c r="P175" s="8" t="inlineStr">
        <is>
          <t>实做组数</t>
        </is>
      </c>
      <c r="Q175" s="8" t="inlineStr">
        <is>
          <t>LVP_a</t>
        </is>
      </c>
      <c r="R175" s="8" t="inlineStr">
        <is>
          <t>LVP_b</t>
        </is>
      </c>
      <c r="S175" s="8" t="inlineStr">
        <is>
          <t>等级</t>
        </is>
      </c>
      <c r="T175" s="8" t="inlineStr">
        <is>
          <t>预测起始</t>
        </is>
      </c>
    </row>
    <row r="176">
      <c r="A176" s="9" t="inlineStr">
        <is>
          <t>P010</t>
        </is>
      </c>
      <c r="B176" s="9" t="inlineStr">
        <is>
          <t>张锦荣</t>
        </is>
      </c>
      <c r="C176" s="9" t="n">
        <v>174</v>
      </c>
      <c r="D176" s="9" t="n">
        <v>120</v>
      </c>
      <c r="E176" s="9" t="n"/>
      <c r="F176" s="9" t="n"/>
      <c r="G176" s="9" t="n"/>
      <c r="H176" s="9" t="n"/>
      <c r="I176" s="10">
        <f>IFERROR(SUM(E176:H176),"")</f>
        <v/>
      </c>
      <c r="J176" s="9" t="n"/>
      <c r="K176" s="9" t="n"/>
      <c r="L176" s="9" t="n"/>
      <c r="M176" s="10">
        <f>IFERROR(AVERAGE(J176:L176),"")</f>
        <v/>
      </c>
      <c r="N176" s="10">
        <f>IF(M176="","",IF(M176&lt;50.42,"是⚠","否"))</f>
        <v/>
      </c>
      <c r="O176" s="10">
        <f>IF(M176="","",IF(M176&lt;50.42,"减1组","正常"))</f>
        <v/>
      </c>
      <c r="P176" s="10">
        <f>IF(M176="","",IF(M176&lt;50.42,5-1,5))</f>
        <v/>
      </c>
      <c r="Q176" s="9" t="n">
        <v>1.26</v>
      </c>
      <c r="R176" s="9" t="n">
        <v>-0.006</v>
      </c>
      <c r="S176" s="9" t="inlineStr">
        <is>
          <t>B</t>
        </is>
      </c>
      <c r="T176" s="10">
        <f>IFERROR(ROUND((0.7-1.26)/-0.006,0.5),"")</f>
        <v/>
      </c>
    </row>
    <row r="177">
      <c r="A177" s="8" t="inlineStr">
        <is>
          <t>热身校准</t>
        </is>
      </c>
      <c r="B177" s="8" t="inlineStr">
        <is>
          <t>LVP_a</t>
        </is>
      </c>
      <c r="C177" s="8" t="inlineStr">
        <is>
          <t>LVP_b</t>
        </is>
      </c>
      <c r="D177" s="8" t="inlineStr">
        <is>
          <t>50%热身kg</t>
        </is>
      </c>
      <c r="E177" s="8" t="inlineStr">
        <is>
          <t>70%热身kg</t>
        </is>
      </c>
      <c r="F177" s="8" t="inlineStr">
        <is>
          <t>热身负荷kg</t>
        </is>
      </c>
      <c r="G177" s="8" t="inlineStr">
        <is>
          <t>实测MCV</t>
        </is>
      </c>
      <c r="H177" s="8" t="inlineStr">
        <is>
          <t>预测MCV</t>
        </is>
      </c>
      <c r="I177" s="8" t="inlineStr">
        <is>
          <t>Δv</t>
        </is>
      </c>
      <c r="J177" s="8" t="inlineStr">
        <is>
          <t>调整量kg</t>
        </is>
      </c>
      <c r="K177" s="8" t="inlineStr">
        <is>
          <t>校准后第1组kg</t>
        </is>
      </c>
    </row>
    <row r="178">
      <c r="A178" s="11" t="inlineStr"/>
      <c r="B178" s="11" t="n">
        <v>1.26</v>
      </c>
      <c r="C178" s="11" t="n">
        <v>-0.006</v>
      </c>
      <c r="D178" s="10">
        <f>IFERROR(ROUND(T176*0.5,2.5),"")</f>
        <v/>
      </c>
      <c r="E178" s="10">
        <f>IFERROR(ROUND(T176*0.7,2.5),"")</f>
        <v/>
      </c>
      <c r="F178" s="10">
        <f>D178</f>
        <v/>
      </c>
      <c r="G178" s="9" t="n"/>
      <c r="H178" s="10">
        <f>IF(F178="","",B178+C178*F178)</f>
        <v/>
      </c>
      <c r="I178" s="10">
        <f>IF(OR(G178="",H178=""),"",G178-H178)</f>
        <v/>
      </c>
      <c r="J178" s="10">
        <f>IF(I178="","",IF(I178&gt;0.08,5,IF(I178&gt;0.04,2.5,IF(I178&gt;=-0.04,0,IF(I178&gt;=-0.08,-2.5,-5)))))</f>
        <v/>
      </c>
      <c r="K178" s="10">
        <f>IFERROR(ROUND(T176+J178,2.5),"")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8" t="inlineStr">
        <is>
          <t>组次</t>
        </is>
      </c>
      <c r="B179" s="8" t="inlineStr">
        <is>
          <t>负荷kg</t>
        </is>
      </c>
      <c r="C179" s="8" t="inlineStr">
        <is>
          <t>rep1</t>
        </is>
      </c>
      <c r="D179" s="8" t="inlineStr">
        <is>
          <t>rep2</t>
        </is>
      </c>
      <c r="E179" s="8" t="inlineStr">
        <is>
          <t>rep3</t>
        </is>
      </c>
      <c r="F179" s="8" t="inlineStr">
        <is>
          <t>rep4</t>
        </is>
      </c>
      <c r="G179" s="8" t="inlineStr">
        <is>
          <t>rep5</t>
        </is>
      </c>
      <c r="H179" s="8" t="inlineStr">
        <is>
          <t>rep6</t>
        </is>
      </c>
      <c r="I179" s="8" t="inlineStr">
        <is>
          <t>首rep</t>
        </is>
      </c>
      <c r="J179" s="8" t="inlineStr">
        <is>
          <t>最低速</t>
        </is>
      </c>
      <c r="K179" s="8" t="inlineStr">
        <is>
          <t>最低rep#</t>
        </is>
      </c>
      <c r="L179" s="8" t="inlineStr">
        <is>
          <t>VL%</t>
        </is>
      </c>
      <c r="M179" s="8" t="inlineStr">
        <is>
          <t>VL达标?</t>
        </is>
      </c>
      <c r="N179" s="8" t="inlineStr">
        <is>
          <t>安全停止?</t>
        </is>
      </c>
      <c r="O179" s="8" t="inlineStr">
        <is>
          <t>停组原因</t>
        </is>
      </c>
      <c r="P179" s="8" t="inlineStr">
        <is>
          <t>下组建议</t>
        </is>
      </c>
      <c r="Q179" s="8" t="inlineStr">
        <is>
          <t>实做次数</t>
        </is>
      </c>
    </row>
    <row r="180">
      <c r="A180" s="12" t="n">
        <v>1</v>
      </c>
      <c r="B180" s="10">
        <f>IF(K178="","",K178)</f>
        <v/>
      </c>
      <c r="C180" s="9" t="n"/>
      <c r="D180" s="9" t="n"/>
      <c r="E180" s="9" t="n"/>
      <c r="F180" s="9" t="n"/>
      <c r="G180" s="9" t="n"/>
      <c r="H180" s="9" t="n"/>
      <c r="I180" s="10">
        <f>IFERROR(INDEX(C180:H180,MATCH(TRUE,INDEX(C180:H180&lt;&gt;"",0),0)),"")</f>
        <v/>
      </c>
      <c r="J180" s="10">
        <f>IFERROR(MIN(IF(C180:H180&lt;&gt;"",C180:H180)),"")</f>
        <v/>
      </c>
      <c r="K180" s="10">
        <f>IFERROR(MATCH(I180,C180:H180,0),"")</f>
        <v/>
      </c>
      <c r="L180" s="10">
        <f>IF(OR(I180="",J180=""),"",ROUND((I180-J180)/I180*100,1))</f>
        <v/>
      </c>
      <c r="M180" s="10">
        <f>IF(L180="","",IF(L180&gt;=15,"是","否"))</f>
        <v/>
      </c>
      <c r="N180" s="10">
        <f>IF(J180="","",IF(J180&lt;0.15,"是","否"))</f>
        <v/>
      </c>
      <c r="O180" s="10">
        <f>IF(I180="","",IF(J180&lt;0.15,"SAFETY_STOP",IF(L180&gt;=15,"VL_THRESHOLD","PLANNED_END")))</f>
        <v/>
      </c>
      <c r="P180" s="10">
        <f>IF(I180="","",IF(I180&gt;($D$2+0.05),"+5kg",IF(I180&gt;($D$2+0.02),"+2.5kg",IF(I180&gt;=($D$2-0.05),"保持",IF(I180&gt;=($D$2-0.08),"-2.5kg","-5kg")))))</f>
        <v/>
      </c>
      <c r="Q180" s="9" t="n"/>
      <c r="R180" s="12" t="n"/>
      <c r="S180" s="12" t="n"/>
      <c r="T180" s="12" t="n"/>
    </row>
    <row r="181">
      <c r="A181" s="12" t="n">
        <v>2</v>
      </c>
      <c r="B181" s="9" t="n"/>
      <c r="C181" s="9" t="n"/>
      <c r="D181" s="9" t="n"/>
      <c r="E181" s="9" t="n"/>
      <c r="F181" s="9" t="n"/>
      <c r="G181" s="9" t="n"/>
      <c r="H181" s="9" t="n"/>
      <c r="I181" s="10">
        <f>IFERROR(INDEX(C181:H181,MATCH(TRUE,INDEX(C181:H181&lt;&gt;"",0),0)),"")</f>
        <v/>
      </c>
      <c r="J181" s="10">
        <f>IFERROR(MIN(IF(C181:H181&lt;&gt;"",C181:H181)),"")</f>
        <v/>
      </c>
      <c r="K181" s="10">
        <f>IFERROR(MATCH(I181,C181:H181,0),"")</f>
        <v/>
      </c>
      <c r="L181" s="10">
        <f>IF(OR(I181="",J181=""),"",ROUND((I181-J181)/I181*100,1))</f>
        <v/>
      </c>
      <c r="M181" s="10">
        <f>IF(L181="","",IF(L181&gt;=15,"是","否"))</f>
        <v/>
      </c>
      <c r="N181" s="10">
        <f>IF(J181="","",IF(J181&lt;0.15,"是","否"))</f>
        <v/>
      </c>
      <c r="O181" s="10">
        <f>IF(I181="","",IF(J181&lt;0.15,"SAFETY_STOP",IF(L181&gt;=15,"VL_THRESHOLD","PLANNED_END")))</f>
        <v/>
      </c>
      <c r="P181" s="10">
        <f>IF(I181="","",IF(I181&gt;($D$2+0.05),"+5kg",IF(I181&gt;($D$2+0.02),"+2.5kg",IF(I181&gt;=($D$2-0.05),"保持",IF(I181&gt;=($D$2-0.08),"-2.5kg","-5kg")))))</f>
        <v/>
      </c>
      <c r="Q181" s="9" t="n"/>
      <c r="R181" s="12" t="n"/>
      <c r="S181" s="12" t="n"/>
      <c r="T181" s="12" t="n"/>
    </row>
    <row r="182">
      <c r="A182" s="12" t="n">
        <v>3</v>
      </c>
      <c r="B182" s="9" t="n"/>
      <c r="C182" s="9" t="n"/>
      <c r="D182" s="9" t="n"/>
      <c r="E182" s="9" t="n"/>
      <c r="F182" s="9" t="n"/>
      <c r="G182" s="9" t="n"/>
      <c r="H182" s="9" t="n"/>
      <c r="I182" s="10">
        <f>IFERROR(INDEX(C182:H182,MATCH(TRUE,INDEX(C182:H182&lt;&gt;"",0),0)),"")</f>
        <v/>
      </c>
      <c r="J182" s="10">
        <f>IFERROR(MIN(IF(C182:H182&lt;&gt;"",C182:H182)),"")</f>
        <v/>
      </c>
      <c r="K182" s="10">
        <f>IFERROR(MATCH(I182,C182:H182,0),"")</f>
        <v/>
      </c>
      <c r="L182" s="10">
        <f>IF(OR(I182="",J182=""),"",ROUND((I182-J182)/I182*100,1))</f>
        <v/>
      </c>
      <c r="M182" s="10">
        <f>IF(L182="","",IF(L182&gt;=15,"是","否"))</f>
        <v/>
      </c>
      <c r="N182" s="10">
        <f>IF(J182="","",IF(J182&lt;0.15,"是","否"))</f>
        <v/>
      </c>
      <c r="O182" s="10">
        <f>IF(I182="","",IF(J182&lt;0.15,"SAFETY_STOP",IF(L182&gt;=15,"VL_THRESHOLD","PLANNED_END")))</f>
        <v/>
      </c>
      <c r="P182" s="10">
        <f>IF(I182="","",IF(I182&gt;($D$2+0.05),"+5kg",IF(I182&gt;($D$2+0.02),"+2.5kg",IF(I182&gt;=($D$2-0.05),"保持",IF(I182&gt;=($D$2-0.08),"-2.5kg","-5kg")))))</f>
        <v/>
      </c>
      <c r="Q182" s="9" t="n"/>
      <c r="R182" s="12" t="n"/>
      <c r="S182" s="12" t="n"/>
      <c r="T182" s="12" t="n"/>
    </row>
    <row r="183">
      <c r="A183" s="12" t="n">
        <v>4</v>
      </c>
      <c r="B183" s="9" t="n"/>
      <c r="C183" s="9" t="n"/>
      <c r="D183" s="9" t="n"/>
      <c r="E183" s="9" t="n"/>
      <c r="F183" s="9" t="n"/>
      <c r="G183" s="9" t="n"/>
      <c r="H183" s="9" t="n"/>
      <c r="I183" s="10">
        <f>IFERROR(INDEX(C183:H183,MATCH(TRUE,INDEX(C183:H183&lt;&gt;"",0),0)),"")</f>
        <v/>
      </c>
      <c r="J183" s="10">
        <f>IFERROR(MIN(IF(C183:H183&lt;&gt;"",C183:H183)),"")</f>
        <v/>
      </c>
      <c r="K183" s="10">
        <f>IFERROR(MATCH(I183,C183:H183,0),"")</f>
        <v/>
      </c>
      <c r="L183" s="10">
        <f>IF(OR(I183="",J183=""),"",ROUND((I183-J183)/I183*100,1))</f>
        <v/>
      </c>
      <c r="M183" s="10">
        <f>IF(L183="","",IF(L183&gt;=15,"是","否"))</f>
        <v/>
      </c>
      <c r="N183" s="10">
        <f>IF(J183="","",IF(J183&lt;0.15,"是","否"))</f>
        <v/>
      </c>
      <c r="O183" s="10">
        <f>IF(I183="","",IF(J183&lt;0.15,"SAFETY_STOP",IF(L183&gt;=15,"VL_THRESHOLD","PLANNED_END")))</f>
        <v/>
      </c>
      <c r="P183" s="10">
        <f>IF(I183="","",IF(I183&gt;($D$2+0.05),"+5kg",IF(I183&gt;($D$2+0.02),"+2.5kg",IF(I183&gt;=($D$2-0.05),"保持",IF(I183&gt;=($D$2-0.08),"-2.5kg","-5kg")))))</f>
        <v/>
      </c>
      <c r="Q183" s="9" t="n"/>
      <c r="R183" s="12" t="n"/>
      <c r="S183" s="12" t="n"/>
      <c r="T183" s="12" t="n"/>
    </row>
    <row r="184">
      <c r="A184" s="12" t="n">
        <v>5</v>
      </c>
      <c r="B184" s="9" t="n"/>
      <c r="C184" s="9" t="n"/>
      <c r="D184" s="9" t="n"/>
      <c r="E184" s="9" t="n"/>
      <c r="F184" s="9" t="n"/>
      <c r="G184" s="9" t="n"/>
      <c r="H184" s="9" t="n"/>
      <c r="I184" s="10">
        <f>IFERROR(INDEX(C184:H184,MATCH(TRUE,INDEX(C184:H184&lt;&gt;"",0),0)),"")</f>
        <v/>
      </c>
      <c r="J184" s="10">
        <f>IFERROR(MIN(IF(C184:H184&lt;&gt;"",C184:H184)),"")</f>
        <v/>
      </c>
      <c r="K184" s="10">
        <f>IFERROR(MATCH(I184,C184:H184,0),"")</f>
        <v/>
      </c>
      <c r="L184" s="10">
        <f>IF(OR(I184="",J184=""),"",ROUND((I184-J184)/I184*100,1))</f>
        <v/>
      </c>
      <c r="M184" s="10">
        <f>IF(L184="","",IF(L184&gt;=15,"是","否"))</f>
        <v/>
      </c>
      <c r="N184" s="10">
        <f>IF(J184="","",IF(J184&lt;0.15,"是","否"))</f>
        <v/>
      </c>
      <c r="O184" s="10">
        <f>IF(I184="","",IF(J184&lt;0.15,"SAFETY_STOP",IF(L184&gt;=15,"VL_THRESHOLD","PLANNED_END")))</f>
        <v/>
      </c>
      <c r="P184" s="10">
        <f>IF(I184="","",IF(I184&gt;($D$2+0.05),"+5kg",IF(I184&gt;($D$2+0.02),"+2.5kg",IF(I184&gt;=($D$2-0.05),"保持",IF(I184&gt;=($D$2-0.08),"-2.5kg","-5kg")))))</f>
        <v/>
      </c>
      <c r="Q184" s="9" t="n"/>
      <c r="R184" s="12" t="n"/>
      <c r="S184" s="12" t="n"/>
      <c r="T184" s="12" t="n"/>
    </row>
    <row r="185">
      <c r="A185" s="12" t="n">
        <v>6</v>
      </c>
      <c r="B185" s="9" t="n"/>
      <c r="C185" s="9" t="n"/>
      <c r="D185" s="9" t="n"/>
      <c r="E185" s="9" t="n"/>
      <c r="F185" s="9" t="n"/>
      <c r="G185" s="9" t="n"/>
      <c r="H185" s="9" t="n"/>
      <c r="I185" s="10">
        <f>IFERROR(INDEX(C185:H185,MATCH(TRUE,INDEX(C185:H185&lt;&gt;"",0),0)),"")</f>
        <v/>
      </c>
      <c r="J185" s="10">
        <f>IFERROR(MIN(IF(C185:H185&lt;&gt;"",C185:H185)),"")</f>
        <v/>
      </c>
      <c r="K185" s="10">
        <f>IFERROR(MATCH(I185,C185:H185,0),"")</f>
        <v/>
      </c>
      <c r="L185" s="10">
        <f>IF(OR(I185="",J185=""),"",ROUND((I185-J185)/I185*100,1))</f>
        <v/>
      </c>
      <c r="M185" s="10">
        <f>IF(L185="","",IF(L185&gt;=15,"是","否"))</f>
        <v/>
      </c>
      <c r="N185" s="10">
        <f>IF(J185="","",IF(J185&lt;0.15,"是","否"))</f>
        <v/>
      </c>
      <c r="O185" s="10">
        <f>IF(I185="","",IF(J185&lt;0.15,"SAFETY_STOP",IF(L185&gt;=15,"VL_THRESHOLD","PLANNED_END")))</f>
        <v/>
      </c>
      <c r="P185" s="10">
        <f>IF(I185="","",IF(I185&gt;($D$2+0.05),"+5kg",IF(I185&gt;($D$2+0.02),"+2.5kg",IF(I185&gt;=($D$2-0.05),"保持",IF(I185&gt;=($D$2-0.08),"-2.5kg","-5kg")))))</f>
        <v/>
      </c>
      <c r="Q185" s="9" t="n"/>
      <c r="R185" s="12" t="n"/>
      <c r="S185" s="12" t="n"/>
      <c r="T185" s="12" t="n"/>
    </row>
    <row r="186">
      <c r="A186" s="8" t="inlineStr">
        <is>
          <t>辅助动作</t>
        </is>
      </c>
      <c r="B186" s="8" t="inlineStr">
        <is>
          <t>动作名称</t>
        </is>
      </c>
      <c r="C186" s="8" t="inlineStr">
        <is>
          <t>负荷kg</t>
        </is>
      </c>
      <c r="D186" s="8" t="inlineStr">
        <is>
          <t>完成(组×次)</t>
        </is>
      </c>
    </row>
    <row r="187">
      <c r="A187" s="9" t="inlineStr"/>
      <c r="B187" s="9" t="n"/>
      <c r="C187" s="9" t="n"/>
      <c r="D187" s="9" t="n"/>
    </row>
    <row r="188">
      <c r="A188" s="8" t="inlineStr">
        <is>
          <t>训练后</t>
        </is>
      </c>
      <c r="B188" s="8" t="inlineStr">
        <is>
          <t>开始时间</t>
        </is>
      </c>
      <c r="C188" s="8" t="inlineStr">
        <is>
          <t>结束时间</t>
        </is>
      </c>
      <c r="D188" s="8" t="inlineStr">
        <is>
          <t>总时长min</t>
        </is>
      </c>
      <c r="E188" s="8" t="inlineStr">
        <is>
          <t>sRPE</t>
        </is>
      </c>
      <c r="F188" s="8" t="inlineStr">
        <is>
          <t>session_load</t>
        </is>
      </c>
      <c r="G188" s="8" t="inlineStr">
        <is>
          <t>有无不适</t>
        </is>
      </c>
      <c r="H188" s="8" t="inlineStr">
        <is>
          <t>备注</t>
        </is>
      </c>
      <c r="I188" s="8" t="inlineStr">
        <is>
          <t>研究员签名</t>
        </is>
      </c>
    </row>
    <row r="189">
      <c r="A189" s="13" t="inlineStr"/>
      <c r="B189" s="13" t="n"/>
      <c r="C189" s="13" t="n"/>
      <c r="D189" s="10">
        <f>IF(OR(B189="",C189=""),"",(C189-B189)*1440)</f>
        <v/>
      </c>
      <c r="E189" s="13" t="n"/>
      <c r="F189" s="10">
        <f>IF(OR(D189="",E189=""),"",D189*E189)</f>
        <v/>
      </c>
      <c r="G189" s="13" t="n"/>
      <c r="H189" s="13" t="n"/>
      <c r="I189" s="13" t="n"/>
    </row>
    <row r="191">
      <c r="A191" s="5" t="inlineStr">
        <is>
          <t>── P009 王宏池 ──────────────────────────────────────────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7" t="n"/>
    </row>
    <row r="192">
      <c r="A192" s="8" t="inlineStr">
        <is>
          <t>编号</t>
        </is>
      </c>
      <c r="B192" s="8" t="inlineStr">
        <is>
          <t>姓名</t>
        </is>
      </c>
      <c r="C192" s="8" t="inlineStr">
        <is>
          <t>身高</t>
        </is>
      </c>
      <c r="D192" s="8" t="inlineStr">
        <is>
          <t>1RM</t>
        </is>
      </c>
      <c r="E192" s="8" t="inlineStr">
        <is>
          <t>睡眠</t>
        </is>
      </c>
      <c r="F192" s="8" t="inlineStr">
        <is>
          <t>压力</t>
        </is>
      </c>
      <c r="G192" s="8" t="inlineStr">
        <is>
          <t>疲劳</t>
        </is>
      </c>
      <c r="H192" s="8" t="inlineStr">
        <is>
          <t>酸痛</t>
        </is>
      </c>
      <c r="I192" s="8" t="inlineStr">
        <is>
          <t>Hooper总</t>
        </is>
      </c>
      <c r="J192" s="8" t="inlineStr">
        <is>
          <t>CMJ1</t>
        </is>
      </c>
      <c r="K192" s="8" t="inlineStr">
        <is>
          <t>CMJ2</t>
        </is>
      </c>
      <c r="L192" s="8" t="inlineStr">
        <is>
          <t>CMJ3</t>
        </is>
      </c>
      <c r="M192" s="8" t="inlineStr">
        <is>
          <t>CMJ均值</t>
        </is>
      </c>
      <c r="N192" s="8" t="inlineStr">
        <is>
          <t>&lt;95%?</t>
        </is>
      </c>
      <c r="O192" s="8" t="inlineStr">
        <is>
          <t>减组?</t>
        </is>
      </c>
      <c r="P192" s="8" t="inlineStr">
        <is>
          <t>实做组数</t>
        </is>
      </c>
      <c r="Q192" s="8" t="inlineStr">
        <is>
          <t>LVP_a</t>
        </is>
      </c>
      <c r="R192" s="8" t="inlineStr">
        <is>
          <t>LVP_b</t>
        </is>
      </c>
      <c r="S192" s="8" t="inlineStr">
        <is>
          <t>等级</t>
        </is>
      </c>
      <c r="T192" s="8" t="inlineStr">
        <is>
          <t>预测起始</t>
        </is>
      </c>
    </row>
    <row r="193">
      <c r="A193" s="9" t="inlineStr">
        <is>
          <t>P009</t>
        </is>
      </c>
      <c r="B193" s="9" t="inlineStr">
        <is>
          <t>王宏池</t>
        </is>
      </c>
      <c r="C193" s="9" t="n">
        <v>185</v>
      </c>
      <c r="D193" s="9" t="n">
        <v>135</v>
      </c>
      <c r="E193" s="9" t="n"/>
      <c r="F193" s="9" t="n"/>
      <c r="G193" s="9" t="n"/>
      <c r="H193" s="9" t="n"/>
      <c r="I193" s="10">
        <f>IFERROR(SUM(E193:H193),"")</f>
        <v/>
      </c>
      <c r="J193" s="9" t="n"/>
      <c r="K193" s="9" t="n"/>
      <c r="L193" s="9" t="n"/>
      <c r="M193" s="10">
        <f>IFERROR(AVERAGE(J193:L193),"")</f>
        <v/>
      </c>
      <c r="N193" s="10">
        <f>IF(M193="","",IF(M193&lt;54.27,"是⚠","否"))</f>
        <v/>
      </c>
      <c r="O193" s="10">
        <f>IF(M193="","",IF(M193&lt;54.27,"减1组","正常"))</f>
        <v/>
      </c>
      <c r="P193" s="10">
        <f>IF(M193="","",IF(M193&lt;54.27,5-1,5))</f>
        <v/>
      </c>
      <c r="Q193" s="9" t="n">
        <v>1.5667</v>
      </c>
      <c r="R193" s="9" t="n">
        <v>-0.008500000000000001</v>
      </c>
      <c r="S193" s="9" t="inlineStr">
        <is>
          <t>B</t>
        </is>
      </c>
      <c r="T193" s="10">
        <f>IFERROR(ROUND((0.7-1.5667)/-0.0085,0.5),"")</f>
        <v/>
      </c>
    </row>
    <row r="194">
      <c r="A194" s="8" t="inlineStr">
        <is>
          <t>热身校准</t>
        </is>
      </c>
      <c r="B194" s="8" t="inlineStr">
        <is>
          <t>LVP_a</t>
        </is>
      </c>
      <c r="C194" s="8" t="inlineStr">
        <is>
          <t>LVP_b</t>
        </is>
      </c>
      <c r="D194" s="8" t="inlineStr">
        <is>
          <t>50%热身kg</t>
        </is>
      </c>
      <c r="E194" s="8" t="inlineStr">
        <is>
          <t>70%热身kg</t>
        </is>
      </c>
      <c r="F194" s="8" t="inlineStr">
        <is>
          <t>热身负荷kg</t>
        </is>
      </c>
      <c r="G194" s="8" t="inlineStr">
        <is>
          <t>实测MCV</t>
        </is>
      </c>
      <c r="H194" s="8" t="inlineStr">
        <is>
          <t>预测MCV</t>
        </is>
      </c>
      <c r="I194" s="8" t="inlineStr">
        <is>
          <t>Δv</t>
        </is>
      </c>
      <c r="J194" s="8" t="inlineStr">
        <is>
          <t>调整量kg</t>
        </is>
      </c>
      <c r="K194" s="8" t="inlineStr">
        <is>
          <t>校准后第1组kg</t>
        </is>
      </c>
    </row>
    <row r="195">
      <c r="A195" s="11" t="inlineStr"/>
      <c r="B195" s="11" t="n">
        <v>1.5667</v>
      </c>
      <c r="C195" s="11" t="n">
        <v>-0.008500000000000001</v>
      </c>
      <c r="D195" s="10">
        <f>IFERROR(ROUND(T193*0.5,2.5),"")</f>
        <v/>
      </c>
      <c r="E195" s="10">
        <f>IFERROR(ROUND(T193*0.7,2.5),"")</f>
        <v/>
      </c>
      <c r="F195" s="10">
        <f>D195</f>
        <v/>
      </c>
      <c r="G195" s="9" t="n"/>
      <c r="H195" s="10">
        <f>IF(F195="","",B195+C195*F195)</f>
        <v/>
      </c>
      <c r="I195" s="10">
        <f>IF(OR(G195="",H195=""),"",G195-H195)</f>
        <v/>
      </c>
      <c r="J195" s="10">
        <f>IF(I195="","",IF(I195&gt;0.08,5,IF(I195&gt;0.04,2.5,IF(I195&gt;=-0.04,0,IF(I195&gt;=-0.08,-2.5,-5)))))</f>
        <v/>
      </c>
      <c r="K195" s="10">
        <f>IFERROR(ROUND(T193+J195,2.5),"")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8" t="inlineStr">
        <is>
          <t>组次</t>
        </is>
      </c>
      <c r="B196" s="8" t="inlineStr">
        <is>
          <t>负荷kg</t>
        </is>
      </c>
      <c r="C196" s="8" t="inlineStr">
        <is>
          <t>rep1</t>
        </is>
      </c>
      <c r="D196" s="8" t="inlineStr">
        <is>
          <t>rep2</t>
        </is>
      </c>
      <c r="E196" s="8" t="inlineStr">
        <is>
          <t>rep3</t>
        </is>
      </c>
      <c r="F196" s="8" t="inlineStr">
        <is>
          <t>rep4</t>
        </is>
      </c>
      <c r="G196" s="8" t="inlineStr">
        <is>
          <t>rep5</t>
        </is>
      </c>
      <c r="H196" s="8" t="inlineStr">
        <is>
          <t>rep6</t>
        </is>
      </c>
      <c r="I196" s="8" t="inlineStr">
        <is>
          <t>首rep</t>
        </is>
      </c>
      <c r="J196" s="8" t="inlineStr">
        <is>
          <t>最低速</t>
        </is>
      </c>
      <c r="K196" s="8" t="inlineStr">
        <is>
          <t>最低rep#</t>
        </is>
      </c>
      <c r="L196" s="8" t="inlineStr">
        <is>
          <t>VL%</t>
        </is>
      </c>
      <c r="M196" s="8" t="inlineStr">
        <is>
          <t>VL达标?</t>
        </is>
      </c>
      <c r="N196" s="8" t="inlineStr">
        <is>
          <t>安全停止?</t>
        </is>
      </c>
      <c r="O196" s="8" t="inlineStr">
        <is>
          <t>停组原因</t>
        </is>
      </c>
      <c r="P196" s="8" t="inlineStr">
        <is>
          <t>下组建议</t>
        </is>
      </c>
      <c r="Q196" s="8" t="inlineStr">
        <is>
          <t>实做次数</t>
        </is>
      </c>
    </row>
    <row r="197">
      <c r="A197" s="12" t="n">
        <v>1</v>
      </c>
      <c r="B197" s="10">
        <f>IF(K195="","",K195)</f>
        <v/>
      </c>
      <c r="C197" s="9" t="n"/>
      <c r="D197" s="9" t="n"/>
      <c r="E197" s="9" t="n"/>
      <c r="F197" s="9" t="n"/>
      <c r="G197" s="9" t="n"/>
      <c r="H197" s="9" t="n"/>
      <c r="I197" s="10">
        <f>IFERROR(INDEX(C197:H197,MATCH(TRUE,INDEX(C197:H197&lt;&gt;"",0),0)),"")</f>
        <v/>
      </c>
      <c r="J197" s="10">
        <f>IFERROR(MIN(IF(C197:H197&lt;&gt;"",C197:H197)),"")</f>
        <v/>
      </c>
      <c r="K197" s="10">
        <f>IFERROR(MATCH(I197,C197:H197,0),"")</f>
        <v/>
      </c>
      <c r="L197" s="10">
        <f>IF(OR(I197="",J197=""),"",ROUND((I197-J197)/I197*100,1))</f>
        <v/>
      </c>
      <c r="M197" s="10">
        <f>IF(L197="","",IF(L197&gt;=15,"是","否"))</f>
        <v/>
      </c>
      <c r="N197" s="10">
        <f>IF(J197="","",IF(J197&lt;0.15,"是","否"))</f>
        <v/>
      </c>
      <c r="O197" s="10">
        <f>IF(I197="","",IF(J197&lt;0.15,"SAFETY_STOP",IF(L197&gt;=15,"VL_THRESHOLD","PLANNED_END")))</f>
        <v/>
      </c>
      <c r="P197" s="10">
        <f>IF(I197="","",IF(I197&gt;($D$2+0.05),"+5kg",IF(I197&gt;($D$2+0.02),"+2.5kg",IF(I197&gt;=($D$2-0.05),"保持",IF(I197&gt;=($D$2-0.08),"-2.5kg","-5kg")))))</f>
        <v/>
      </c>
      <c r="Q197" s="9" t="n"/>
      <c r="R197" s="12" t="n"/>
      <c r="S197" s="12" t="n"/>
      <c r="T197" s="12" t="n"/>
    </row>
    <row r="198">
      <c r="A198" s="12" t="n">
        <v>2</v>
      </c>
      <c r="B198" s="9" t="n"/>
      <c r="C198" s="9" t="n"/>
      <c r="D198" s="9" t="n"/>
      <c r="E198" s="9" t="n"/>
      <c r="F198" s="9" t="n"/>
      <c r="G198" s="9" t="n"/>
      <c r="H198" s="9" t="n"/>
      <c r="I198" s="10">
        <f>IFERROR(INDEX(C198:H198,MATCH(TRUE,INDEX(C198:H198&lt;&gt;"",0),0)),"")</f>
        <v/>
      </c>
      <c r="J198" s="10">
        <f>IFERROR(MIN(IF(C198:H198&lt;&gt;"",C198:H198)),"")</f>
        <v/>
      </c>
      <c r="K198" s="10">
        <f>IFERROR(MATCH(I198,C198:H198,0),"")</f>
        <v/>
      </c>
      <c r="L198" s="10">
        <f>IF(OR(I198="",J198=""),"",ROUND((I198-J198)/I198*100,1))</f>
        <v/>
      </c>
      <c r="M198" s="10">
        <f>IF(L198="","",IF(L198&gt;=15,"是","否"))</f>
        <v/>
      </c>
      <c r="N198" s="10">
        <f>IF(J198="","",IF(J198&lt;0.15,"是","否"))</f>
        <v/>
      </c>
      <c r="O198" s="10">
        <f>IF(I198="","",IF(J198&lt;0.15,"SAFETY_STOP",IF(L198&gt;=15,"VL_THRESHOLD","PLANNED_END")))</f>
        <v/>
      </c>
      <c r="P198" s="10">
        <f>IF(I198="","",IF(I198&gt;($D$2+0.05),"+5kg",IF(I198&gt;($D$2+0.02),"+2.5kg",IF(I198&gt;=($D$2-0.05),"保持",IF(I198&gt;=($D$2-0.08),"-2.5kg","-5kg")))))</f>
        <v/>
      </c>
      <c r="Q198" s="9" t="n"/>
      <c r="R198" s="12" t="n"/>
      <c r="S198" s="12" t="n"/>
      <c r="T198" s="12" t="n"/>
    </row>
    <row r="199">
      <c r="A199" s="12" t="n">
        <v>3</v>
      </c>
      <c r="B199" s="9" t="n"/>
      <c r="C199" s="9" t="n"/>
      <c r="D199" s="9" t="n"/>
      <c r="E199" s="9" t="n"/>
      <c r="F199" s="9" t="n"/>
      <c r="G199" s="9" t="n"/>
      <c r="H199" s="9" t="n"/>
      <c r="I199" s="10">
        <f>IFERROR(INDEX(C199:H199,MATCH(TRUE,INDEX(C199:H199&lt;&gt;"",0),0)),"")</f>
        <v/>
      </c>
      <c r="J199" s="10">
        <f>IFERROR(MIN(IF(C199:H199&lt;&gt;"",C199:H199)),"")</f>
        <v/>
      </c>
      <c r="K199" s="10">
        <f>IFERROR(MATCH(I199,C199:H199,0),"")</f>
        <v/>
      </c>
      <c r="L199" s="10">
        <f>IF(OR(I199="",J199=""),"",ROUND((I199-J199)/I199*100,1))</f>
        <v/>
      </c>
      <c r="M199" s="10">
        <f>IF(L199="","",IF(L199&gt;=15,"是","否"))</f>
        <v/>
      </c>
      <c r="N199" s="10">
        <f>IF(J199="","",IF(J199&lt;0.15,"是","否"))</f>
        <v/>
      </c>
      <c r="O199" s="10">
        <f>IF(I199="","",IF(J199&lt;0.15,"SAFETY_STOP",IF(L199&gt;=15,"VL_THRESHOLD","PLANNED_END")))</f>
        <v/>
      </c>
      <c r="P199" s="10">
        <f>IF(I199="","",IF(I199&gt;($D$2+0.05),"+5kg",IF(I199&gt;($D$2+0.02),"+2.5kg",IF(I199&gt;=($D$2-0.05),"保持",IF(I199&gt;=($D$2-0.08),"-2.5kg","-5kg")))))</f>
        <v/>
      </c>
      <c r="Q199" s="9" t="n"/>
      <c r="R199" s="12" t="n"/>
      <c r="S199" s="12" t="n"/>
      <c r="T199" s="12" t="n"/>
    </row>
    <row r="200">
      <c r="A200" s="12" t="n">
        <v>4</v>
      </c>
      <c r="B200" s="9" t="n"/>
      <c r="C200" s="9" t="n"/>
      <c r="D200" s="9" t="n"/>
      <c r="E200" s="9" t="n"/>
      <c r="F200" s="9" t="n"/>
      <c r="G200" s="9" t="n"/>
      <c r="H200" s="9" t="n"/>
      <c r="I200" s="10">
        <f>IFERROR(INDEX(C200:H200,MATCH(TRUE,INDEX(C200:H200&lt;&gt;"",0),0)),"")</f>
        <v/>
      </c>
      <c r="J200" s="10">
        <f>IFERROR(MIN(IF(C200:H200&lt;&gt;"",C200:H200)),"")</f>
        <v/>
      </c>
      <c r="K200" s="10">
        <f>IFERROR(MATCH(I200,C200:H200,0),"")</f>
        <v/>
      </c>
      <c r="L200" s="10">
        <f>IF(OR(I200="",J200=""),"",ROUND((I200-J200)/I200*100,1))</f>
        <v/>
      </c>
      <c r="M200" s="10">
        <f>IF(L200="","",IF(L200&gt;=15,"是","否"))</f>
        <v/>
      </c>
      <c r="N200" s="10">
        <f>IF(J200="","",IF(J200&lt;0.15,"是","否"))</f>
        <v/>
      </c>
      <c r="O200" s="10">
        <f>IF(I200="","",IF(J200&lt;0.15,"SAFETY_STOP",IF(L200&gt;=15,"VL_THRESHOLD","PLANNED_END")))</f>
        <v/>
      </c>
      <c r="P200" s="10">
        <f>IF(I200="","",IF(I200&gt;($D$2+0.05),"+5kg",IF(I200&gt;($D$2+0.02),"+2.5kg",IF(I200&gt;=($D$2-0.05),"保持",IF(I200&gt;=($D$2-0.08),"-2.5kg","-5kg")))))</f>
        <v/>
      </c>
      <c r="Q200" s="9" t="n"/>
      <c r="R200" s="12" t="n"/>
      <c r="S200" s="12" t="n"/>
      <c r="T200" s="12" t="n"/>
    </row>
    <row r="201">
      <c r="A201" s="12" t="n">
        <v>5</v>
      </c>
      <c r="B201" s="9" t="n"/>
      <c r="C201" s="9" t="n"/>
      <c r="D201" s="9" t="n"/>
      <c r="E201" s="9" t="n"/>
      <c r="F201" s="9" t="n"/>
      <c r="G201" s="9" t="n"/>
      <c r="H201" s="9" t="n"/>
      <c r="I201" s="10">
        <f>IFERROR(INDEX(C201:H201,MATCH(TRUE,INDEX(C201:H201&lt;&gt;"",0),0)),"")</f>
        <v/>
      </c>
      <c r="J201" s="10">
        <f>IFERROR(MIN(IF(C201:H201&lt;&gt;"",C201:H201)),"")</f>
        <v/>
      </c>
      <c r="K201" s="10">
        <f>IFERROR(MATCH(I201,C201:H201,0),"")</f>
        <v/>
      </c>
      <c r="L201" s="10">
        <f>IF(OR(I201="",J201=""),"",ROUND((I201-J201)/I201*100,1))</f>
        <v/>
      </c>
      <c r="M201" s="10">
        <f>IF(L201="","",IF(L201&gt;=15,"是","否"))</f>
        <v/>
      </c>
      <c r="N201" s="10">
        <f>IF(J201="","",IF(J201&lt;0.15,"是","否"))</f>
        <v/>
      </c>
      <c r="O201" s="10">
        <f>IF(I201="","",IF(J201&lt;0.15,"SAFETY_STOP",IF(L201&gt;=15,"VL_THRESHOLD","PLANNED_END")))</f>
        <v/>
      </c>
      <c r="P201" s="10">
        <f>IF(I201="","",IF(I201&gt;($D$2+0.05),"+5kg",IF(I201&gt;($D$2+0.02),"+2.5kg",IF(I201&gt;=($D$2-0.05),"保持",IF(I201&gt;=($D$2-0.08),"-2.5kg","-5kg")))))</f>
        <v/>
      </c>
      <c r="Q201" s="9" t="n"/>
      <c r="R201" s="12" t="n"/>
      <c r="S201" s="12" t="n"/>
      <c r="T201" s="12" t="n"/>
    </row>
    <row r="202">
      <c r="A202" s="12" t="n">
        <v>6</v>
      </c>
      <c r="B202" s="9" t="n"/>
      <c r="C202" s="9" t="n"/>
      <c r="D202" s="9" t="n"/>
      <c r="E202" s="9" t="n"/>
      <c r="F202" s="9" t="n"/>
      <c r="G202" s="9" t="n"/>
      <c r="H202" s="9" t="n"/>
      <c r="I202" s="10">
        <f>IFERROR(INDEX(C202:H202,MATCH(TRUE,INDEX(C202:H202&lt;&gt;"",0),0)),"")</f>
        <v/>
      </c>
      <c r="J202" s="10">
        <f>IFERROR(MIN(IF(C202:H202&lt;&gt;"",C202:H202)),"")</f>
        <v/>
      </c>
      <c r="K202" s="10">
        <f>IFERROR(MATCH(I202,C202:H202,0),"")</f>
        <v/>
      </c>
      <c r="L202" s="10">
        <f>IF(OR(I202="",J202=""),"",ROUND((I202-J202)/I202*100,1))</f>
        <v/>
      </c>
      <c r="M202" s="10">
        <f>IF(L202="","",IF(L202&gt;=15,"是","否"))</f>
        <v/>
      </c>
      <c r="N202" s="10">
        <f>IF(J202="","",IF(J202&lt;0.15,"是","否"))</f>
        <v/>
      </c>
      <c r="O202" s="10">
        <f>IF(I202="","",IF(J202&lt;0.15,"SAFETY_STOP",IF(L202&gt;=15,"VL_THRESHOLD","PLANNED_END")))</f>
        <v/>
      </c>
      <c r="P202" s="10">
        <f>IF(I202="","",IF(I202&gt;($D$2+0.05),"+5kg",IF(I202&gt;($D$2+0.02),"+2.5kg",IF(I202&gt;=($D$2-0.05),"保持",IF(I202&gt;=($D$2-0.08),"-2.5kg","-5kg")))))</f>
        <v/>
      </c>
      <c r="Q202" s="9" t="n"/>
      <c r="R202" s="12" t="n"/>
      <c r="S202" s="12" t="n"/>
      <c r="T202" s="12" t="n"/>
    </row>
    <row r="203">
      <c r="A203" s="8" t="inlineStr">
        <is>
          <t>辅助动作</t>
        </is>
      </c>
      <c r="B203" s="8" t="inlineStr">
        <is>
          <t>动作名称</t>
        </is>
      </c>
      <c r="C203" s="8" t="inlineStr">
        <is>
          <t>负荷kg</t>
        </is>
      </c>
      <c r="D203" s="8" t="inlineStr">
        <is>
          <t>完成(组×次)</t>
        </is>
      </c>
    </row>
    <row r="204">
      <c r="A204" s="9" t="inlineStr"/>
      <c r="B204" s="9" t="n"/>
      <c r="C204" s="9" t="n"/>
      <c r="D204" s="9" t="n"/>
    </row>
    <row r="205">
      <c r="A205" s="8" t="inlineStr">
        <is>
          <t>训练后</t>
        </is>
      </c>
      <c r="B205" s="8" t="inlineStr">
        <is>
          <t>开始时间</t>
        </is>
      </c>
      <c r="C205" s="8" t="inlineStr">
        <is>
          <t>结束时间</t>
        </is>
      </c>
      <c r="D205" s="8" t="inlineStr">
        <is>
          <t>总时长min</t>
        </is>
      </c>
      <c r="E205" s="8" t="inlineStr">
        <is>
          <t>sRPE</t>
        </is>
      </c>
      <c r="F205" s="8" t="inlineStr">
        <is>
          <t>session_load</t>
        </is>
      </c>
      <c r="G205" s="8" t="inlineStr">
        <is>
          <t>有无不适</t>
        </is>
      </c>
      <c r="H205" s="8" t="inlineStr">
        <is>
          <t>备注</t>
        </is>
      </c>
      <c r="I205" s="8" t="inlineStr">
        <is>
          <t>研究员签名</t>
        </is>
      </c>
    </row>
    <row r="206">
      <c r="A206" s="13" t="inlineStr"/>
      <c r="B206" s="13" t="n"/>
      <c r="C206" s="13" t="n"/>
      <c r="D206" s="10">
        <f>IF(OR(B206="",C206=""),"",(C206-B206)*1440)</f>
        <v/>
      </c>
      <c r="E206" s="13" t="n"/>
      <c r="F206" s="10">
        <f>IF(OR(D206="",E206=""),"",D206*E206)</f>
        <v/>
      </c>
      <c r="G206" s="13" t="n"/>
      <c r="H206" s="13" t="n"/>
      <c r="I206" s="13" t="n"/>
    </row>
  </sheetData>
  <mergeCells count="13">
    <mergeCell ref="A1:T1"/>
    <mergeCell ref="A89:T89"/>
    <mergeCell ref="A4:T4"/>
    <mergeCell ref="A106:T106"/>
    <mergeCell ref="A21:T21"/>
    <mergeCell ref="A140:T140"/>
    <mergeCell ref="A55:T55"/>
    <mergeCell ref="A38:T38"/>
    <mergeCell ref="A157:T157"/>
    <mergeCell ref="A72:T72"/>
    <mergeCell ref="A174:T174"/>
    <mergeCell ref="A191:T191"/>
    <mergeCell ref="A123:T1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6" customWidth="1" min="15" max="15"/>
    <col width="12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>
      <c r="A1" s="1" t="inlineStr">
        <is>
          <t>研究二 AI组训练执行计算表 — W4_A（Day A）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目标MCV区间</t>
        </is>
      </c>
      <c r="B2" s="4" t="inlineStr">
        <is>
          <t>0.50-0.60</t>
        </is>
      </c>
      <c r="C2" s="3" t="inlineStr">
        <is>
          <t>目标MCV中点</t>
        </is>
      </c>
      <c r="D2" s="4" t="n">
        <v>0.55</v>
      </c>
      <c r="E2" s="3" t="inlineStr">
        <is>
          <t>VL阈值%</t>
        </is>
      </c>
      <c r="F2" s="4" t="n">
        <v>15</v>
      </c>
      <c r="G2" s="3" t="inlineStr">
        <is>
          <t>安全停止(m/s)</t>
        </is>
      </c>
      <c r="H2" s="4" t="n">
        <v>0.15</v>
      </c>
      <c r="I2" s="3" t="inlineStr">
        <is>
          <t>计划组数</t>
        </is>
      </c>
      <c r="J2" s="4" t="n">
        <v>3</v>
      </c>
      <c r="K2" s="3" t="inlineStr">
        <is>
          <t>每组次数</t>
        </is>
      </c>
      <c r="L2" s="4" t="inlineStr">
        <is>
          <t>4-5</t>
        </is>
      </c>
    </row>
    <row r="4">
      <c r="A4" s="5" t="inlineStr">
        <is>
          <t>── P007 陈鑫 ──────────────────────────────────────────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7" t="n"/>
    </row>
    <row r="5">
      <c r="A5" s="8" t="inlineStr">
        <is>
          <t>编号</t>
        </is>
      </c>
      <c r="B5" s="8" t="inlineStr">
        <is>
          <t>姓名</t>
        </is>
      </c>
      <c r="C5" s="8" t="inlineStr">
        <is>
          <t>身高</t>
        </is>
      </c>
      <c r="D5" s="8" t="inlineStr">
        <is>
          <t>1RM</t>
        </is>
      </c>
      <c r="E5" s="8" t="inlineStr">
        <is>
          <t>睡眠</t>
        </is>
      </c>
      <c r="F5" s="8" t="inlineStr">
        <is>
          <t>压力</t>
        </is>
      </c>
      <c r="G5" s="8" t="inlineStr">
        <is>
          <t>疲劳</t>
        </is>
      </c>
      <c r="H5" s="8" t="inlineStr">
        <is>
          <t>酸痛</t>
        </is>
      </c>
      <c r="I5" s="8" t="inlineStr">
        <is>
          <t>Hooper总</t>
        </is>
      </c>
      <c r="J5" s="8" t="inlineStr">
        <is>
          <t>CMJ1</t>
        </is>
      </c>
      <c r="K5" s="8" t="inlineStr">
        <is>
          <t>CMJ2</t>
        </is>
      </c>
      <c r="L5" s="8" t="inlineStr">
        <is>
          <t>CMJ3</t>
        </is>
      </c>
      <c r="M5" s="8" t="inlineStr">
        <is>
          <t>CMJ均值</t>
        </is>
      </c>
      <c r="N5" s="8" t="inlineStr">
        <is>
          <t>&lt;95%?</t>
        </is>
      </c>
      <c r="O5" s="8" t="inlineStr">
        <is>
          <t>减组?</t>
        </is>
      </c>
      <c r="P5" s="8" t="inlineStr">
        <is>
          <t>实做组数</t>
        </is>
      </c>
      <c r="Q5" s="8" t="inlineStr">
        <is>
          <t>LVP_a</t>
        </is>
      </c>
      <c r="R5" s="8" t="inlineStr">
        <is>
          <t>LVP_b</t>
        </is>
      </c>
      <c r="S5" s="8" t="inlineStr">
        <is>
          <t>等级</t>
        </is>
      </c>
      <c r="T5" s="8" t="inlineStr">
        <is>
          <t>预测起始</t>
        </is>
      </c>
    </row>
    <row r="6">
      <c r="A6" s="9" t="inlineStr">
        <is>
          <t>P007</t>
        </is>
      </c>
      <c r="B6" s="9" t="inlineStr">
        <is>
          <t>陈鑫</t>
        </is>
      </c>
      <c r="C6" s="9" t="n">
        <v>173</v>
      </c>
      <c r="D6" s="9" t="n">
        <v>110</v>
      </c>
      <c r="E6" s="9" t="n"/>
      <c r="F6" s="9" t="n"/>
      <c r="G6" s="9" t="n"/>
      <c r="H6" s="9" t="n"/>
      <c r="I6" s="10">
        <f>IFERROR(SUM(E6:H6),"")</f>
        <v/>
      </c>
      <c r="J6" s="9" t="n"/>
      <c r="K6" s="9" t="n"/>
      <c r="L6" s="9" t="n"/>
      <c r="M6" s="10">
        <f>IFERROR(AVERAGE(J6:L6),"")</f>
        <v/>
      </c>
      <c r="N6" s="10">
        <f>IF(M6="","",IF(M6&lt;63.01,"是⚠","否"))</f>
        <v/>
      </c>
      <c r="O6" s="10">
        <f>IF(M6="","",IF(M6&lt;63.01,"减1组","正常"))</f>
        <v/>
      </c>
      <c r="P6" s="10">
        <f>IF(M6="","",IF(M6&lt;63.01,3-1,3))</f>
        <v/>
      </c>
      <c r="Q6" s="9" t="n">
        <v>1.65</v>
      </c>
      <c r="R6" s="9" t="n">
        <v>-0.0125</v>
      </c>
      <c r="S6" s="9" t="inlineStr">
        <is>
          <t>A</t>
        </is>
      </c>
      <c r="T6" s="10">
        <f>IFERROR(ROUND((0.55-1.65)/-0.0125,0.5),"")</f>
        <v/>
      </c>
    </row>
    <row r="7">
      <c r="A7" s="8" t="inlineStr">
        <is>
          <t>热身校准</t>
        </is>
      </c>
      <c r="B7" s="8" t="inlineStr">
        <is>
          <t>LVP_a</t>
        </is>
      </c>
      <c r="C7" s="8" t="inlineStr">
        <is>
          <t>LVP_b</t>
        </is>
      </c>
      <c r="D7" s="8" t="inlineStr">
        <is>
          <t>50%热身kg</t>
        </is>
      </c>
      <c r="E7" s="8" t="inlineStr">
        <is>
          <t>70%热身kg</t>
        </is>
      </c>
      <c r="F7" s="8" t="inlineStr">
        <is>
          <t>热身负荷kg</t>
        </is>
      </c>
      <c r="G7" s="8" t="inlineStr">
        <is>
          <t>实测MCV</t>
        </is>
      </c>
      <c r="H7" s="8" t="inlineStr">
        <is>
          <t>预测MCV</t>
        </is>
      </c>
      <c r="I7" s="8" t="inlineStr">
        <is>
          <t>Δv</t>
        </is>
      </c>
      <c r="J7" s="8" t="inlineStr">
        <is>
          <t>调整量kg</t>
        </is>
      </c>
      <c r="K7" s="8" t="inlineStr">
        <is>
          <t>校准后第1组kg</t>
        </is>
      </c>
    </row>
    <row r="8">
      <c r="A8" s="11" t="inlineStr"/>
      <c r="B8" s="11" t="n">
        <v>1.65</v>
      </c>
      <c r="C8" s="11" t="n">
        <v>-0.0125</v>
      </c>
      <c r="D8" s="10">
        <f>IFERROR(ROUND(T6*0.5,2.5),"")</f>
        <v/>
      </c>
      <c r="E8" s="10">
        <f>IFERROR(ROUND(T6*0.7,2.5),"")</f>
        <v/>
      </c>
      <c r="F8" s="10">
        <f>E8</f>
        <v/>
      </c>
      <c r="G8" s="9" t="n"/>
      <c r="H8" s="10">
        <f>IF(F8="","",B8+C8*F8)</f>
        <v/>
      </c>
      <c r="I8" s="10">
        <f>IF(OR(G8="",H8=""),"",G8-H8)</f>
        <v/>
      </c>
      <c r="J8" s="10">
        <f>IF(I8="","",IF(I8&gt;0.08,5,IF(I8&gt;0.04,2.5,IF(I8&gt;=-0.04,0,IF(I8&gt;=-0.08,-2.5,-5)))))</f>
        <v/>
      </c>
      <c r="K8" s="10">
        <f>IFERROR(ROUND(T6+J8,2.5),"")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8" t="inlineStr">
        <is>
          <t>组次</t>
        </is>
      </c>
      <c r="B9" s="8" t="inlineStr">
        <is>
          <t>负荷kg</t>
        </is>
      </c>
      <c r="C9" s="8" t="inlineStr">
        <is>
          <t>rep1</t>
        </is>
      </c>
      <c r="D9" s="8" t="inlineStr">
        <is>
          <t>rep2</t>
        </is>
      </c>
      <c r="E9" s="8" t="inlineStr">
        <is>
          <t>rep3</t>
        </is>
      </c>
      <c r="F9" s="8" t="inlineStr">
        <is>
          <t>rep4</t>
        </is>
      </c>
      <c r="G9" s="8" t="inlineStr">
        <is>
          <t>rep5</t>
        </is>
      </c>
      <c r="H9" s="8" t="inlineStr">
        <is>
          <t>rep6</t>
        </is>
      </c>
      <c r="I9" s="8" t="inlineStr">
        <is>
          <t>首rep</t>
        </is>
      </c>
      <c r="J9" s="8" t="inlineStr">
        <is>
          <t>最低速</t>
        </is>
      </c>
      <c r="K9" s="8" t="inlineStr">
        <is>
          <t>最低rep#</t>
        </is>
      </c>
      <c r="L9" s="8" t="inlineStr">
        <is>
          <t>VL%</t>
        </is>
      </c>
      <c r="M9" s="8" t="inlineStr">
        <is>
          <t>VL达标?</t>
        </is>
      </c>
      <c r="N9" s="8" t="inlineStr">
        <is>
          <t>安全停止?</t>
        </is>
      </c>
      <c r="O9" s="8" t="inlineStr">
        <is>
          <t>停组原因</t>
        </is>
      </c>
      <c r="P9" s="8" t="inlineStr">
        <is>
          <t>下组建议</t>
        </is>
      </c>
      <c r="Q9" s="8" t="inlineStr">
        <is>
          <t>实做次数</t>
        </is>
      </c>
    </row>
    <row r="10">
      <c r="A10" s="12" t="n">
        <v>1</v>
      </c>
      <c r="B10" s="10">
        <f>IF(K8="","",K8)</f>
        <v/>
      </c>
      <c r="C10" s="9" t="n"/>
      <c r="D10" s="9" t="n"/>
      <c r="E10" s="9" t="n"/>
      <c r="F10" s="9" t="n"/>
      <c r="G10" s="9" t="n"/>
      <c r="H10" s="9" t="n"/>
      <c r="I10" s="10">
        <f>IFERROR(INDEX(C10:H10,MATCH(TRUE,INDEX(C10:H10&lt;&gt;"",0),0)),"")</f>
        <v/>
      </c>
      <c r="J10" s="10">
        <f>IFERROR(MIN(IF(C10:H10&lt;&gt;"",C10:H10)),"")</f>
        <v/>
      </c>
      <c r="K10" s="10">
        <f>IFERROR(MATCH(I10,C10:H10,0),"")</f>
        <v/>
      </c>
      <c r="L10" s="10">
        <f>IF(OR(I10="",J10=""),"",ROUND((I10-J10)/I10*100,1))</f>
        <v/>
      </c>
      <c r="M10" s="10">
        <f>IF(L10="","",IF(L10&gt;=15,"是","否"))</f>
        <v/>
      </c>
      <c r="N10" s="10">
        <f>IF(J10="","",IF(J10&lt;0.15,"是","否"))</f>
        <v/>
      </c>
      <c r="O10" s="10">
        <f>IF(I10="","",IF(J10&lt;0.15,"SAFETY_STOP",IF(L10&gt;=15,"VL_THRESHOLD","PLANNED_END")))</f>
        <v/>
      </c>
      <c r="P10" s="10">
        <f>IF(I10="","",IF(I10&gt;($D$2+0.05),"+5kg",IF(I10&gt;($D$2+0.02),"+2.5kg",IF(I10&gt;=($D$2-0.05),"保持",IF(I10&gt;=($D$2-0.08),"-2.5kg","-5kg")))))</f>
        <v/>
      </c>
      <c r="Q10" s="9" t="n"/>
      <c r="R10" s="12" t="n"/>
      <c r="S10" s="12" t="n"/>
      <c r="T10" s="12" t="n"/>
    </row>
    <row r="11">
      <c r="A11" s="12" t="n">
        <v>2</v>
      </c>
      <c r="B11" s="9" t="n"/>
      <c r="C11" s="9" t="n"/>
      <c r="D11" s="9" t="n"/>
      <c r="E11" s="9" t="n"/>
      <c r="F11" s="9" t="n"/>
      <c r="G11" s="9" t="n"/>
      <c r="H11" s="9" t="n"/>
      <c r="I11" s="10">
        <f>IFERROR(INDEX(C11:H11,MATCH(TRUE,INDEX(C11:H11&lt;&gt;"",0),0)),"")</f>
        <v/>
      </c>
      <c r="J11" s="10">
        <f>IFERROR(MIN(IF(C11:H11&lt;&gt;"",C11:H11)),"")</f>
        <v/>
      </c>
      <c r="K11" s="10">
        <f>IFERROR(MATCH(I11,C11:H11,0),"")</f>
        <v/>
      </c>
      <c r="L11" s="10">
        <f>IF(OR(I11="",J11=""),"",ROUND((I11-J11)/I11*100,1))</f>
        <v/>
      </c>
      <c r="M11" s="10">
        <f>IF(L11="","",IF(L11&gt;=15,"是","否"))</f>
        <v/>
      </c>
      <c r="N11" s="10">
        <f>IF(J11="","",IF(J11&lt;0.15,"是","否"))</f>
        <v/>
      </c>
      <c r="O11" s="10">
        <f>IF(I11="","",IF(J11&lt;0.15,"SAFETY_STOP",IF(L11&gt;=15,"VL_THRESHOLD","PLANNED_END")))</f>
        <v/>
      </c>
      <c r="P11" s="10">
        <f>IF(I11="","",IF(I11&gt;($D$2+0.05),"+5kg",IF(I11&gt;($D$2+0.02),"+2.5kg",IF(I11&gt;=($D$2-0.05),"保持",IF(I11&gt;=($D$2-0.08),"-2.5kg","-5kg")))))</f>
        <v/>
      </c>
      <c r="Q11" s="9" t="n"/>
      <c r="R11" s="12" t="n"/>
      <c r="S11" s="12" t="n"/>
      <c r="T11" s="12" t="n"/>
    </row>
    <row r="12">
      <c r="A12" s="12" t="n">
        <v>3</v>
      </c>
      <c r="B12" s="9" t="n"/>
      <c r="C12" s="9" t="n"/>
      <c r="D12" s="9" t="n"/>
      <c r="E12" s="9" t="n"/>
      <c r="F12" s="9" t="n"/>
      <c r="G12" s="9" t="n"/>
      <c r="H12" s="9" t="n"/>
      <c r="I12" s="10">
        <f>IFERROR(INDEX(C12:H12,MATCH(TRUE,INDEX(C12:H12&lt;&gt;"",0),0)),"")</f>
        <v/>
      </c>
      <c r="J12" s="10">
        <f>IFERROR(MIN(IF(C12:H12&lt;&gt;"",C12:H12)),"")</f>
        <v/>
      </c>
      <c r="K12" s="10">
        <f>IFERROR(MATCH(I12,C12:H12,0),"")</f>
        <v/>
      </c>
      <c r="L12" s="10">
        <f>IF(OR(I12="",J12=""),"",ROUND((I12-J12)/I12*100,1))</f>
        <v/>
      </c>
      <c r="M12" s="10">
        <f>IF(L12="","",IF(L12&gt;=15,"是","否"))</f>
        <v/>
      </c>
      <c r="N12" s="10">
        <f>IF(J12="","",IF(J12&lt;0.15,"是","否"))</f>
        <v/>
      </c>
      <c r="O12" s="10">
        <f>IF(I12="","",IF(J12&lt;0.15,"SAFETY_STOP",IF(L12&gt;=15,"VL_THRESHOLD","PLANNED_END")))</f>
        <v/>
      </c>
      <c r="P12" s="10">
        <f>IF(I12="","",IF(I12&gt;($D$2+0.05),"+5kg",IF(I12&gt;($D$2+0.02),"+2.5kg",IF(I12&gt;=($D$2-0.05),"保持",IF(I12&gt;=($D$2-0.08),"-2.5kg","-5kg")))))</f>
        <v/>
      </c>
      <c r="Q12" s="9" t="n"/>
      <c r="R12" s="12" t="n"/>
      <c r="S12" s="12" t="n"/>
      <c r="T12" s="12" t="n"/>
    </row>
    <row r="13">
      <c r="A13" s="12" t="n">
        <v>4</v>
      </c>
      <c r="B13" s="9" t="n"/>
      <c r="C13" s="9" t="n"/>
      <c r="D13" s="9" t="n"/>
      <c r="E13" s="9" t="n"/>
      <c r="F13" s="9" t="n"/>
      <c r="G13" s="9" t="n"/>
      <c r="H13" s="9" t="n"/>
      <c r="I13" s="10">
        <f>IFERROR(INDEX(C13:H13,MATCH(TRUE,INDEX(C13:H13&lt;&gt;"",0),0)),"")</f>
        <v/>
      </c>
      <c r="J13" s="10">
        <f>IFERROR(MIN(IF(C13:H13&lt;&gt;"",C13:H13)),"")</f>
        <v/>
      </c>
      <c r="K13" s="10">
        <f>IFERROR(MATCH(I13,C13:H13,0),"")</f>
        <v/>
      </c>
      <c r="L13" s="10">
        <f>IF(OR(I13="",J13=""),"",ROUND((I13-J13)/I13*100,1))</f>
        <v/>
      </c>
      <c r="M13" s="10">
        <f>IF(L13="","",IF(L13&gt;=15,"是","否"))</f>
        <v/>
      </c>
      <c r="N13" s="10">
        <f>IF(J13="","",IF(J13&lt;0.15,"是","否"))</f>
        <v/>
      </c>
      <c r="O13" s="10">
        <f>IF(I13="","",IF(J13&lt;0.15,"SAFETY_STOP",IF(L13&gt;=15,"VL_THRESHOLD","PLANNED_END")))</f>
        <v/>
      </c>
      <c r="P13" s="10">
        <f>IF(I13="","",IF(I13&gt;($D$2+0.05),"+5kg",IF(I13&gt;($D$2+0.02),"+2.5kg",IF(I13&gt;=($D$2-0.05),"保持",IF(I13&gt;=($D$2-0.08),"-2.5kg","-5kg")))))</f>
        <v/>
      </c>
      <c r="Q13" s="9" t="n"/>
      <c r="R13" s="12" t="n"/>
      <c r="S13" s="12" t="n"/>
      <c r="T13" s="12" t="n"/>
    </row>
    <row r="14">
      <c r="A14" s="12" t="n">
        <v>5</v>
      </c>
      <c r="B14" s="9" t="n"/>
      <c r="C14" s="9" t="n"/>
      <c r="D14" s="9" t="n"/>
      <c r="E14" s="9" t="n"/>
      <c r="F14" s="9" t="n"/>
      <c r="G14" s="9" t="n"/>
      <c r="H14" s="9" t="n"/>
      <c r="I14" s="10">
        <f>IFERROR(INDEX(C14:H14,MATCH(TRUE,INDEX(C14:H14&lt;&gt;"",0),0)),"")</f>
        <v/>
      </c>
      <c r="J14" s="10">
        <f>IFERROR(MIN(IF(C14:H14&lt;&gt;"",C14:H14)),"")</f>
        <v/>
      </c>
      <c r="K14" s="10">
        <f>IFERROR(MATCH(I14,C14:H14,0),"")</f>
        <v/>
      </c>
      <c r="L14" s="10">
        <f>IF(OR(I14="",J14=""),"",ROUND((I14-J14)/I14*100,1))</f>
        <v/>
      </c>
      <c r="M14" s="10">
        <f>IF(L14="","",IF(L14&gt;=15,"是","否"))</f>
        <v/>
      </c>
      <c r="N14" s="10">
        <f>IF(J14="","",IF(J14&lt;0.15,"是","否"))</f>
        <v/>
      </c>
      <c r="O14" s="10">
        <f>IF(I14="","",IF(J14&lt;0.15,"SAFETY_STOP",IF(L14&gt;=15,"VL_THRESHOLD","PLANNED_END")))</f>
        <v/>
      </c>
      <c r="P14" s="10">
        <f>IF(I14="","",IF(I14&gt;($D$2+0.05),"+5kg",IF(I14&gt;($D$2+0.02),"+2.5kg",IF(I14&gt;=($D$2-0.05),"保持",IF(I14&gt;=($D$2-0.08),"-2.5kg","-5kg")))))</f>
        <v/>
      </c>
      <c r="Q14" s="9" t="n"/>
      <c r="R14" s="12" t="n"/>
      <c r="S14" s="12" t="n"/>
      <c r="T14" s="12" t="n"/>
    </row>
    <row r="15">
      <c r="A15" s="12" t="n">
        <v>6</v>
      </c>
      <c r="B15" s="9" t="n"/>
      <c r="C15" s="9" t="n"/>
      <c r="D15" s="9" t="n"/>
      <c r="E15" s="9" t="n"/>
      <c r="F15" s="9" t="n"/>
      <c r="G15" s="9" t="n"/>
      <c r="H15" s="9" t="n"/>
      <c r="I15" s="10">
        <f>IFERROR(INDEX(C15:H15,MATCH(TRUE,INDEX(C15:H15&lt;&gt;"",0),0)),"")</f>
        <v/>
      </c>
      <c r="J15" s="10">
        <f>IFERROR(MIN(IF(C15:H15&lt;&gt;"",C15:H15)),"")</f>
        <v/>
      </c>
      <c r="K15" s="10">
        <f>IFERROR(MATCH(I15,C15:H15,0),"")</f>
        <v/>
      </c>
      <c r="L15" s="10">
        <f>IF(OR(I15="",J15=""),"",ROUND((I15-J15)/I15*100,1))</f>
        <v/>
      </c>
      <c r="M15" s="10">
        <f>IF(L15="","",IF(L15&gt;=15,"是","否"))</f>
        <v/>
      </c>
      <c r="N15" s="10">
        <f>IF(J15="","",IF(J15&lt;0.15,"是","否"))</f>
        <v/>
      </c>
      <c r="O15" s="10">
        <f>IF(I15="","",IF(J15&lt;0.15,"SAFETY_STOP",IF(L15&gt;=15,"VL_THRESHOLD","PLANNED_END")))</f>
        <v/>
      </c>
      <c r="P15" s="10">
        <f>IF(I15="","",IF(I15&gt;($D$2+0.05),"+5kg",IF(I15&gt;($D$2+0.02),"+2.5kg",IF(I15&gt;=($D$2-0.05),"保持",IF(I15&gt;=($D$2-0.08),"-2.5kg","-5kg")))))</f>
        <v/>
      </c>
      <c r="Q15" s="9" t="n"/>
      <c r="R15" s="12" t="n"/>
      <c r="S15" s="12" t="n"/>
      <c r="T15" s="12" t="n"/>
    </row>
    <row r="16">
      <c r="A16" s="8" t="inlineStr">
        <is>
          <t>辅助动作</t>
        </is>
      </c>
      <c r="B16" s="8" t="inlineStr">
        <is>
          <t>动作名称</t>
        </is>
      </c>
      <c r="C16" s="8" t="inlineStr">
        <is>
          <t>负荷kg</t>
        </is>
      </c>
      <c r="D16" s="8" t="inlineStr">
        <is>
          <t>完成(组×次)</t>
        </is>
      </c>
    </row>
    <row r="17">
      <c r="A17" s="9" t="inlineStr"/>
      <c r="B17" s="9" t="n"/>
      <c r="C17" s="9" t="n"/>
      <c r="D17" s="9" t="n"/>
    </row>
    <row r="18">
      <c r="A18" s="8" t="inlineStr">
        <is>
          <t>训练后</t>
        </is>
      </c>
      <c r="B18" s="8" t="inlineStr">
        <is>
          <t>开始时间</t>
        </is>
      </c>
      <c r="C18" s="8" t="inlineStr">
        <is>
          <t>结束时间</t>
        </is>
      </c>
      <c r="D18" s="8" t="inlineStr">
        <is>
          <t>总时长min</t>
        </is>
      </c>
      <c r="E18" s="8" t="inlineStr">
        <is>
          <t>sRPE</t>
        </is>
      </c>
      <c r="F18" s="8" t="inlineStr">
        <is>
          <t>session_load</t>
        </is>
      </c>
      <c r="G18" s="8" t="inlineStr">
        <is>
          <t>有无不适</t>
        </is>
      </c>
      <c r="H18" s="8" t="inlineStr">
        <is>
          <t>备注</t>
        </is>
      </c>
      <c r="I18" s="8" t="inlineStr">
        <is>
          <t>研究员签名</t>
        </is>
      </c>
    </row>
    <row r="19">
      <c r="A19" s="13" t="inlineStr"/>
      <c r="B19" s="13" t="n"/>
      <c r="C19" s="13" t="n"/>
      <c r="D19" s="10">
        <f>IF(OR(B19="",C19=""),"",(C19-B19)*1440)</f>
        <v/>
      </c>
      <c r="E19" s="13" t="n"/>
      <c r="F19" s="10">
        <f>IF(OR(D19="",E19=""),"",D19*E19)</f>
        <v/>
      </c>
      <c r="G19" s="13" t="n"/>
      <c r="H19" s="13" t="n"/>
      <c r="I19" s="13" t="n"/>
    </row>
    <row r="21">
      <c r="A21" s="5" t="inlineStr">
        <is>
          <t>── P005 曾庆华 ──────────────────────────────────────────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inlineStr">
        <is>
          <t>编号</t>
        </is>
      </c>
      <c r="B22" s="8" t="inlineStr">
        <is>
          <t>姓名</t>
        </is>
      </c>
      <c r="C22" s="8" t="inlineStr">
        <is>
          <t>身高</t>
        </is>
      </c>
      <c r="D22" s="8" t="inlineStr">
        <is>
          <t>1RM</t>
        </is>
      </c>
      <c r="E22" s="8" t="inlineStr">
        <is>
          <t>睡眠</t>
        </is>
      </c>
      <c r="F22" s="8" t="inlineStr">
        <is>
          <t>压力</t>
        </is>
      </c>
      <c r="G22" s="8" t="inlineStr">
        <is>
          <t>疲劳</t>
        </is>
      </c>
      <c r="H22" s="8" t="inlineStr">
        <is>
          <t>酸痛</t>
        </is>
      </c>
      <c r="I22" s="8" t="inlineStr">
        <is>
          <t>Hooper总</t>
        </is>
      </c>
      <c r="J22" s="8" t="inlineStr">
        <is>
          <t>CMJ1</t>
        </is>
      </c>
      <c r="K22" s="8" t="inlineStr">
        <is>
          <t>CMJ2</t>
        </is>
      </c>
      <c r="L22" s="8" t="inlineStr">
        <is>
          <t>CMJ3</t>
        </is>
      </c>
      <c r="M22" s="8" t="inlineStr">
        <is>
          <t>CMJ均值</t>
        </is>
      </c>
      <c r="N22" s="8" t="inlineStr">
        <is>
          <t>&lt;95%?</t>
        </is>
      </c>
      <c r="O22" s="8" t="inlineStr">
        <is>
          <t>减组?</t>
        </is>
      </c>
      <c r="P22" s="8" t="inlineStr">
        <is>
          <t>实做组数</t>
        </is>
      </c>
      <c r="Q22" s="8" t="inlineStr">
        <is>
          <t>LVP_a</t>
        </is>
      </c>
      <c r="R22" s="8" t="inlineStr">
        <is>
          <t>LVP_b</t>
        </is>
      </c>
      <c r="S22" s="8" t="inlineStr">
        <is>
          <t>等级</t>
        </is>
      </c>
      <c r="T22" s="8" t="inlineStr">
        <is>
          <t>预测起始</t>
        </is>
      </c>
    </row>
    <row r="23">
      <c r="A23" s="9" t="inlineStr">
        <is>
          <t>P005</t>
        </is>
      </c>
      <c r="B23" s="9" t="inlineStr">
        <is>
          <t>曾庆华</t>
        </is>
      </c>
      <c r="C23" s="9" t="n">
        <v>177</v>
      </c>
      <c r="D23" s="9" t="n">
        <v>155</v>
      </c>
      <c r="E23" s="9" t="n"/>
      <c r="F23" s="9" t="n"/>
      <c r="G23" s="9" t="n"/>
      <c r="H23" s="9" t="n"/>
      <c r="I23" s="10">
        <f>IFERROR(SUM(E23:H23),"")</f>
        <v/>
      </c>
      <c r="J23" s="9" t="n"/>
      <c r="K23" s="9" t="n"/>
      <c r="L23" s="9" t="n"/>
      <c r="M23" s="10">
        <f>IFERROR(AVERAGE(J23:L23),"")</f>
        <v/>
      </c>
      <c r="N23" s="10">
        <f>IF(M23="","",IF(M23&lt;57.57,"是⚠","否"))</f>
        <v/>
      </c>
      <c r="O23" s="10">
        <f>IF(M23="","",IF(M23&lt;57.57,"减1组","正常"))</f>
        <v/>
      </c>
      <c r="P23" s="10">
        <f>IF(M23="","",IF(M23&lt;57.57,3-1,3))</f>
        <v/>
      </c>
      <c r="Q23" s="9" t="n">
        <v>1.775</v>
      </c>
      <c r="R23" s="9" t="n">
        <v>-0.008750000000000001</v>
      </c>
      <c r="S23" s="9" t="inlineStr">
        <is>
          <t>B</t>
        </is>
      </c>
      <c r="T23" s="10">
        <f>IFERROR(ROUND((0.55-1.775)/-0.00875,0.5),"")</f>
        <v/>
      </c>
    </row>
    <row r="24">
      <c r="A24" s="8" t="inlineStr">
        <is>
          <t>热身校准</t>
        </is>
      </c>
      <c r="B24" s="8" t="inlineStr">
        <is>
          <t>LVP_a</t>
        </is>
      </c>
      <c r="C24" s="8" t="inlineStr">
        <is>
          <t>LVP_b</t>
        </is>
      </c>
      <c r="D24" s="8" t="inlineStr">
        <is>
          <t>50%热身kg</t>
        </is>
      </c>
      <c r="E24" s="8" t="inlineStr">
        <is>
          <t>70%热身kg</t>
        </is>
      </c>
      <c r="F24" s="8" t="inlineStr">
        <is>
          <t>热身负荷kg</t>
        </is>
      </c>
      <c r="G24" s="8" t="inlineStr">
        <is>
          <t>实测MCV</t>
        </is>
      </c>
      <c r="H24" s="8" t="inlineStr">
        <is>
          <t>预测MCV</t>
        </is>
      </c>
      <c r="I24" s="8" t="inlineStr">
        <is>
          <t>Δv</t>
        </is>
      </c>
      <c r="J24" s="8" t="inlineStr">
        <is>
          <t>调整量kg</t>
        </is>
      </c>
      <c r="K24" s="8" t="inlineStr">
        <is>
          <t>校准后第1组kg</t>
        </is>
      </c>
    </row>
    <row r="25">
      <c r="A25" s="11" t="inlineStr"/>
      <c r="B25" s="11" t="n">
        <v>1.775</v>
      </c>
      <c r="C25" s="11" t="n">
        <v>-0.008750000000000001</v>
      </c>
      <c r="D25" s="10">
        <f>IFERROR(ROUND(T23*0.5,2.5),"")</f>
        <v/>
      </c>
      <c r="E25" s="10">
        <f>IFERROR(ROUND(T23*0.7,2.5),"")</f>
        <v/>
      </c>
      <c r="F25" s="10">
        <f>E25</f>
        <v/>
      </c>
      <c r="G25" s="9" t="n"/>
      <c r="H25" s="10">
        <f>IF(F25="","",B25+C25*F25)</f>
        <v/>
      </c>
      <c r="I25" s="10">
        <f>IF(OR(G25="",H25=""),"",G25-H25)</f>
        <v/>
      </c>
      <c r="J25" s="10">
        <f>IF(I25="","",IF(I25&gt;0.08,5,IF(I25&gt;0.04,2.5,IF(I25&gt;=-0.04,0,IF(I25&gt;=-0.08,-2.5,-5)))))</f>
        <v/>
      </c>
      <c r="K25" s="10">
        <f>IFERROR(ROUND(T23+J25,2.5),"")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8" t="inlineStr">
        <is>
          <t>组次</t>
        </is>
      </c>
      <c r="B26" s="8" t="inlineStr">
        <is>
          <t>负荷kg</t>
        </is>
      </c>
      <c r="C26" s="8" t="inlineStr">
        <is>
          <t>rep1</t>
        </is>
      </c>
      <c r="D26" s="8" t="inlineStr">
        <is>
          <t>rep2</t>
        </is>
      </c>
      <c r="E26" s="8" t="inlineStr">
        <is>
          <t>rep3</t>
        </is>
      </c>
      <c r="F26" s="8" t="inlineStr">
        <is>
          <t>rep4</t>
        </is>
      </c>
      <c r="G26" s="8" t="inlineStr">
        <is>
          <t>rep5</t>
        </is>
      </c>
      <c r="H26" s="8" t="inlineStr">
        <is>
          <t>rep6</t>
        </is>
      </c>
      <c r="I26" s="8" t="inlineStr">
        <is>
          <t>首rep</t>
        </is>
      </c>
      <c r="J26" s="8" t="inlineStr">
        <is>
          <t>最低速</t>
        </is>
      </c>
      <c r="K26" s="8" t="inlineStr">
        <is>
          <t>最低rep#</t>
        </is>
      </c>
      <c r="L26" s="8" t="inlineStr">
        <is>
          <t>VL%</t>
        </is>
      </c>
      <c r="M26" s="8" t="inlineStr">
        <is>
          <t>VL达标?</t>
        </is>
      </c>
      <c r="N26" s="8" t="inlineStr">
        <is>
          <t>安全停止?</t>
        </is>
      </c>
      <c r="O26" s="8" t="inlineStr">
        <is>
          <t>停组原因</t>
        </is>
      </c>
      <c r="P26" s="8" t="inlineStr">
        <is>
          <t>下组建议</t>
        </is>
      </c>
      <c r="Q26" s="8" t="inlineStr">
        <is>
          <t>实做次数</t>
        </is>
      </c>
    </row>
    <row r="27">
      <c r="A27" s="12" t="n">
        <v>1</v>
      </c>
      <c r="B27" s="10">
        <f>IF(K25="","",K25)</f>
        <v/>
      </c>
      <c r="C27" s="9" t="n"/>
      <c r="D27" s="9" t="n"/>
      <c r="E27" s="9" t="n"/>
      <c r="F27" s="9" t="n"/>
      <c r="G27" s="9" t="n"/>
      <c r="H27" s="9" t="n"/>
      <c r="I27" s="10">
        <f>IFERROR(INDEX(C27:H27,MATCH(TRUE,INDEX(C27:H27&lt;&gt;"",0),0)),"")</f>
        <v/>
      </c>
      <c r="J27" s="10">
        <f>IFERROR(MIN(IF(C27:H27&lt;&gt;"",C27:H27)),"")</f>
        <v/>
      </c>
      <c r="K27" s="10">
        <f>IFERROR(MATCH(I27,C27:H27,0),"")</f>
        <v/>
      </c>
      <c r="L27" s="10">
        <f>IF(OR(I27="",J27=""),"",ROUND((I27-J27)/I27*100,1))</f>
        <v/>
      </c>
      <c r="M27" s="10">
        <f>IF(L27="","",IF(L27&gt;=15,"是","否"))</f>
        <v/>
      </c>
      <c r="N27" s="10">
        <f>IF(J27="","",IF(J27&lt;0.15,"是","否"))</f>
        <v/>
      </c>
      <c r="O27" s="10">
        <f>IF(I27="","",IF(J27&lt;0.15,"SAFETY_STOP",IF(L27&gt;=15,"VL_THRESHOLD","PLANNED_END")))</f>
        <v/>
      </c>
      <c r="P27" s="10">
        <f>IF(I27="","",IF(I27&gt;($D$2+0.05),"+5kg",IF(I27&gt;($D$2+0.02),"+2.5kg",IF(I27&gt;=($D$2-0.05),"保持",IF(I27&gt;=($D$2-0.08),"-2.5kg","-5kg")))))</f>
        <v/>
      </c>
      <c r="Q27" s="9" t="n"/>
      <c r="R27" s="12" t="n"/>
      <c r="S27" s="12" t="n"/>
      <c r="T27" s="12" t="n"/>
    </row>
    <row r="28">
      <c r="A28" s="12" t="n">
        <v>2</v>
      </c>
      <c r="B28" s="9" t="n"/>
      <c r="C28" s="9" t="n"/>
      <c r="D28" s="9" t="n"/>
      <c r="E28" s="9" t="n"/>
      <c r="F28" s="9" t="n"/>
      <c r="G28" s="9" t="n"/>
      <c r="H28" s="9" t="n"/>
      <c r="I28" s="10">
        <f>IFERROR(INDEX(C28:H28,MATCH(TRUE,INDEX(C28:H28&lt;&gt;"",0),0)),"")</f>
        <v/>
      </c>
      <c r="J28" s="10">
        <f>IFERROR(MIN(IF(C28:H28&lt;&gt;"",C28:H28)),"")</f>
        <v/>
      </c>
      <c r="K28" s="10">
        <f>IFERROR(MATCH(I28,C28:H28,0),"")</f>
        <v/>
      </c>
      <c r="L28" s="10">
        <f>IF(OR(I28="",J28=""),"",ROUND((I28-J28)/I28*100,1))</f>
        <v/>
      </c>
      <c r="M28" s="10">
        <f>IF(L28="","",IF(L28&gt;=15,"是","否"))</f>
        <v/>
      </c>
      <c r="N28" s="10">
        <f>IF(J28="","",IF(J28&lt;0.15,"是","否"))</f>
        <v/>
      </c>
      <c r="O28" s="10">
        <f>IF(I28="","",IF(J28&lt;0.15,"SAFETY_STOP",IF(L28&gt;=15,"VL_THRESHOLD","PLANNED_END")))</f>
        <v/>
      </c>
      <c r="P28" s="10">
        <f>IF(I28="","",IF(I28&gt;($D$2+0.05),"+5kg",IF(I28&gt;($D$2+0.02),"+2.5kg",IF(I28&gt;=($D$2-0.05),"保持",IF(I28&gt;=($D$2-0.08),"-2.5kg","-5kg")))))</f>
        <v/>
      </c>
      <c r="Q28" s="9" t="n"/>
      <c r="R28" s="12" t="n"/>
      <c r="S28" s="12" t="n"/>
      <c r="T28" s="12" t="n"/>
    </row>
    <row r="29">
      <c r="A29" s="12" t="n">
        <v>3</v>
      </c>
      <c r="B29" s="9" t="n"/>
      <c r="C29" s="9" t="n"/>
      <c r="D29" s="9" t="n"/>
      <c r="E29" s="9" t="n"/>
      <c r="F29" s="9" t="n"/>
      <c r="G29" s="9" t="n"/>
      <c r="H29" s="9" t="n"/>
      <c r="I29" s="10">
        <f>IFERROR(INDEX(C29:H29,MATCH(TRUE,INDEX(C29:H29&lt;&gt;"",0),0)),"")</f>
        <v/>
      </c>
      <c r="J29" s="10">
        <f>IFERROR(MIN(IF(C29:H29&lt;&gt;"",C29:H29)),"")</f>
        <v/>
      </c>
      <c r="K29" s="10">
        <f>IFERROR(MATCH(I29,C29:H29,0),"")</f>
        <v/>
      </c>
      <c r="L29" s="10">
        <f>IF(OR(I29="",J29=""),"",ROUND((I29-J29)/I29*100,1))</f>
        <v/>
      </c>
      <c r="M29" s="10">
        <f>IF(L29="","",IF(L29&gt;=15,"是","否"))</f>
        <v/>
      </c>
      <c r="N29" s="10">
        <f>IF(J29="","",IF(J29&lt;0.15,"是","否"))</f>
        <v/>
      </c>
      <c r="O29" s="10">
        <f>IF(I29="","",IF(J29&lt;0.15,"SAFETY_STOP",IF(L29&gt;=15,"VL_THRESHOLD","PLANNED_END")))</f>
        <v/>
      </c>
      <c r="P29" s="10">
        <f>IF(I29="","",IF(I29&gt;($D$2+0.05),"+5kg",IF(I29&gt;($D$2+0.02),"+2.5kg",IF(I29&gt;=($D$2-0.05),"保持",IF(I29&gt;=($D$2-0.08),"-2.5kg","-5kg")))))</f>
        <v/>
      </c>
      <c r="Q29" s="9" t="n"/>
      <c r="R29" s="12" t="n"/>
      <c r="S29" s="12" t="n"/>
      <c r="T29" s="12" t="n"/>
    </row>
    <row r="30">
      <c r="A30" s="12" t="n">
        <v>4</v>
      </c>
      <c r="B30" s="9" t="n"/>
      <c r="C30" s="9" t="n"/>
      <c r="D30" s="9" t="n"/>
      <c r="E30" s="9" t="n"/>
      <c r="F30" s="9" t="n"/>
      <c r="G30" s="9" t="n"/>
      <c r="H30" s="9" t="n"/>
      <c r="I30" s="10">
        <f>IFERROR(INDEX(C30:H30,MATCH(TRUE,INDEX(C30:H30&lt;&gt;"",0),0)),"")</f>
        <v/>
      </c>
      <c r="J30" s="10">
        <f>IFERROR(MIN(IF(C30:H30&lt;&gt;"",C30:H30)),"")</f>
        <v/>
      </c>
      <c r="K30" s="10">
        <f>IFERROR(MATCH(I30,C30:H30,0),"")</f>
        <v/>
      </c>
      <c r="L30" s="10">
        <f>IF(OR(I30="",J30=""),"",ROUND((I30-J30)/I30*100,1))</f>
        <v/>
      </c>
      <c r="M30" s="10">
        <f>IF(L30="","",IF(L30&gt;=15,"是","否"))</f>
        <v/>
      </c>
      <c r="N30" s="10">
        <f>IF(J30="","",IF(J30&lt;0.15,"是","否"))</f>
        <v/>
      </c>
      <c r="O30" s="10">
        <f>IF(I30="","",IF(J30&lt;0.15,"SAFETY_STOP",IF(L30&gt;=15,"VL_THRESHOLD","PLANNED_END")))</f>
        <v/>
      </c>
      <c r="P30" s="10">
        <f>IF(I30="","",IF(I30&gt;($D$2+0.05),"+5kg",IF(I30&gt;($D$2+0.02),"+2.5kg",IF(I30&gt;=($D$2-0.05),"保持",IF(I30&gt;=($D$2-0.08),"-2.5kg","-5kg")))))</f>
        <v/>
      </c>
      <c r="Q30" s="9" t="n"/>
      <c r="R30" s="12" t="n"/>
      <c r="S30" s="12" t="n"/>
      <c r="T30" s="12" t="n"/>
    </row>
    <row r="31">
      <c r="A31" s="12" t="n">
        <v>5</v>
      </c>
      <c r="B31" s="9" t="n"/>
      <c r="C31" s="9" t="n"/>
      <c r="D31" s="9" t="n"/>
      <c r="E31" s="9" t="n"/>
      <c r="F31" s="9" t="n"/>
      <c r="G31" s="9" t="n"/>
      <c r="H31" s="9" t="n"/>
      <c r="I31" s="10">
        <f>IFERROR(INDEX(C31:H31,MATCH(TRUE,INDEX(C31:H31&lt;&gt;"",0),0)),"")</f>
        <v/>
      </c>
      <c r="J31" s="10">
        <f>IFERROR(MIN(IF(C31:H31&lt;&gt;"",C31:H31)),"")</f>
        <v/>
      </c>
      <c r="K31" s="10">
        <f>IFERROR(MATCH(I31,C31:H31,0),"")</f>
        <v/>
      </c>
      <c r="L31" s="10">
        <f>IF(OR(I31="",J31=""),"",ROUND((I31-J31)/I31*100,1))</f>
        <v/>
      </c>
      <c r="M31" s="10">
        <f>IF(L31="","",IF(L31&gt;=15,"是","否"))</f>
        <v/>
      </c>
      <c r="N31" s="10">
        <f>IF(J31="","",IF(J31&lt;0.15,"是","否"))</f>
        <v/>
      </c>
      <c r="O31" s="10">
        <f>IF(I31="","",IF(J31&lt;0.15,"SAFETY_STOP",IF(L31&gt;=15,"VL_THRESHOLD","PLANNED_END")))</f>
        <v/>
      </c>
      <c r="P31" s="10">
        <f>IF(I31="","",IF(I31&gt;($D$2+0.05),"+5kg",IF(I31&gt;($D$2+0.02),"+2.5kg",IF(I31&gt;=($D$2-0.05),"保持",IF(I31&gt;=($D$2-0.08),"-2.5kg","-5kg")))))</f>
        <v/>
      </c>
      <c r="Q31" s="9" t="n"/>
      <c r="R31" s="12" t="n"/>
      <c r="S31" s="12" t="n"/>
      <c r="T31" s="12" t="n"/>
    </row>
    <row r="32">
      <c r="A32" s="12" t="n">
        <v>6</v>
      </c>
      <c r="B32" s="9" t="n"/>
      <c r="C32" s="9" t="n"/>
      <c r="D32" s="9" t="n"/>
      <c r="E32" s="9" t="n"/>
      <c r="F32" s="9" t="n"/>
      <c r="G32" s="9" t="n"/>
      <c r="H32" s="9" t="n"/>
      <c r="I32" s="10">
        <f>IFERROR(INDEX(C32:H32,MATCH(TRUE,INDEX(C32:H32&lt;&gt;"",0),0)),"")</f>
        <v/>
      </c>
      <c r="J32" s="10">
        <f>IFERROR(MIN(IF(C32:H32&lt;&gt;"",C32:H32)),"")</f>
        <v/>
      </c>
      <c r="K32" s="10">
        <f>IFERROR(MATCH(I32,C32:H32,0),"")</f>
        <v/>
      </c>
      <c r="L32" s="10">
        <f>IF(OR(I32="",J32=""),"",ROUND((I32-J32)/I32*100,1))</f>
        <v/>
      </c>
      <c r="M32" s="10">
        <f>IF(L32="","",IF(L32&gt;=15,"是","否"))</f>
        <v/>
      </c>
      <c r="N32" s="10">
        <f>IF(J32="","",IF(J32&lt;0.15,"是","否"))</f>
        <v/>
      </c>
      <c r="O32" s="10">
        <f>IF(I32="","",IF(J32&lt;0.15,"SAFETY_STOP",IF(L32&gt;=15,"VL_THRESHOLD","PLANNED_END")))</f>
        <v/>
      </c>
      <c r="P32" s="10">
        <f>IF(I32="","",IF(I32&gt;($D$2+0.05),"+5kg",IF(I32&gt;($D$2+0.02),"+2.5kg",IF(I32&gt;=($D$2-0.05),"保持",IF(I32&gt;=($D$2-0.08),"-2.5kg","-5kg")))))</f>
        <v/>
      </c>
      <c r="Q32" s="9" t="n"/>
      <c r="R32" s="12" t="n"/>
      <c r="S32" s="12" t="n"/>
      <c r="T32" s="12" t="n"/>
    </row>
    <row r="33">
      <c r="A33" s="8" t="inlineStr">
        <is>
          <t>辅助动作</t>
        </is>
      </c>
      <c r="B33" s="8" t="inlineStr">
        <is>
          <t>动作名称</t>
        </is>
      </c>
      <c r="C33" s="8" t="inlineStr">
        <is>
          <t>负荷kg</t>
        </is>
      </c>
      <c r="D33" s="8" t="inlineStr">
        <is>
          <t>完成(组×次)</t>
        </is>
      </c>
    </row>
    <row r="34">
      <c r="A34" s="9" t="inlineStr"/>
      <c r="B34" s="9" t="n"/>
      <c r="C34" s="9" t="n"/>
      <c r="D34" s="9" t="n"/>
    </row>
    <row r="35">
      <c r="A35" s="8" t="inlineStr">
        <is>
          <t>训练后</t>
        </is>
      </c>
      <c r="B35" s="8" t="inlineStr">
        <is>
          <t>开始时间</t>
        </is>
      </c>
      <c r="C35" s="8" t="inlineStr">
        <is>
          <t>结束时间</t>
        </is>
      </c>
      <c r="D35" s="8" t="inlineStr">
        <is>
          <t>总时长min</t>
        </is>
      </c>
      <c r="E35" s="8" t="inlineStr">
        <is>
          <t>sRPE</t>
        </is>
      </c>
      <c r="F35" s="8" t="inlineStr">
        <is>
          <t>session_load</t>
        </is>
      </c>
      <c r="G35" s="8" t="inlineStr">
        <is>
          <t>有无不适</t>
        </is>
      </c>
      <c r="H35" s="8" t="inlineStr">
        <is>
          <t>备注</t>
        </is>
      </c>
      <c r="I35" s="8" t="inlineStr">
        <is>
          <t>研究员签名</t>
        </is>
      </c>
    </row>
    <row r="36">
      <c r="A36" s="13" t="inlineStr"/>
      <c r="B36" s="13" t="n"/>
      <c r="C36" s="13" t="n"/>
      <c r="D36" s="10">
        <f>IF(OR(B36="",C36=""),"",(C36-B36)*1440)</f>
        <v/>
      </c>
      <c r="E36" s="13" t="n"/>
      <c r="F36" s="10">
        <f>IF(OR(D36="",E36=""),"",D36*E36)</f>
        <v/>
      </c>
      <c r="G36" s="13" t="n"/>
      <c r="H36" s="13" t="n"/>
      <c r="I36" s="13" t="n"/>
    </row>
    <row r="38">
      <c r="A38" s="5" t="inlineStr">
        <is>
          <t>── P002 何天元 ──────────────────────────────────────────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</row>
    <row r="39">
      <c r="A39" s="8" t="inlineStr">
        <is>
          <t>编号</t>
        </is>
      </c>
      <c r="B39" s="8" t="inlineStr">
        <is>
          <t>姓名</t>
        </is>
      </c>
      <c r="C39" s="8" t="inlineStr">
        <is>
          <t>身高</t>
        </is>
      </c>
      <c r="D39" s="8" t="inlineStr">
        <is>
          <t>1RM</t>
        </is>
      </c>
      <c r="E39" s="8" t="inlineStr">
        <is>
          <t>睡眠</t>
        </is>
      </c>
      <c r="F39" s="8" t="inlineStr">
        <is>
          <t>压力</t>
        </is>
      </c>
      <c r="G39" s="8" t="inlineStr">
        <is>
          <t>疲劳</t>
        </is>
      </c>
      <c r="H39" s="8" t="inlineStr">
        <is>
          <t>酸痛</t>
        </is>
      </c>
      <c r="I39" s="8" t="inlineStr">
        <is>
          <t>Hooper总</t>
        </is>
      </c>
      <c r="J39" s="8" t="inlineStr">
        <is>
          <t>CMJ1</t>
        </is>
      </c>
      <c r="K39" s="8" t="inlineStr">
        <is>
          <t>CMJ2</t>
        </is>
      </c>
      <c r="L39" s="8" t="inlineStr">
        <is>
          <t>CMJ3</t>
        </is>
      </c>
      <c r="M39" s="8" t="inlineStr">
        <is>
          <t>CMJ均值</t>
        </is>
      </c>
      <c r="N39" s="8" t="inlineStr">
        <is>
          <t>&lt;95%?</t>
        </is>
      </c>
      <c r="O39" s="8" t="inlineStr">
        <is>
          <t>减组?</t>
        </is>
      </c>
      <c r="P39" s="8" t="inlineStr">
        <is>
          <t>实做组数</t>
        </is>
      </c>
      <c r="Q39" s="8" t="inlineStr">
        <is>
          <t>LVP_a</t>
        </is>
      </c>
      <c r="R39" s="8" t="inlineStr">
        <is>
          <t>LVP_b</t>
        </is>
      </c>
      <c r="S39" s="8" t="inlineStr">
        <is>
          <t>等级</t>
        </is>
      </c>
      <c r="T39" s="8" t="inlineStr">
        <is>
          <t>预测起始</t>
        </is>
      </c>
    </row>
    <row r="40">
      <c r="A40" s="9" t="inlineStr">
        <is>
          <t>P002</t>
        </is>
      </c>
      <c r="B40" s="9" t="inlineStr">
        <is>
          <t>何天元</t>
        </is>
      </c>
      <c r="C40" s="9" t="n">
        <v>178</v>
      </c>
      <c r="D40" s="9" t="n">
        <v>150</v>
      </c>
      <c r="E40" s="9" t="n"/>
      <c r="F40" s="9" t="n"/>
      <c r="G40" s="9" t="n"/>
      <c r="H40" s="9" t="n"/>
      <c r="I40" s="10">
        <f>IFERROR(SUM(E40:H40),"")</f>
        <v/>
      </c>
      <c r="J40" s="9" t="n"/>
      <c r="K40" s="9" t="n"/>
      <c r="L40" s="9" t="n"/>
      <c r="M40" s="10">
        <f>IFERROR(AVERAGE(J40:L40),"")</f>
        <v/>
      </c>
      <c r="N40" s="10">
        <f>IF(M40="","",IF(M40&lt;60.54,"是⚠","否"))</f>
        <v/>
      </c>
      <c r="O40" s="10">
        <f>IF(M40="","",IF(M40&lt;60.54,"减1组","正常"))</f>
        <v/>
      </c>
      <c r="P40" s="10">
        <f>IF(M40="","",IF(M40&lt;60.54,3-1,3))</f>
        <v/>
      </c>
      <c r="Q40" s="9" t="n">
        <v>1.291</v>
      </c>
      <c r="R40" s="9" t="n">
        <v>-0.0054</v>
      </c>
      <c r="S40" s="9" t="inlineStr">
        <is>
          <t>B</t>
        </is>
      </c>
      <c r="T40" s="10">
        <f>IFERROR(ROUND((0.55-1.291)/-0.0054,0.5),"")</f>
        <v/>
      </c>
    </row>
    <row r="41">
      <c r="A41" s="8" t="inlineStr">
        <is>
          <t>热身校准</t>
        </is>
      </c>
      <c r="B41" s="8" t="inlineStr">
        <is>
          <t>LVP_a</t>
        </is>
      </c>
      <c r="C41" s="8" t="inlineStr">
        <is>
          <t>LVP_b</t>
        </is>
      </c>
      <c r="D41" s="8" t="inlineStr">
        <is>
          <t>50%热身kg</t>
        </is>
      </c>
      <c r="E41" s="8" t="inlineStr">
        <is>
          <t>70%热身kg</t>
        </is>
      </c>
      <c r="F41" s="8" t="inlineStr">
        <is>
          <t>热身负荷kg</t>
        </is>
      </c>
      <c r="G41" s="8" t="inlineStr">
        <is>
          <t>实测MCV</t>
        </is>
      </c>
      <c r="H41" s="8" t="inlineStr">
        <is>
          <t>预测MCV</t>
        </is>
      </c>
      <c r="I41" s="8" t="inlineStr">
        <is>
          <t>Δv</t>
        </is>
      </c>
      <c r="J41" s="8" t="inlineStr">
        <is>
          <t>调整量kg</t>
        </is>
      </c>
      <c r="K41" s="8" t="inlineStr">
        <is>
          <t>校准后第1组kg</t>
        </is>
      </c>
    </row>
    <row r="42">
      <c r="A42" s="11" t="inlineStr"/>
      <c r="B42" s="11" t="n">
        <v>1.291</v>
      </c>
      <c r="C42" s="11" t="n">
        <v>-0.0054</v>
      </c>
      <c r="D42" s="10">
        <f>IFERROR(ROUND(T40*0.5,2.5),"")</f>
        <v/>
      </c>
      <c r="E42" s="10">
        <f>IFERROR(ROUND(T40*0.7,2.5),"")</f>
        <v/>
      </c>
      <c r="F42" s="10">
        <f>E42</f>
        <v/>
      </c>
      <c r="G42" s="9" t="n"/>
      <c r="H42" s="10">
        <f>IF(F42="","",B42+C42*F42)</f>
        <v/>
      </c>
      <c r="I42" s="10">
        <f>IF(OR(G42="",H42=""),"",G42-H42)</f>
        <v/>
      </c>
      <c r="J42" s="10">
        <f>IF(I42="","",IF(I42&gt;0.08,5,IF(I42&gt;0.04,2.5,IF(I42&gt;=-0.04,0,IF(I42&gt;=-0.08,-2.5,-5)))))</f>
        <v/>
      </c>
      <c r="K42" s="10">
        <f>IFERROR(ROUND(T40+J42,2.5),"")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8" t="inlineStr">
        <is>
          <t>组次</t>
        </is>
      </c>
      <c r="B43" s="8" t="inlineStr">
        <is>
          <t>负荷kg</t>
        </is>
      </c>
      <c r="C43" s="8" t="inlineStr">
        <is>
          <t>rep1</t>
        </is>
      </c>
      <c r="D43" s="8" t="inlineStr">
        <is>
          <t>rep2</t>
        </is>
      </c>
      <c r="E43" s="8" t="inlineStr">
        <is>
          <t>rep3</t>
        </is>
      </c>
      <c r="F43" s="8" t="inlineStr">
        <is>
          <t>rep4</t>
        </is>
      </c>
      <c r="G43" s="8" t="inlineStr">
        <is>
          <t>rep5</t>
        </is>
      </c>
      <c r="H43" s="8" t="inlineStr">
        <is>
          <t>rep6</t>
        </is>
      </c>
      <c r="I43" s="8" t="inlineStr">
        <is>
          <t>首rep</t>
        </is>
      </c>
      <c r="J43" s="8" t="inlineStr">
        <is>
          <t>最低速</t>
        </is>
      </c>
      <c r="K43" s="8" t="inlineStr">
        <is>
          <t>最低rep#</t>
        </is>
      </c>
      <c r="L43" s="8" t="inlineStr">
        <is>
          <t>VL%</t>
        </is>
      </c>
      <c r="M43" s="8" t="inlineStr">
        <is>
          <t>VL达标?</t>
        </is>
      </c>
      <c r="N43" s="8" t="inlineStr">
        <is>
          <t>安全停止?</t>
        </is>
      </c>
      <c r="O43" s="8" t="inlineStr">
        <is>
          <t>停组原因</t>
        </is>
      </c>
      <c r="P43" s="8" t="inlineStr">
        <is>
          <t>下组建议</t>
        </is>
      </c>
      <c r="Q43" s="8" t="inlineStr">
        <is>
          <t>实做次数</t>
        </is>
      </c>
    </row>
    <row r="44">
      <c r="A44" s="12" t="n">
        <v>1</v>
      </c>
      <c r="B44" s="10">
        <f>IF(K42="","",K42)</f>
        <v/>
      </c>
      <c r="C44" s="9" t="n"/>
      <c r="D44" s="9" t="n"/>
      <c r="E44" s="9" t="n"/>
      <c r="F44" s="9" t="n"/>
      <c r="G44" s="9" t="n"/>
      <c r="H44" s="9" t="n"/>
      <c r="I44" s="10">
        <f>IFERROR(INDEX(C44:H44,MATCH(TRUE,INDEX(C44:H44&lt;&gt;"",0),0)),"")</f>
        <v/>
      </c>
      <c r="J44" s="10">
        <f>IFERROR(MIN(IF(C44:H44&lt;&gt;"",C44:H44)),"")</f>
        <v/>
      </c>
      <c r="K44" s="10">
        <f>IFERROR(MATCH(I44,C44:H44,0),"")</f>
        <v/>
      </c>
      <c r="L44" s="10">
        <f>IF(OR(I44="",J44=""),"",ROUND((I44-J44)/I44*100,1))</f>
        <v/>
      </c>
      <c r="M44" s="10">
        <f>IF(L44="","",IF(L44&gt;=15,"是","否"))</f>
        <v/>
      </c>
      <c r="N44" s="10">
        <f>IF(J44="","",IF(J44&lt;0.15,"是","否"))</f>
        <v/>
      </c>
      <c r="O44" s="10">
        <f>IF(I44="","",IF(J44&lt;0.15,"SAFETY_STOP",IF(L44&gt;=15,"VL_THRESHOLD","PLANNED_END")))</f>
        <v/>
      </c>
      <c r="P44" s="10">
        <f>IF(I44="","",IF(I44&gt;($D$2+0.05),"+5kg",IF(I44&gt;($D$2+0.02),"+2.5kg",IF(I44&gt;=($D$2-0.05),"保持",IF(I44&gt;=($D$2-0.08),"-2.5kg","-5kg")))))</f>
        <v/>
      </c>
      <c r="Q44" s="9" t="n"/>
      <c r="R44" s="12" t="n"/>
      <c r="S44" s="12" t="n"/>
      <c r="T44" s="12" t="n"/>
    </row>
    <row r="45">
      <c r="A45" s="12" t="n">
        <v>2</v>
      </c>
      <c r="B45" s="9" t="n"/>
      <c r="C45" s="9" t="n"/>
      <c r="D45" s="9" t="n"/>
      <c r="E45" s="9" t="n"/>
      <c r="F45" s="9" t="n"/>
      <c r="G45" s="9" t="n"/>
      <c r="H45" s="9" t="n"/>
      <c r="I45" s="10">
        <f>IFERROR(INDEX(C45:H45,MATCH(TRUE,INDEX(C45:H45&lt;&gt;"",0),0)),"")</f>
        <v/>
      </c>
      <c r="J45" s="10">
        <f>IFERROR(MIN(IF(C45:H45&lt;&gt;"",C45:H45)),"")</f>
        <v/>
      </c>
      <c r="K45" s="10">
        <f>IFERROR(MATCH(I45,C45:H45,0),"")</f>
        <v/>
      </c>
      <c r="L45" s="10">
        <f>IF(OR(I45="",J45=""),"",ROUND((I45-J45)/I45*100,1))</f>
        <v/>
      </c>
      <c r="M45" s="10">
        <f>IF(L45="","",IF(L45&gt;=15,"是","否"))</f>
        <v/>
      </c>
      <c r="N45" s="10">
        <f>IF(J45="","",IF(J45&lt;0.15,"是","否"))</f>
        <v/>
      </c>
      <c r="O45" s="10">
        <f>IF(I45="","",IF(J45&lt;0.15,"SAFETY_STOP",IF(L45&gt;=15,"VL_THRESHOLD","PLANNED_END")))</f>
        <v/>
      </c>
      <c r="P45" s="10">
        <f>IF(I45="","",IF(I45&gt;($D$2+0.05),"+5kg",IF(I45&gt;($D$2+0.02),"+2.5kg",IF(I45&gt;=($D$2-0.05),"保持",IF(I45&gt;=($D$2-0.08),"-2.5kg","-5kg")))))</f>
        <v/>
      </c>
      <c r="Q45" s="9" t="n"/>
      <c r="R45" s="12" t="n"/>
      <c r="S45" s="12" t="n"/>
      <c r="T45" s="12" t="n"/>
    </row>
    <row r="46">
      <c r="A46" s="12" t="n">
        <v>3</v>
      </c>
      <c r="B46" s="9" t="n"/>
      <c r="C46" s="9" t="n"/>
      <c r="D46" s="9" t="n"/>
      <c r="E46" s="9" t="n"/>
      <c r="F46" s="9" t="n"/>
      <c r="G46" s="9" t="n"/>
      <c r="H46" s="9" t="n"/>
      <c r="I46" s="10">
        <f>IFERROR(INDEX(C46:H46,MATCH(TRUE,INDEX(C46:H46&lt;&gt;"",0),0)),"")</f>
        <v/>
      </c>
      <c r="J46" s="10">
        <f>IFERROR(MIN(IF(C46:H46&lt;&gt;"",C46:H46)),"")</f>
        <v/>
      </c>
      <c r="K46" s="10">
        <f>IFERROR(MATCH(I46,C46:H46,0),"")</f>
        <v/>
      </c>
      <c r="L46" s="10">
        <f>IF(OR(I46="",J46=""),"",ROUND((I46-J46)/I46*100,1))</f>
        <v/>
      </c>
      <c r="M46" s="10">
        <f>IF(L46="","",IF(L46&gt;=15,"是","否"))</f>
        <v/>
      </c>
      <c r="N46" s="10">
        <f>IF(J46="","",IF(J46&lt;0.15,"是","否"))</f>
        <v/>
      </c>
      <c r="O46" s="10">
        <f>IF(I46="","",IF(J46&lt;0.15,"SAFETY_STOP",IF(L46&gt;=15,"VL_THRESHOLD","PLANNED_END")))</f>
        <v/>
      </c>
      <c r="P46" s="10">
        <f>IF(I46="","",IF(I46&gt;($D$2+0.05),"+5kg",IF(I46&gt;($D$2+0.02),"+2.5kg",IF(I46&gt;=($D$2-0.05),"保持",IF(I46&gt;=($D$2-0.08),"-2.5kg","-5kg")))))</f>
        <v/>
      </c>
      <c r="Q46" s="9" t="n"/>
      <c r="R46" s="12" t="n"/>
      <c r="S46" s="12" t="n"/>
      <c r="T46" s="12" t="n"/>
    </row>
    <row r="47">
      <c r="A47" s="12" t="n">
        <v>4</v>
      </c>
      <c r="B47" s="9" t="n"/>
      <c r="C47" s="9" t="n"/>
      <c r="D47" s="9" t="n"/>
      <c r="E47" s="9" t="n"/>
      <c r="F47" s="9" t="n"/>
      <c r="G47" s="9" t="n"/>
      <c r="H47" s="9" t="n"/>
      <c r="I47" s="10">
        <f>IFERROR(INDEX(C47:H47,MATCH(TRUE,INDEX(C47:H47&lt;&gt;"",0),0)),"")</f>
        <v/>
      </c>
      <c r="J47" s="10">
        <f>IFERROR(MIN(IF(C47:H47&lt;&gt;"",C47:H47)),"")</f>
        <v/>
      </c>
      <c r="K47" s="10">
        <f>IFERROR(MATCH(I47,C47:H47,0),"")</f>
        <v/>
      </c>
      <c r="L47" s="10">
        <f>IF(OR(I47="",J47=""),"",ROUND((I47-J47)/I47*100,1))</f>
        <v/>
      </c>
      <c r="M47" s="10">
        <f>IF(L47="","",IF(L47&gt;=15,"是","否"))</f>
        <v/>
      </c>
      <c r="N47" s="10">
        <f>IF(J47="","",IF(J47&lt;0.15,"是","否"))</f>
        <v/>
      </c>
      <c r="O47" s="10">
        <f>IF(I47="","",IF(J47&lt;0.15,"SAFETY_STOP",IF(L47&gt;=15,"VL_THRESHOLD","PLANNED_END")))</f>
        <v/>
      </c>
      <c r="P47" s="10">
        <f>IF(I47="","",IF(I47&gt;($D$2+0.05),"+5kg",IF(I47&gt;($D$2+0.02),"+2.5kg",IF(I47&gt;=($D$2-0.05),"保持",IF(I47&gt;=($D$2-0.08),"-2.5kg","-5kg")))))</f>
        <v/>
      </c>
      <c r="Q47" s="9" t="n"/>
      <c r="R47" s="12" t="n"/>
      <c r="S47" s="12" t="n"/>
      <c r="T47" s="12" t="n"/>
    </row>
    <row r="48">
      <c r="A48" s="12" t="n">
        <v>5</v>
      </c>
      <c r="B48" s="9" t="n"/>
      <c r="C48" s="9" t="n"/>
      <c r="D48" s="9" t="n"/>
      <c r="E48" s="9" t="n"/>
      <c r="F48" s="9" t="n"/>
      <c r="G48" s="9" t="n"/>
      <c r="H48" s="9" t="n"/>
      <c r="I48" s="10">
        <f>IFERROR(INDEX(C48:H48,MATCH(TRUE,INDEX(C48:H48&lt;&gt;"",0),0)),"")</f>
        <v/>
      </c>
      <c r="J48" s="10">
        <f>IFERROR(MIN(IF(C48:H48&lt;&gt;"",C48:H48)),"")</f>
        <v/>
      </c>
      <c r="K48" s="10">
        <f>IFERROR(MATCH(I48,C48:H48,0),"")</f>
        <v/>
      </c>
      <c r="L48" s="10">
        <f>IF(OR(I48="",J48=""),"",ROUND((I48-J48)/I48*100,1))</f>
        <v/>
      </c>
      <c r="M48" s="10">
        <f>IF(L48="","",IF(L48&gt;=15,"是","否"))</f>
        <v/>
      </c>
      <c r="N48" s="10">
        <f>IF(J48="","",IF(J48&lt;0.15,"是","否"))</f>
        <v/>
      </c>
      <c r="O48" s="10">
        <f>IF(I48="","",IF(J48&lt;0.15,"SAFETY_STOP",IF(L48&gt;=15,"VL_THRESHOLD","PLANNED_END")))</f>
        <v/>
      </c>
      <c r="P48" s="10">
        <f>IF(I48="","",IF(I48&gt;($D$2+0.05),"+5kg",IF(I48&gt;($D$2+0.02),"+2.5kg",IF(I48&gt;=($D$2-0.05),"保持",IF(I48&gt;=($D$2-0.08),"-2.5kg","-5kg")))))</f>
        <v/>
      </c>
      <c r="Q48" s="9" t="n"/>
      <c r="R48" s="12" t="n"/>
      <c r="S48" s="12" t="n"/>
      <c r="T48" s="12" t="n"/>
    </row>
    <row r="49">
      <c r="A49" s="12" t="n">
        <v>6</v>
      </c>
      <c r="B49" s="9" t="n"/>
      <c r="C49" s="9" t="n"/>
      <c r="D49" s="9" t="n"/>
      <c r="E49" s="9" t="n"/>
      <c r="F49" s="9" t="n"/>
      <c r="G49" s="9" t="n"/>
      <c r="H49" s="9" t="n"/>
      <c r="I49" s="10">
        <f>IFERROR(INDEX(C49:H49,MATCH(TRUE,INDEX(C49:H49&lt;&gt;"",0),0)),"")</f>
        <v/>
      </c>
      <c r="J49" s="10">
        <f>IFERROR(MIN(IF(C49:H49&lt;&gt;"",C49:H49)),"")</f>
        <v/>
      </c>
      <c r="K49" s="10">
        <f>IFERROR(MATCH(I49,C49:H49,0),"")</f>
        <v/>
      </c>
      <c r="L49" s="10">
        <f>IF(OR(I49="",J49=""),"",ROUND((I49-J49)/I49*100,1))</f>
        <v/>
      </c>
      <c r="M49" s="10">
        <f>IF(L49="","",IF(L49&gt;=15,"是","否"))</f>
        <v/>
      </c>
      <c r="N49" s="10">
        <f>IF(J49="","",IF(J49&lt;0.15,"是","否"))</f>
        <v/>
      </c>
      <c r="O49" s="10">
        <f>IF(I49="","",IF(J49&lt;0.15,"SAFETY_STOP",IF(L49&gt;=15,"VL_THRESHOLD","PLANNED_END")))</f>
        <v/>
      </c>
      <c r="P49" s="10">
        <f>IF(I49="","",IF(I49&gt;($D$2+0.05),"+5kg",IF(I49&gt;($D$2+0.02),"+2.5kg",IF(I49&gt;=($D$2-0.05),"保持",IF(I49&gt;=($D$2-0.08),"-2.5kg","-5kg")))))</f>
        <v/>
      </c>
      <c r="Q49" s="9" t="n"/>
      <c r="R49" s="12" t="n"/>
      <c r="S49" s="12" t="n"/>
      <c r="T49" s="12" t="n"/>
    </row>
    <row r="50">
      <c r="A50" s="8" t="inlineStr">
        <is>
          <t>辅助动作</t>
        </is>
      </c>
      <c r="B50" s="8" t="inlineStr">
        <is>
          <t>动作名称</t>
        </is>
      </c>
      <c r="C50" s="8" t="inlineStr">
        <is>
          <t>负荷kg</t>
        </is>
      </c>
      <c r="D50" s="8" t="inlineStr">
        <is>
          <t>完成(组×次)</t>
        </is>
      </c>
    </row>
    <row r="51">
      <c r="A51" s="9" t="inlineStr"/>
      <c r="B51" s="9" t="n"/>
      <c r="C51" s="9" t="n"/>
      <c r="D51" s="9" t="n"/>
    </row>
    <row r="52">
      <c r="A52" s="8" t="inlineStr">
        <is>
          <t>训练后</t>
        </is>
      </c>
      <c r="B52" s="8" t="inlineStr">
        <is>
          <t>开始时间</t>
        </is>
      </c>
      <c r="C52" s="8" t="inlineStr">
        <is>
          <t>结束时间</t>
        </is>
      </c>
      <c r="D52" s="8" t="inlineStr">
        <is>
          <t>总时长min</t>
        </is>
      </c>
      <c r="E52" s="8" t="inlineStr">
        <is>
          <t>sRPE</t>
        </is>
      </c>
      <c r="F52" s="8" t="inlineStr">
        <is>
          <t>session_load</t>
        </is>
      </c>
      <c r="G52" s="8" t="inlineStr">
        <is>
          <t>有无不适</t>
        </is>
      </c>
      <c r="H52" s="8" t="inlineStr">
        <is>
          <t>备注</t>
        </is>
      </c>
      <c r="I52" s="8" t="inlineStr">
        <is>
          <t>研究员签名</t>
        </is>
      </c>
    </row>
    <row r="53">
      <c r="A53" s="13" t="inlineStr"/>
      <c r="B53" s="13" t="n"/>
      <c r="C53" s="13" t="n"/>
      <c r="D53" s="10">
        <f>IF(OR(B53="",C53=""),"",(C53-B53)*1440)</f>
        <v/>
      </c>
      <c r="E53" s="13" t="n"/>
      <c r="F53" s="10">
        <f>IF(OR(D53="",E53=""),"",D53*E53)</f>
        <v/>
      </c>
      <c r="G53" s="13" t="n"/>
      <c r="H53" s="13" t="n"/>
      <c r="I53" s="13" t="n"/>
    </row>
    <row r="55">
      <c r="A55" s="5" t="inlineStr">
        <is>
          <t>── P006 陈镕垚 ──────────────────────────────────────────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</row>
    <row r="56">
      <c r="A56" s="8" t="inlineStr">
        <is>
          <t>编号</t>
        </is>
      </c>
      <c r="B56" s="8" t="inlineStr">
        <is>
          <t>姓名</t>
        </is>
      </c>
      <c r="C56" s="8" t="inlineStr">
        <is>
          <t>身高</t>
        </is>
      </c>
      <c r="D56" s="8" t="inlineStr">
        <is>
          <t>1RM</t>
        </is>
      </c>
      <c r="E56" s="8" t="inlineStr">
        <is>
          <t>睡眠</t>
        </is>
      </c>
      <c r="F56" s="8" t="inlineStr">
        <is>
          <t>压力</t>
        </is>
      </c>
      <c r="G56" s="8" t="inlineStr">
        <is>
          <t>疲劳</t>
        </is>
      </c>
      <c r="H56" s="8" t="inlineStr">
        <is>
          <t>酸痛</t>
        </is>
      </c>
      <c r="I56" s="8" t="inlineStr">
        <is>
          <t>Hooper总</t>
        </is>
      </c>
      <c r="J56" s="8" t="inlineStr">
        <is>
          <t>CMJ1</t>
        </is>
      </c>
      <c r="K56" s="8" t="inlineStr">
        <is>
          <t>CMJ2</t>
        </is>
      </c>
      <c r="L56" s="8" t="inlineStr">
        <is>
          <t>CMJ3</t>
        </is>
      </c>
      <c r="M56" s="8" t="inlineStr">
        <is>
          <t>CMJ均值</t>
        </is>
      </c>
      <c r="N56" s="8" t="inlineStr">
        <is>
          <t>&lt;95%?</t>
        </is>
      </c>
      <c r="O56" s="8" t="inlineStr">
        <is>
          <t>减组?</t>
        </is>
      </c>
      <c r="P56" s="8" t="inlineStr">
        <is>
          <t>实做组数</t>
        </is>
      </c>
      <c r="Q56" s="8" t="inlineStr">
        <is>
          <t>LVP_a</t>
        </is>
      </c>
      <c r="R56" s="8" t="inlineStr">
        <is>
          <t>LVP_b</t>
        </is>
      </c>
      <c r="S56" s="8" t="inlineStr">
        <is>
          <t>等级</t>
        </is>
      </c>
      <c r="T56" s="8" t="inlineStr">
        <is>
          <t>预测起始</t>
        </is>
      </c>
    </row>
    <row r="57">
      <c r="A57" s="9" t="inlineStr">
        <is>
          <t>P006</t>
        </is>
      </c>
      <c r="B57" s="9" t="inlineStr">
        <is>
          <t>陈镕垚</t>
        </is>
      </c>
      <c r="C57" s="9" t="n">
        <v>181</v>
      </c>
      <c r="D57" s="9" t="n">
        <v>145</v>
      </c>
      <c r="E57" s="9" t="n"/>
      <c r="F57" s="9" t="n"/>
      <c r="G57" s="9" t="n"/>
      <c r="H57" s="9" t="n"/>
      <c r="I57" s="10">
        <f>IFERROR(SUM(E57:H57),"")</f>
        <v/>
      </c>
      <c r="J57" s="9" t="n"/>
      <c r="K57" s="9" t="n"/>
      <c r="L57" s="9" t="n"/>
      <c r="M57" s="10">
        <f>IFERROR(AVERAGE(J57:L57),"")</f>
        <v/>
      </c>
      <c r="N57" s="10">
        <f>IF(M57="","",IF(M57&lt;59.06,"是⚠","否"))</f>
        <v/>
      </c>
      <c r="O57" s="10">
        <f>IF(M57="","",IF(M57&lt;59.06,"减1组","正常"))</f>
        <v/>
      </c>
      <c r="P57" s="10">
        <f>IF(M57="","",IF(M57&lt;59.06,3-1,3))</f>
        <v/>
      </c>
      <c r="Q57" s="9" t="n">
        <v>1.45</v>
      </c>
      <c r="R57" s="9" t="n">
        <v>-0.00675</v>
      </c>
      <c r="S57" s="9" t="inlineStr">
        <is>
          <t>B</t>
        </is>
      </c>
      <c r="T57" s="10">
        <f>IFERROR(ROUND((0.55-1.45)/-0.00675,0.5),"")</f>
        <v/>
      </c>
    </row>
    <row r="58">
      <c r="A58" s="8" t="inlineStr">
        <is>
          <t>热身校准</t>
        </is>
      </c>
      <c r="B58" s="8" t="inlineStr">
        <is>
          <t>LVP_a</t>
        </is>
      </c>
      <c r="C58" s="8" t="inlineStr">
        <is>
          <t>LVP_b</t>
        </is>
      </c>
      <c r="D58" s="8" t="inlineStr">
        <is>
          <t>50%热身kg</t>
        </is>
      </c>
      <c r="E58" s="8" t="inlineStr">
        <is>
          <t>70%热身kg</t>
        </is>
      </c>
      <c r="F58" s="8" t="inlineStr">
        <is>
          <t>热身负荷kg</t>
        </is>
      </c>
      <c r="G58" s="8" t="inlineStr">
        <is>
          <t>实测MCV</t>
        </is>
      </c>
      <c r="H58" s="8" t="inlineStr">
        <is>
          <t>预测MCV</t>
        </is>
      </c>
      <c r="I58" s="8" t="inlineStr">
        <is>
          <t>Δv</t>
        </is>
      </c>
      <c r="J58" s="8" t="inlineStr">
        <is>
          <t>调整量kg</t>
        </is>
      </c>
      <c r="K58" s="8" t="inlineStr">
        <is>
          <t>校准后第1组kg</t>
        </is>
      </c>
    </row>
    <row r="59">
      <c r="A59" s="11" t="inlineStr"/>
      <c r="B59" s="11" t="n">
        <v>1.45</v>
      </c>
      <c r="C59" s="11" t="n">
        <v>-0.00675</v>
      </c>
      <c r="D59" s="10">
        <f>IFERROR(ROUND(T57*0.5,2.5),"")</f>
        <v/>
      </c>
      <c r="E59" s="10">
        <f>IFERROR(ROUND(T57*0.7,2.5),"")</f>
        <v/>
      </c>
      <c r="F59" s="10">
        <f>E59</f>
        <v/>
      </c>
      <c r="G59" s="9" t="n"/>
      <c r="H59" s="10">
        <f>IF(F59="","",B59+C59*F59)</f>
        <v/>
      </c>
      <c r="I59" s="10">
        <f>IF(OR(G59="",H59=""),"",G59-H59)</f>
        <v/>
      </c>
      <c r="J59" s="10">
        <f>IF(I59="","",IF(I59&gt;0.08,5,IF(I59&gt;0.04,2.5,IF(I59&gt;=-0.04,0,IF(I59&gt;=-0.08,-2.5,-5)))))</f>
        <v/>
      </c>
      <c r="K59" s="10">
        <f>IFERROR(ROUND(T57+J59,2.5),"")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8" t="inlineStr">
        <is>
          <t>组次</t>
        </is>
      </c>
      <c r="B60" s="8" t="inlineStr">
        <is>
          <t>负荷kg</t>
        </is>
      </c>
      <c r="C60" s="8" t="inlineStr">
        <is>
          <t>rep1</t>
        </is>
      </c>
      <c r="D60" s="8" t="inlineStr">
        <is>
          <t>rep2</t>
        </is>
      </c>
      <c r="E60" s="8" t="inlineStr">
        <is>
          <t>rep3</t>
        </is>
      </c>
      <c r="F60" s="8" t="inlineStr">
        <is>
          <t>rep4</t>
        </is>
      </c>
      <c r="G60" s="8" t="inlineStr">
        <is>
          <t>rep5</t>
        </is>
      </c>
      <c r="H60" s="8" t="inlineStr">
        <is>
          <t>rep6</t>
        </is>
      </c>
      <c r="I60" s="8" t="inlineStr">
        <is>
          <t>首rep</t>
        </is>
      </c>
      <c r="J60" s="8" t="inlineStr">
        <is>
          <t>最低速</t>
        </is>
      </c>
      <c r="K60" s="8" t="inlineStr">
        <is>
          <t>最低rep#</t>
        </is>
      </c>
      <c r="L60" s="8" t="inlineStr">
        <is>
          <t>VL%</t>
        </is>
      </c>
      <c r="M60" s="8" t="inlineStr">
        <is>
          <t>VL达标?</t>
        </is>
      </c>
      <c r="N60" s="8" t="inlineStr">
        <is>
          <t>安全停止?</t>
        </is>
      </c>
      <c r="O60" s="8" t="inlineStr">
        <is>
          <t>停组原因</t>
        </is>
      </c>
      <c r="P60" s="8" t="inlineStr">
        <is>
          <t>下组建议</t>
        </is>
      </c>
      <c r="Q60" s="8" t="inlineStr">
        <is>
          <t>实做次数</t>
        </is>
      </c>
    </row>
    <row r="61">
      <c r="A61" s="12" t="n">
        <v>1</v>
      </c>
      <c r="B61" s="10">
        <f>IF(K59="","",K59)</f>
        <v/>
      </c>
      <c r="C61" s="9" t="n"/>
      <c r="D61" s="9" t="n"/>
      <c r="E61" s="9" t="n"/>
      <c r="F61" s="9" t="n"/>
      <c r="G61" s="9" t="n"/>
      <c r="H61" s="9" t="n"/>
      <c r="I61" s="10">
        <f>IFERROR(INDEX(C61:H61,MATCH(TRUE,INDEX(C61:H61&lt;&gt;"",0),0)),"")</f>
        <v/>
      </c>
      <c r="J61" s="10">
        <f>IFERROR(MIN(IF(C61:H61&lt;&gt;"",C61:H61)),"")</f>
        <v/>
      </c>
      <c r="K61" s="10">
        <f>IFERROR(MATCH(I61,C61:H61,0),"")</f>
        <v/>
      </c>
      <c r="L61" s="10">
        <f>IF(OR(I61="",J61=""),"",ROUND((I61-J61)/I61*100,1))</f>
        <v/>
      </c>
      <c r="M61" s="10">
        <f>IF(L61="","",IF(L61&gt;=15,"是","否"))</f>
        <v/>
      </c>
      <c r="N61" s="10">
        <f>IF(J61="","",IF(J61&lt;0.15,"是","否"))</f>
        <v/>
      </c>
      <c r="O61" s="10">
        <f>IF(I61="","",IF(J61&lt;0.15,"SAFETY_STOP",IF(L61&gt;=15,"VL_THRESHOLD","PLANNED_END")))</f>
        <v/>
      </c>
      <c r="P61" s="10">
        <f>IF(I61="","",IF(I61&gt;($D$2+0.05),"+5kg",IF(I61&gt;($D$2+0.02),"+2.5kg",IF(I61&gt;=($D$2-0.05),"保持",IF(I61&gt;=($D$2-0.08),"-2.5kg","-5kg")))))</f>
        <v/>
      </c>
      <c r="Q61" s="9" t="n"/>
      <c r="R61" s="12" t="n"/>
      <c r="S61" s="12" t="n"/>
      <c r="T61" s="12" t="n"/>
    </row>
    <row r="62">
      <c r="A62" s="12" t="n">
        <v>2</v>
      </c>
      <c r="B62" s="9" t="n"/>
      <c r="C62" s="9" t="n"/>
      <c r="D62" s="9" t="n"/>
      <c r="E62" s="9" t="n"/>
      <c r="F62" s="9" t="n"/>
      <c r="G62" s="9" t="n"/>
      <c r="H62" s="9" t="n"/>
      <c r="I62" s="10">
        <f>IFERROR(INDEX(C62:H62,MATCH(TRUE,INDEX(C62:H62&lt;&gt;"",0),0)),"")</f>
        <v/>
      </c>
      <c r="J62" s="10">
        <f>IFERROR(MIN(IF(C62:H62&lt;&gt;"",C62:H62)),"")</f>
        <v/>
      </c>
      <c r="K62" s="10">
        <f>IFERROR(MATCH(I62,C62:H62,0),"")</f>
        <v/>
      </c>
      <c r="L62" s="10">
        <f>IF(OR(I62="",J62=""),"",ROUND((I62-J62)/I62*100,1))</f>
        <v/>
      </c>
      <c r="M62" s="10">
        <f>IF(L62="","",IF(L62&gt;=15,"是","否"))</f>
        <v/>
      </c>
      <c r="N62" s="10">
        <f>IF(J62="","",IF(J62&lt;0.15,"是","否"))</f>
        <v/>
      </c>
      <c r="O62" s="10">
        <f>IF(I62="","",IF(J62&lt;0.15,"SAFETY_STOP",IF(L62&gt;=15,"VL_THRESHOLD","PLANNED_END")))</f>
        <v/>
      </c>
      <c r="P62" s="10">
        <f>IF(I62="","",IF(I62&gt;($D$2+0.05),"+5kg",IF(I62&gt;($D$2+0.02),"+2.5kg",IF(I62&gt;=($D$2-0.05),"保持",IF(I62&gt;=($D$2-0.08),"-2.5kg","-5kg")))))</f>
        <v/>
      </c>
      <c r="Q62" s="9" t="n"/>
      <c r="R62" s="12" t="n"/>
      <c r="S62" s="12" t="n"/>
      <c r="T62" s="12" t="n"/>
    </row>
    <row r="63">
      <c r="A63" s="12" t="n">
        <v>3</v>
      </c>
      <c r="B63" s="9" t="n"/>
      <c r="C63" s="9" t="n"/>
      <c r="D63" s="9" t="n"/>
      <c r="E63" s="9" t="n"/>
      <c r="F63" s="9" t="n"/>
      <c r="G63" s="9" t="n"/>
      <c r="H63" s="9" t="n"/>
      <c r="I63" s="10">
        <f>IFERROR(INDEX(C63:H63,MATCH(TRUE,INDEX(C63:H63&lt;&gt;"",0),0)),"")</f>
        <v/>
      </c>
      <c r="J63" s="10">
        <f>IFERROR(MIN(IF(C63:H63&lt;&gt;"",C63:H63)),"")</f>
        <v/>
      </c>
      <c r="K63" s="10">
        <f>IFERROR(MATCH(I63,C63:H63,0),"")</f>
        <v/>
      </c>
      <c r="L63" s="10">
        <f>IF(OR(I63="",J63=""),"",ROUND((I63-J63)/I63*100,1))</f>
        <v/>
      </c>
      <c r="M63" s="10">
        <f>IF(L63="","",IF(L63&gt;=15,"是","否"))</f>
        <v/>
      </c>
      <c r="N63" s="10">
        <f>IF(J63="","",IF(J63&lt;0.15,"是","否"))</f>
        <v/>
      </c>
      <c r="O63" s="10">
        <f>IF(I63="","",IF(J63&lt;0.15,"SAFETY_STOP",IF(L63&gt;=15,"VL_THRESHOLD","PLANNED_END")))</f>
        <v/>
      </c>
      <c r="P63" s="10">
        <f>IF(I63="","",IF(I63&gt;($D$2+0.05),"+5kg",IF(I63&gt;($D$2+0.02),"+2.5kg",IF(I63&gt;=($D$2-0.05),"保持",IF(I63&gt;=($D$2-0.08),"-2.5kg","-5kg")))))</f>
        <v/>
      </c>
      <c r="Q63" s="9" t="n"/>
      <c r="R63" s="12" t="n"/>
      <c r="S63" s="12" t="n"/>
      <c r="T63" s="12" t="n"/>
    </row>
    <row r="64">
      <c r="A64" s="12" t="n">
        <v>4</v>
      </c>
      <c r="B64" s="9" t="n"/>
      <c r="C64" s="9" t="n"/>
      <c r="D64" s="9" t="n"/>
      <c r="E64" s="9" t="n"/>
      <c r="F64" s="9" t="n"/>
      <c r="G64" s="9" t="n"/>
      <c r="H64" s="9" t="n"/>
      <c r="I64" s="10">
        <f>IFERROR(INDEX(C64:H64,MATCH(TRUE,INDEX(C64:H64&lt;&gt;"",0),0)),"")</f>
        <v/>
      </c>
      <c r="J64" s="10">
        <f>IFERROR(MIN(IF(C64:H64&lt;&gt;"",C64:H64)),"")</f>
        <v/>
      </c>
      <c r="K64" s="10">
        <f>IFERROR(MATCH(I64,C64:H64,0),"")</f>
        <v/>
      </c>
      <c r="L64" s="10">
        <f>IF(OR(I64="",J64=""),"",ROUND((I64-J64)/I64*100,1))</f>
        <v/>
      </c>
      <c r="M64" s="10">
        <f>IF(L64="","",IF(L64&gt;=15,"是","否"))</f>
        <v/>
      </c>
      <c r="N64" s="10">
        <f>IF(J64="","",IF(J64&lt;0.15,"是","否"))</f>
        <v/>
      </c>
      <c r="O64" s="10">
        <f>IF(I64="","",IF(J64&lt;0.15,"SAFETY_STOP",IF(L64&gt;=15,"VL_THRESHOLD","PLANNED_END")))</f>
        <v/>
      </c>
      <c r="P64" s="10">
        <f>IF(I64="","",IF(I64&gt;($D$2+0.05),"+5kg",IF(I64&gt;($D$2+0.02),"+2.5kg",IF(I64&gt;=($D$2-0.05),"保持",IF(I64&gt;=($D$2-0.08),"-2.5kg","-5kg")))))</f>
        <v/>
      </c>
      <c r="Q64" s="9" t="n"/>
      <c r="R64" s="12" t="n"/>
      <c r="S64" s="12" t="n"/>
      <c r="T64" s="12" t="n"/>
    </row>
    <row r="65">
      <c r="A65" s="12" t="n">
        <v>5</v>
      </c>
      <c r="B65" s="9" t="n"/>
      <c r="C65" s="9" t="n"/>
      <c r="D65" s="9" t="n"/>
      <c r="E65" s="9" t="n"/>
      <c r="F65" s="9" t="n"/>
      <c r="G65" s="9" t="n"/>
      <c r="H65" s="9" t="n"/>
      <c r="I65" s="10">
        <f>IFERROR(INDEX(C65:H65,MATCH(TRUE,INDEX(C65:H65&lt;&gt;"",0),0)),"")</f>
        <v/>
      </c>
      <c r="J65" s="10">
        <f>IFERROR(MIN(IF(C65:H65&lt;&gt;"",C65:H65)),"")</f>
        <v/>
      </c>
      <c r="K65" s="10">
        <f>IFERROR(MATCH(I65,C65:H65,0),"")</f>
        <v/>
      </c>
      <c r="L65" s="10">
        <f>IF(OR(I65="",J65=""),"",ROUND((I65-J65)/I65*100,1))</f>
        <v/>
      </c>
      <c r="M65" s="10">
        <f>IF(L65="","",IF(L65&gt;=15,"是","否"))</f>
        <v/>
      </c>
      <c r="N65" s="10">
        <f>IF(J65="","",IF(J65&lt;0.15,"是","否"))</f>
        <v/>
      </c>
      <c r="O65" s="10">
        <f>IF(I65="","",IF(J65&lt;0.15,"SAFETY_STOP",IF(L65&gt;=15,"VL_THRESHOLD","PLANNED_END")))</f>
        <v/>
      </c>
      <c r="P65" s="10">
        <f>IF(I65="","",IF(I65&gt;($D$2+0.05),"+5kg",IF(I65&gt;($D$2+0.02),"+2.5kg",IF(I65&gt;=($D$2-0.05),"保持",IF(I65&gt;=($D$2-0.08),"-2.5kg","-5kg")))))</f>
        <v/>
      </c>
      <c r="Q65" s="9" t="n"/>
      <c r="R65" s="12" t="n"/>
      <c r="S65" s="12" t="n"/>
      <c r="T65" s="12" t="n"/>
    </row>
    <row r="66">
      <c r="A66" s="12" t="n">
        <v>6</v>
      </c>
      <c r="B66" s="9" t="n"/>
      <c r="C66" s="9" t="n"/>
      <c r="D66" s="9" t="n"/>
      <c r="E66" s="9" t="n"/>
      <c r="F66" s="9" t="n"/>
      <c r="G66" s="9" t="n"/>
      <c r="H66" s="9" t="n"/>
      <c r="I66" s="10">
        <f>IFERROR(INDEX(C66:H66,MATCH(TRUE,INDEX(C66:H66&lt;&gt;"",0),0)),"")</f>
        <v/>
      </c>
      <c r="J66" s="10">
        <f>IFERROR(MIN(IF(C66:H66&lt;&gt;"",C66:H66)),"")</f>
        <v/>
      </c>
      <c r="K66" s="10">
        <f>IFERROR(MATCH(I66,C66:H66,0),"")</f>
        <v/>
      </c>
      <c r="L66" s="10">
        <f>IF(OR(I66="",J66=""),"",ROUND((I66-J66)/I66*100,1))</f>
        <v/>
      </c>
      <c r="M66" s="10">
        <f>IF(L66="","",IF(L66&gt;=15,"是","否"))</f>
        <v/>
      </c>
      <c r="N66" s="10">
        <f>IF(J66="","",IF(J66&lt;0.15,"是","否"))</f>
        <v/>
      </c>
      <c r="O66" s="10">
        <f>IF(I66="","",IF(J66&lt;0.15,"SAFETY_STOP",IF(L66&gt;=15,"VL_THRESHOLD","PLANNED_END")))</f>
        <v/>
      </c>
      <c r="P66" s="10">
        <f>IF(I66="","",IF(I66&gt;($D$2+0.05),"+5kg",IF(I66&gt;($D$2+0.02),"+2.5kg",IF(I66&gt;=($D$2-0.05),"保持",IF(I66&gt;=($D$2-0.08),"-2.5kg","-5kg")))))</f>
        <v/>
      </c>
      <c r="Q66" s="9" t="n"/>
      <c r="R66" s="12" t="n"/>
      <c r="S66" s="12" t="n"/>
      <c r="T66" s="12" t="n"/>
    </row>
    <row r="67">
      <c r="A67" s="8" t="inlineStr">
        <is>
          <t>辅助动作</t>
        </is>
      </c>
      <c r="B67" s="8" t="inlineStr">
        <is>
          <t>动作名称</t>
        </is>
      </c>
      <c r="C67" s="8" t="inlineStr">
        <is>
          <t>负荷kg</t>
        </is>
      </c>
      <c r="D67" s="8" t="inlineStr">
        <is>
          <t>完成(组×次)</t>
        </is>
      </c>
    </row>
    <row r="68">
      <c r="A68" s="9" t="inlineStr"/>
      <c r="B68" s="9" t="n"/>
      <c r="C68" s="9" t="n"/>
      <c r="D68" s="9" t="n"/>
    </row>
    <row r="69">
      <c r="A69" s="8" t="inlineStr">
        <is>
          <t>训练后</t>
        </is>
      </c>
      <c r="B69" s="8" t="inlineStr">
        <is>
          <t>开始时间</t>
        </is>
      </c>
      <c r="C69" s="8" t="inlineStr">
        <is>
          <t>结束时间</t>
        </is>
      </c>
      <c r="D69" s="8" t="inlineStr">
        <is>
          <t>总时长min</t>
        </is>
      </c>
      <c r="E69" s="8" t="inlineStr">
        <is>
          <t>sRPE</t>
        </is>
      </c>
      <c r="F69" s="8" t="inlineStr">
        <is>
          <t>session_load</t>
        </is>
      </c>
      <c r="G69" s="8" t="inlineStr">
        <is>
          <t>有无不适</t>
        </is>
      </c>
      <c r="H69" s="8" t="inlineStr">
        <is>
          <t>备注</t>
        </is>
      </c>
      <c r="I69" s="8" t="inlineStr">
        <is>
          <t>研究员签名</t>
        </is>
      </c>
    </row>
    <row r="70">
      <c r="A70" s="13" t="inlineStr"/>
      <c r="B70" s="13" t="n"/>
      <c r="C70" s="13" t="n"/>
      <c r="D70" s="10">
        <f>IF(OR(B70="",C70=""),"",(C70-B70)*1440)</f>
        <v/>
      </c>
      <c r="E70" s="13" t="n"/>
      <c r="F70" s="10">
        <f>IF(OR(D70="",E70=""),"",D70*E70)</f>
        <v/>
      </c>
      <c r="G70" s="13" t="n"/>
      <c r="H70" s="13" t="n"/>
      <c r="I70" s="13" t="n"/>
    </row>
    <row r="72">
      <c r="A72" s="5" t="inlineStr">
        <is>
          <t>── P015 陈先栋 ──────────────────────────────────────────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7" t="n"/>
    </row>
    <row r="73">
      <c r="A73" s="8" t="inlineStr">
        <is>
          <t>编号</t>
        </is>
      </c>
      <c r="B73" s="8" t="inlineStr">
        <is>
          <t>姓名</t>
        </is>
      </c>
      <c r="C73" s="8" t="inlineStr">
        <is>
          <t>身高</t>
        </is>
      </c>
      <c r="D73" s="8" t="inlineStr">
        <is>
          <t>1RM</t>
        </is>
      </c>
      <c r="E73" s="8" t="inlineStr">
        <is>
          <t>睡眠</t>
        </is>
      </c>
      <c r="F73" s="8" t="inlineStr">
        <is>
          <t>压力</t>
        </is>
      </c>
      <c r="G73" s="8" t="inlineStr">
        <is>
          <t>疲劳</t>
        </is>
      </c>
      <c r="H73" s="8" t="inlineStr">
        <is>
          <t>酸痛</t>
        </is>
      </c>
      <c r="I73" s="8" t="inlineStr">
        <is>
          <t>Hooper总</t>
        </is>
      </c>
      <c r="J73" s="8" t="inlineStr">
        <is>
          <t>CMJ1</t>
        </is>
      </c>
      <c r="K73" s="8" t="inlineStr">
        <is>
          <t>CMJ2</t>
        </is>
      </c>
      <c r="L73" s="8" t="inlineStr">
        <is>
          <t>CMJ3</t>
        </is>
      </c>
      <c r="M73" s="8" t="inlineStr">
        <is>
          <t>CMJ均值</t>
        </is>
      </c>
      <c r="N73" s="8" t="inlineStr">
        <is>
          <t>&lt;95%?</t>
        </is>
      </c>
      <c r="O73" s="8" t="inlineStr">
        <is>
          <t>减组?</t>
        </is>
      </c>
      <c r="P73" s="8" t="inlineStr">
        <is>
          <t>实做组数</t>
        </is>
      </c>
      <c r="Q73" s="8" t="inlineStr">
        <is>
          <t>LVP_a</t>
        </is>
      </c>
      <c r="R73" s="8" t="inlineStr">
        <is>
          <t>LVP_b</t>
        </is>
      </c>
      <c r="S73" s="8" t="inlineStr">
        <is>
          <t>等级</t>
        </is>
      </c>
      <c r="T73" s="8" t="inlineStr">
        <is>
          <t>预测起始</t>
        </is>
      </c>
    </row>
    <row r="74">
      <c r="A74" s="9" t="inlineStr">
        <is>
          <t>P015</t>
        </is>
      </c>
      <c r="B74" s="9" t="inlineStr">
        <is>
          <t>陈先栋</t>
        </is>
      </c>
      <c r="C74" s="9" t="n">
        <v>175</v>
      </c>
      <c r="D74" s="9" t="n">
        <v>135</v>
      </c>
      <c r="E74" s="9" t="n"/>
      <c r="F74" s="9" t="n"/>
      <c r="G74" s="9" t="n"/>
      <c r="H74" s="9" t="n"/>
      <c r="I74" s="10">
        <f>IFERROR(SUM(E74:H74),"")</f>
        <v/>
      </c>
      <c r="J74" s="9" t="n"/>
      <c r="K74" s="9" t="n"/>
      <c r="L74" s="9" t="n"/>
      <c r="M74" s="10">
        <f>IFERROR(AVERAGE(J74:L74),"")</f>
        <v/>
      </c>
      <c r="N74" s="10">
        <f>IF(M74="","",IF(M74&lt;54.25,"是⚠","否"))</f>
        <v/>
      </c>
      <c r="O74" s="10">
        <f>IF(M74="","",IF(M74&lt;54.25,"减1组","正常"))</f>
        <v/>
      </c>
      <c r="P74" s="10">
        <f>IF(M74="","",IF(M74&lt;54.25,3-1,3))</f>
        <v/>
      </c>
      <c r="Q74" s="9" t="n">
        <v>1.77</v>
      </c>
      <c r="R74" s="9" t="n">
        <v>-0.01025</v>
      </c>
      <c r="S74" s="9" t="inlineStr">
        <is>
          <t>C</t>
        </is>
      </c>
      <c r="T74" s="10">
        <f>IFERROR(ROUND((0.55-1.77)/-0.01025,0.5),"")</f>
        <v/>
      </c>
    </row>
    <row r="75">
      <c r="A75" s="8" t="inlineStr">
        <is>
          <t>热身校准</t>
        </is>
      </c>
      <c r="B75" s="8" t="inlineStr">
        <is>
          <t>LVP_a</t>
        </is>
      </c>
      <c r="C75" s="8" t="inlineStr">
        <is>
          <t>LVP_b</t>
        </is>
      </c>
      <c r="D75" s="8" t="inlineStr">
        <is>
          <t>50%热身kg</t>
        </is>
      </c>
      <c r="E75" s="8" t="inlineStr">
        <is>
          <t>70%热身kg</t>
        </is>
      </c>
      <c r="F75" s="8" t="inlineStr">
        <is>
          <t>热身负荷kg</t>
        </is>
      </c>
      <c r="G75" s="8" t="inlineStr">
        <is>
          <t>实测MCV</t>
        </is>
      </c>
      <c r="H75" s="8" t="inlineStr">
        <is>
          <t>预测MCV</t>
        </is>
      </c>
      <c r="I75" s="8" t="inlineStr">
        <is>
          <t>Δv</t>
        </is>
      </c>
      <c r="J75" s="8" t="inlineStr">
        <is>
          <t>调整量kg</t>
        </is>
      </c>
      <c r="K75" s="8" t="inlineStr">
        <is>
          <t>校准后第1组kg</t>
        </is>
      </c>
    </row>
    <row r="76">
      <c r="A76" s="11" t="inlineStr"/>
      <c r="B76" s="11" t="n">
        <v>1.77</v>
      </c>
      <c r="C76" s="11" t="n">
        <v>-0.01025</v>
      </c>
      <c r="D76" s="10">
        <f>IFERROR(ROUND(T74*0.5,2.5),"")</f>
        <v/>
      </c>
      <c r="E76" s="10">
        <f>IFERROR(ROUND(T74*0.7,2.5),"")</f>
        <v/>
      </c>
      <c r="F76" s="10">
        <f>E76</f>
        <v/>
      </c>
      <c r="G76" s="9" t="n"/>
      <c r="H76" s="10">
        <f>IF(F76="","",B76+C76*F76)</f>
        <v/>
      </c>
      <c r="I76" s="10">
        <f>IF(OR(G76="",H76=""),"",G76-H76)</f>
        <v/>
      </c>
      <c r="J76" s="10">
        <f>IF(I76="","",IF(I76&gt;0.08,5,IF(I76&gt;0.04,2.5,IF(I76&gt;=-0.04,0,IF(I76&gt;=-0.08,-2.5,-5)))))</f>
        <v/>
      </c>
      <c r="K76" s="10">
        <f>IFERROR(ROUND(T74+J76,2.5),"")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8" t="inlineStr">
        <is>
          <t>组次</t>
        </is>
      </c>
      <c r="B77" s="8" t="inlineStr">
        <is>
          <t>负荷kg</t>
        </is>
      </c>
      <c r="C77" s="8" t="inlineStr">
        <is>
          <t>rep1</t>
        </is>
      </c>
      <c r="D77" s="8" t="inlineStr">
        <is>
          <t>rep2</t>
        </is>
      </c>
      <c r="E77" s="8" t="inlineStr">
        <is>
          <t>rep3</t>
        </is>
      </c>
      <c r="F77" s="8" t="inlineStr">
        <is>
          <t>rep4</t>
        </is>
      </c>
      <c r="G77" s="8" t="inlineStr">
        <is>
          <t>rep5</t>
        </is>
      </c>
      <c r="H77" s="8" t="inlineStr">
        <is>
          <t>rep6</t>
        </is>
      </c>
      <c r="I77" s="8" t="inlineStr">
        <is>
          <t>首rep</t>
        </is>
      </c>
      <c r="J77" s="8" t="inlineStr">
        <is>
          <t>最低速</t>
        </is>
      </c>
      <c r="K77" s="8" t="inlineStr">
        <is>
          <t>最低rep#</t>
        </is>
      </c>
      <c r="L77" s="8" t="inlineStr">
        <is>
          <t>VL%</t>
        </is>
      </c>
      <c r="M77" s="8" t="inlineStr">
        <is>
          <t>VL达标?</t>
        </is>
      </c>
      <c r="N77" s="8" t="inlineStr">
        <is>
          <t>安全停止?</t>
        </is>
      </c>
      <c r="O77" s="8" t="inlineStr">
        <is>
          <t>停组原因</t>
        </is>
      </c>
      <c r="P77" s="8" t="inlineStr">
        <is>
          <t>下组建议</t>
        </is>
      </c>
      <c r="Q77" s="8" t="inlineStr">
        <is>
          <t>实做次数</t>
        </is>
      </c>
    </row>
    <row r="78">
      <c r="A78" s="12" t="n">
        <v>1</v>
      </c>
      <c r="B78" s="10">
        <f>IF(K76="","",K76)</f>
        <v/>
      </c>
      <c r="C78" s="9" t="n"/>
      <c r="D78" s="9" t="n"/>
      <c r="E78" s="9" t="n"/>
      <c r="F78" s="9" t="n"/>
      <c r="G78" s="9" t="n"/>
      <c r="H78" s="9" t="n"/>
      <c r="I78" s="10">
        <f>IFERROR(INDEX(C78:H78,MATCH(TRUE,INDEX(C78:H78&lt;&gt;"",0),0)),"")</f>
        <v/>
      </c>
      <c r="J78" s="10">
        <f>IFERROR(MIN(IF(C78:H78&lt;&gt;"",C78:H78)),"")</f>
        <v/>
      </c>
      <c r="K78" s="10">
        <f>IFERROR(MATCH(I78,C78:H78,0),"")</f>
        <v/>
      </c>
      <c r="L78" s="10">
        <f>IF(OR(I78="",J78=""),"",ROUND((I78-J78)/I78*100,1))</f>
        <v/>
      </c>
      <c r="M78" s="10">
        <f>IF(L78="","",IF(L78&gt;=15,"是","否"))</f>
        <v/>
      </c>
      <c r="N78" s="10">
        <f>IF(J78="","",IF(J78&lt;0.15,"是","否"))</f>
        <v/>
      </c>
      <c r="O78" s="10">
        <f>IF(I78="","",IF(J78&lt;0.15,"SAFETY_STOP",IF(L78&gt;=15,"VL_THRESHOLD","PLANNED_END")))</f>
        <v/>
      </c>
      <c r="P78" s="10">
        <f>IF(I78="","",IF(I78&gt;($D$2+0.05),"+5kg",IF(I78&gt;($D$2+0.02),"+2.5kg",IF(I78&gt;=($D$2-0.05),"保持",IF(I78&gt;=($D$2-0.08),"-2.5kg","-5kg")))))</f>
        <v/>
      </c>
      <c r="Q78" s="9" t="n"/>
      <c r="R78" s="12" t="n"/>
      <c r="S78" s="12" t="n"/>
      <c r="T78" s="12" t="n"/>
    </row>
    <row r="79">
      <c r="A79" s="12" t="n">
        <v>2</v>
      </c>
      <c r="B79" s="9" t="n"/>
      <c r="C79" s="9" t="n"/>
      <c r="D79" s="9" t="n"/>
      <c r="E79" s="9" t="n"/>
      <c r="F79" s="9" t="n"/>
      <c r="G79" s="9" t="n"/>
      <c r="H79" s="9" t="n"/>
      <c r="I79" s="10">
        <f>IFERROR(INDEX(C79:H79,MATCH(TRUE,INDEX(C79:H79&lt;&gt;"",0),0)),"")</f>
        <v/>
      </c>
      <c r="J79" s="10">
        <f>IFERROR(MIN(IF(C79:H79&lt;&gt;"",C79:H79)),"")</f>
        <v/>
      </c>
      <c r="K79" s="10">
        <f>IFERROR(MATCH(I79,C79:H79,0),"")</f>
        <v/>
      </c>
      <c r="L79" s="10">
        <f>IF(OR(I79="",J79=""),"",ROUND((I79-J79)/I79*100,1))</f>
        <v/>
      </c>
      <c r="M79" s="10">
        <f>IF(L79="","",IF(L79&gt;=15,"是","否"))</f>
        <v/>
      </c>
      <c r="N79" s="10">
        <f>IF(J79="","",IF(J79&lt;0.15,"是","否"))</f>
        <v/>
      </c>
      <c r="O79" s="10">
        <f>IF(I79="","",IF(J79&lt;0.15,"SAFETY_STOP",IF(L79&gt;=15,"VL_THRESHOLD","PLANNED_END")))</f>
        <v/>
      </c>
      <c r="P79" s="10">
        <f>IF(I79="","",IF(I79&gt;($D$2+0.05),"+5kg",IF(I79&gt;($D$2+0.02),"+2.5kg",IF(I79&gt;=($D$2-0.05),"保持",IF(I79&gt;=($D$2-0.08),"-2.5kg","-5kg")))))</f>
        <v/>
      </c>
      <c r="Q79" s="9" t="n"/>
      <c r="R79" s="12" t="n"/>
      <c r="S79" s="12" t="n"/>
      <c r="T79" s="12" t="n"/>
    </row>
    <row r="80">
      <c r="A80" s="12" t="n">
        <v>3</v>
      </c>
      <c r="B80" s="9" t="n"/>
      <c r="C80" s="9" t="n"/>
      <c r="D80" s="9" t="n"/>
      <c r="E80" s="9" t="n"/>
      <c r="F80" s="9" t="n"/>
      <c r="G80" s="9" t="n"/>
      <c r="H80" s="9" t="n"/>
      <c r="I80" s="10">
        <f>IFERROR(INDEX(C80:H80,MATCH(TRUE,INDEX(C80:H80&lt;&gt;"",0),0)),"")</f>
        <v/>
      </c>
      <c r="J80" s="10">
        <f>IFERROR(MIN(IF(C80:H80&lt;&gt;"",C80:H80)),"")</f>
        <v/>
      </c>
      <c r="K80" s="10">
        <f>IFERROR(MATCH(I80,C80:H80,0),"")</f>
        <v/>
      </c>
      <c r="L80" s="10">
        <f>IF(OR(I80="",J80=""),"",ROUND((I80-J80)/I80*100,1))</f>
        <v/>
      </c>
      <c r="M80" s="10">
        <f>IF(L80="","",IF(L80&gt;=15,"是","否"))</f>
        <v/>
      </c>
      <c r="N80" s="10">
        <f>IF(J80="","",IF(J80&lt;0.15,"是","否"))</f>
        <v/>
      </c>
      <c r="O80" s="10">
        <f>IF(I80="","",IF(J80&lt;0.15,"SAFETY_STOP",IF(L80&gt;=15,"VL_THRESHOLD","PLANNED_END")))</f>
        <v/>
      </c>
      <c r="P80" s="10">
        <f>IF(I80="","",IF(I80&gt;($D$2+0.05),"+5kg",IF(I80&gt;($D$2+0.02),"+2.5kg",IF(I80&gt;=($D$2-0.05),"保持",IF(I80&gt;=($D$2-0.08),"-2.5kg","-5kg")))))</f>
        <v/>
      </c>
      <c r="Q80" s="9" t="n"/>
      <c r="R80" s="12" t="n"/>
      <c r="S80" s="12" t="n"/>
      <c r="T80" s="12" t="n"/>
    </row>
    <row r="81">
      <c r="A81" s="12" t="n">
        <v>4</v>
      </c>
      <c r="B81" s="9" t="n"/>
      <c r="C81" s="9" t="n"/>
      <c r="D81" s="9" t="n"/>
      <c r="E81" s="9" t="n"/>
      <c r="F81" s="9" t="n"/>
      <c r="G81" s="9" t="n"/>
      <c r="H81" s="9" t="n"/>
      <c r="I81" s="10">
        <f>IFERROR(INDEX(C81:H81,MATCH(TRUE,INDEX(C81:H81&lt;&gt;"",0),0)),"")</f>
        <v/>
      </c>
      <c r="J81" s="10">
        <f>IFERROR(MIN(IF(C81:H81&lt;&gt;"",C81:H81)),"")</f>
        <v/>
      </c>
      <c r="K81" s="10">
        <f>IFERROR(MATCH(I81,C81:H81,0),"")</f>
        <v/>
      </c>
      <c r="L81" s="10">
        <f>IF(OR(I81="",J81=""),"",ROUND((I81-J81)/I81*100,1))</f>
        <v/>
      </c>
      <c r="M81" s="10">
        <f>IF(L81="","",IF(L81&gt;=15,"是","否"))</f>
        <v/>
      </c>
      <c r="N81" s="10">
        <f>IF(J81="","",IF(J81&lt;0.15,"是","否"))</f>
        <v/>
      </c>
      <c r="O81" s="10">
        <f>IF(I81="","",IF(J81&lt;0.15,"SAFETY_STOP",IF(L81&gt;=15,"VL_THRESHOLD","PLANNED_END")))</f>
        <v/>
      </c>
      <c r="P81" s="10">
        <f>IF(I81="","",IF(I81&gt;($D$2+0.05),"+5kg",IF(I81&gt;($D$2+0.02),"+2.5kg",IF(I81&gt;=($D$2-0.05),"保持",IF(I81&gt;=($D$2-0.08),"-2.5kg","-5kg")))))</f>
        <v/>
      </c>
      <c r="Q81" s="9" t="n"/>
      <c r="R81" s="12" t="n"/>
      <c r="S81" s="12" t="n"/>
      <c r="T81" s="12" t="n"/>
    </row>
    <row r="82">
      <c r="A82" s="12" t="n">
        <v>5</v>
      </c>
      <c r="B82" s="9" t="n"/>
      <c r="C82" s="9" t="n"/>
      <c r="D82" s="9" t="n"/>
      <c r="E82" s="9" t="n"/>
      <c r="F82" s="9" t="n"/>
      <c r="G82" s="9" t="n"/>
      <c r="H82" s="9" t="n"/>
      <c r="I82" s="10">
        <f>IFERROR(INDEX(C82:H82,MATCH(TRUE,INDEX(C82:H82&lt;&gt;"",0),0)),"")</f>
        <v/>
      </c>
      <c r="J82" s="10">
        <f>IFERROR(MIN(IF(C82:H82&lt;&gt;"",C82:H82)),"")</f>
        <v/>
      </c>
      <c r="K82" s="10">
        <f>IFERROR(MATCH(I82,C82:H82,0),"")</f>
        <v/>
      </c>
      <c r="L82" s="10">
        <f>IF(OR(I82="",J82=""),"",ROUND((I82-J82)/I82*100,1))</f>
        <v/>
      </c>
      <c r="M82" s="10">
        <f>IF(L82="","",IF(L82&gt;=15,"是","否"))</f>
        <v/>
      </c>
      <c r="N82" s="10">
        <f>IF(J82="","",IF(J82&lt;0.15,"是","否"))</f>
        <v/>
      </c>
      <c r="O82" s="10">
        <f>IF(I82="","",IF(J82&lt;0.15,"SAFETY_STOP",IF(L82&gt;=15,"VL_THRESHOLD","PLANNED_END")))</f>
        <v/>
      </c>
      <c r="P82" s="10">
        <f>IF(I82="","",IF(I82&gt;($D$2+0.05),"+5kg",IF(I82&gt;($D$2+0.02),"+2.5kg",IF(I82&gt;=($D$2-0.05),"保持",IF(I82&gt;=($D$2-0.08),"-2.5kg","-5kg")))))</f>
        <v/>
      </c>
      <c r="Q82" s="9" t="n"/>
      <c r="R82" s="12" t="n"/>
      <c r="S82" s="12" t="n"/>
      <c r="T82" s="12" t="n"/>
    </row>
    <row r="83">
      <c r="A83" s="12" t="n">
        <v>6</v>
      </c>
      <c r="B83" s="9" t="n"/>
      <c r="C83" s="9" t="n"/>
      <c r="D83" s="9" t="n"/>
      <c r="E83" s="9" t="n"/>
      <c r="F83" s="9" t="n"/>
      <c r="G83" s="9" t="n"/>
      <c r="H83" s="9" t="n"/>
      <c r="I83" s="10">
        <f>IFERROR(INDEX(C83:H83,MATCH(TRUE,INDEX(C83:H83&lt;&gt;"",0),0)),"")</f>
        <v/>
      </c>
      <c r="J83" s="10">
        <f>IFERROR(MIN(IF(C83:H83&lt;&gt;"",C83:H83)),"")</f>
        <v/>
      </c>
      <c r="K83" s="10">
        <f>IFERROR(MATCH(I83,C83:H83,0),"")</f>
        <v/>
      </c>
      <c r="L83" s="10">
        <f>IF(OR(I83="",J83=""),"",ROUND((I83-J83)/I83*100,1))</f>
        <v/>
      </c>
      <c r="M83" s="10">
        <f>IF(L83="","",IF(L83&gt;=15,"是","否"))</f>
        <v/>
      </c>
      <c r="N83" s="10">
        <f>IF(J83="","",IF(J83&lt;0.15,"是","否"))</f>
        <v/>
      </c>
      <c r="O83" s="10">
        <f>IF(I83="","",IF(J83&lt;0.15,"SAFETY_STOP",IF(L83&gt;=15,"VL_THRESHOLD","PLANNED_END")))</f>
        <v/>
      </c>
      <c r="P83" s="10">
        <f>IF(I83="","",IF(I83&gt;($D$2+0.05),"+5kg",IF(I83&gt;($D$2+0.02),"+2.5kg",IF(I83&gt;=($D$2-0.05),"保持",IF(I83&gt;=($D$2-0.08),"-2.5kg","-5kg")))))</f>
        <v/>
      </c>
      <c r="Q83" s="9" t="n"/>
      <c r="R83" s="12" t="n"/>
      <c r="S83" s="12" t="n"/>
      <c r="T83" s="12" t="n"/>
    </row>
    <row r="84">
      <c r="A84" s="8" t="inlineStr">
        <is>
          <t>辅助动作</t>
        </is>
      </c>
      <c r="B84" s="8" t="inlineStr">
        <is>
          <t>动作名称</t>
        </is>
      </c>
      <c r="C84" s="8" t="inlineStr">
        <is>
          <t>负荷kg</t>
        </is>
      </c>
      <c r="D84" s="8" t="inlineStr">
        <is>
          <t>完成(组×次)</t>
        </is>
      </c>
    </row>
    <row r="85">
      <c r="A85" s="9" t="inlineStr"/>
      <c r="B85" s="9" t="n"/>
      <c r="C85" s="9" t="n"/>
      <c r="D85" s="9" t="n"/>
    </row>
    <row r="86">
      <c r="A86" s="8" t="inlineStr">
        <is>
          <t>训练后</t>
        </is>
      </c>
      <c r="B86" s="8" t="inlineStr">
        <is>
          <t>开始时间</t>
        </is>
      </c>
      <c r="C86" s="8" t="inlineStr">
        <is>
          <t>结束时间</t>
        </is>
      </c>
      <c r="D86" s="8" t="inlineStr">
        <is>
          <t>总时长min</t>
        </is>
      </c>
      <c r="E86" s="8" t="inlineStr">
        <is>
          <t>sRPE</t>
        </is>
      </c>
      <c r="F86" s="8" t="inlineStr">
        <is>
          <t>session_load</t>
        </is>
      </c>
      <c r="G86" s="8" t="inlineStr">
        <is>
          <t>有无不适</t>
        </is>
      </c>
      <c r="H86" s="8" t="inlineStr">
        <is>
          <t>备注</t>
        </is>
      </c>
      <c r="I86" s="8" t="inlineStr">
        <is>
          <t>研究员签名</t>
        </is>
      </c>
    </row>
    <row r="87">
      <c r="A87" s="13" t="inlineStr"/>
      <c r="B87" s="13" t="n"/>
      <c r="C87" s="13" t="n"/>
      <c r="D87" s="10">
        <f>IF(OR(B87="",C87=""),"",(C87-B87)*1440)</f>
        <v/>
      </c>
      <c r="E87" s="13" t="n"/>
      <c r="F87" s="10">
        <f>IF(OR(D87="",E87=""),"",D87*E87)</f>
        <v/>
      </c>
      <c r="G87" s="13" t="n"/>
      <c r="H87" s="13" t="n"/>
      <c r="I87" s="13" t="n"/>
    </row>
    <row r="89">
      <c r="A89" s="5" t="inlineStr">
        <is>
          <t>── P011 朱怀远 ──────────────────────────────────────────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" t="n"/>
    </row>
    <row r="90">
      <c r="A90" s="8" t="inlineStr">
        <is>
          <t>编号</t>
        </is>
      </c>
      <c r="B90" s="8" t="inlineStr">
        <is>
          <t>姓名</t>
        </is>
      </c>
      <c r="C90" s="8" t="inlineStr">
        <is>
          <t>身高</t>
        </is>
      </c>
      <c r="D90" s="8" t="inlineStr">
        <is>
          <t>1RM</t>
        </is>
      </c>
      <c r="E90" s="8" t="inlineStr">
        <is>
          <t>睡眠</t>
        </is>
      </c>
      <c r="F90" s="8" t="inlineStr">
        <is>
          <t>压力</t>
        </is>
      </c>
      <c r="G90" s="8" t="inlineStr">
        <is>
          <t>疲劳</t>
        </is>
      </c>
      <c r="H90" s="8" t="inlineStr">
        <is>
          <t>酸痛</t>
        </is>
      </c>
      <c r="I90" s="8" t="inlineStr">
        <is>
          <t>Hooper总</t>
        </is>
      </c>
      <c r="J90" s="8" t="inlineStr">
        <is>
          <t>CMJ1</t>
        </is>
      </c>
      <c r="K90" s="8" t="inlineStr">
        <is>
          <t>CMJ2</t>
        </is>
      </c>
      <c r="L90" s="8" t="inlineStr">
        <is>
          <t>CMJ3</t>
        </is>
      </c>
      <c r="M90" s="8" t="inlineStr">
        <is>
          <t>CMJ均值</t>
        </is>
      </c>
      <c r="N90" s="8" t="inlineStr">
        <is>
          <t>&lt;95%?</t>
        </is>
      </c>
      <c r="O90" s="8" t="inlineStr">
        <is>
          <t>减组?</t>
        </is>
      </c>
      <c r="P90" s="8" t="inlineStr">
        <is>
          <t>实做组数</t>
        </is>
      </c>
      <c r="Q90" s="8" t="inlineStr">
        <is>
          <t>LVP_a</t>
        </is>
      </c>
      <c r="R90" s="8" t="inlineStr">
        <is>
          <t>LVP_b</t>
        </is>
      </c>
      <c r="S90" s="8" t="inlineStr">
        <is>
          <t>等级</t>
        </is>
      </c>
      <c r="T90" s="8" t="inlineStr">
        <is>
          <t>预测起始</t>
        </is>
      </c>
    </row>
    <row r="91">
      <c r="A91" s="9" t="inlineStr">
        <is>
          <t>P011</t>
        </is>
      </c>
      <c r="B91" s="9" t="inlineStr">
        <is>
          <t>朱怀远</t>
        </is>
      </c>
      <c r="C91" s="9" t="n">
        <v>165</v>
      </c>
      <c r="D91" s="9" t="n">
        <v>125</v>
      </c>
      <c r="E91" s="9" t="n"/>
      <c r="F91" s="9" t="n"/>
      <c r="G91" s="9" t="n"/>
      <c r="H91" s="9" t="n"/>
      <c r="I91" s="10">
        <f>IFERROR(SUM(E91:H91),"")</f>
        <v/>
      </c>
      <c r="J91" s="9" t="n"/>
      <c r="K91" s="9" t="n"/>
      <c r="L91" s="9" t="n"/>
      <c r="M91" s="10">
        <f>IFERROR(AVERAGE(J91:L91),"")</f>
        <v/>
      </c>
      <c r="N91" s="10">
        <f>IF(M91="","",IF(M91&lt;64.98,"是⚠","否"))</f>
        <v/>
      </c>
      <c r="O91" s="10">
        <f>IF(M91="","",IF(M91&lt;64.98,"减1组","正常"))</f>
        <v/>
      </c>
      <c r="P91" s="10">
        <f>IF(M91="","",IF(M91&lt;64.98,3-1,3))</f>
        <v/>
      </c>
      <c r="Q91" s="9" t="n">
        <v>1.2583</v>
      </c>
      <c r="R91" s="9" t="n">
        <v>-0.006125</v>
      </c>
      <c r="S91" s="9" t="inlineStr">
        <is>
          <t>D</t>
        </is>
      </c>
      <c r="T91" s="10">
        <f>IFERROR(ROUND((0.55-1.2583)/-0.006125,0.5),"")</f>
        <v/>
      </c>
    </row>
    <row r="92">
      <c r="A92" s="8" t="inlineStr">
        <is>
          <t>热身校准</t>
        </is>
      </c>
      <c r="B92" s="8" t="inlineStr">
        <is>
          <t>LVP_a</t>
        </is>
      </c>
      <c r="C92" s="8" t="inlineStr">
        <is>
          <t>LVP_b</t>
        </is>
      </c>
      <c r="D92" s="8" t="inlineStr">
        <is>
          <t>50%热身kg</t>
        </is>
      </c>
      <c r="E92" s="8" t="inlineStr">
        <is>
          <t>70%热身kg</t>
        </is>
      </c>
      <c r="F92" s="8" t="inlineStr">
        <is>
          <t>热身负荷kg</t>
        </is>
      </c>
      <c r="G92" s="8" t="inlineStr">
        <is>
          <t>实测MCV</t>
        </is>
      </c>
      <c r="H92" s="8" t="inlineStr">
        <is>
          <t>预测MCV</t>
        </is>
      </c>
      <c r="I92" s="8" t="inlineStr">
        <is>
          <t>Δv</t>
        </is>
      </c>
      <c r="J92" s="8" t="inlineStr">
        <is>
          <t>调整量kg</t>
        </is>
      </c>
      <c r="K92" s="8" t="inlineStr">
        <is>
          <t>校准后第1组kg</t>
        </is>
      </c>
    </row>
    <row r="93">
      <c r="A93" s="11" t="inlineStr"/>
      <c r="B93" s="11" t="n">
        <v>1.2583</v>
      </c>
      <c r="C93" s="11" t="n">
        <v>-0.006125</v>
      </c>
      <c r="D93" s="10">
        <f>IFERROR(ROUND(T91*0.5,2.5),"")</f>
        <v/>
      </c>
      <c r="E93" s="10">
        <f>IFERROR(ROUND(T91*0.7,2.5),"")</f>
        <v/>
      </c>
      <c r="F93" s="10">
        <f>E93</f>
        <v/>
      </c>
      <c r="G93" s="9" t="n"/>
      <c r="H93" s="10">
        <f>IF(F93="","",B93+C93*F93)</f>
        <v/>
      </c>
      <c r="I93" s="10">
        <f>IF(OR(G93="",H93=""),"",G93-H93)</f>
        <v/>
      </c>
      <c r="J93" s="10">
        <f>IF(I93="","",IF(I93&gt;0.08,5,IF(I93&gt;0.04,2.5,IF(I93&gt;=-0.04,0,IF(I93&gt;=-0.08,-2.5,-5)))))</f>
        <v/>
      </c>
      <c r="K93" s="10">
        <f>IFERROR(ROUND(T91+J93,2.5),"")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8" t="inlineStr">
        <is>
          <t>组次</t>
        </is>
      </c>
      <c r="B94" s="8" t="inlineStr">
        <is>
          <t>负荷kg</t>
        </is>
      </c>
      <c r="C94" s="8" t="inlineStr">
        <is>
          <t>rep1</t>
        </is>
      </c>
      <c r="D94" s="8" t="inlineStr">
        <is>
          <t>rep2</t>
        </is>
      </c>
      <c r="E94" s="8" t="inlineStr">
        <is>
          <t>rep3</t>
        </is>
      </c>
      <c r="F94" s="8" t="inlineStr">
        <is>
          <t>rep4</t>
        </is>
      </c>
      <c r="G94" s="8" t="inlineStr">
        <is>
          <t>rep5</t>
        </is>
      </c>
      <c r="H94" s="8" t="inlineStr">
        <is>
          <t>rep6</t>
        </is>
      </c>
      <c r="I94" s="8" t="inlineStr">
        <is>
          <t>首rep</t>
        </is>
      </c>
      <c r="J94" s="8" t="inlineStr">
        <is>
          <t>最低速</t>
        </is>
      </c>
      <c r="K94" s="8" t="inlineStr">
        <is>
          <t>最低rep#</t>
        </is>
      </c>
      <c r="L94" s="8" t="inlineStr">
        <is>
          <t>VL%</t>
        </is>
      </c>
      <c r="M94" s="8" t="inlineStr">
        <is>
          <t>VL达标?</t>
        </is>
      </c>
      <c r="N94" s="8" t="inlineStr">
        <is>
          <t>安全停止?</t>
        </is>
      </c>
      <c r="O94" s="8" t="inlineStr">
        <is>
          <t>停组原因</t>
        </is>
      </c>
      <c r="P94" s="8" t="inlineStr">
        <is>
          <t>下组建议</t>
        </is>
      </c>
      <c r="Q94" s="8" t="inlineStr">
        <is>
          <t>实做次数</t>
        </is>
      </c>
    </row>
    <row r="95">
      <c r="A95" s="12" t="n">
        <v>1</v>
      </c>
      <c r="B95" s="10">
        <f>IF(K93="","",K93)</f>
        <v/>
      </c>
      <c r="C95" s="9" t="n"/>
      <c r="D95" s="9" t="n"/>
      <c r="E95" s="9" t="n"/>
      <c r="F95" s="9" t="n"/>
      <c r="G95" s="9" t="n"/>
      <c r="H95" s="9" t="n"/>
      <c r="I95" s="10">
        <f>IFERROR(INDEX(C95:H95,MATCH(TRUE,INDEX(C95:H95&lt;&gt;"",0),0)),"")</f>
        <v/>
      </c>
      <c r="J95" s="10">
        <f>IFERROR(MIN(IF(C95:H95&lt;&gt;"",C95:H95)),"")</f>
        <v/>
      </c>
      <c r="K95" s="10">
        <f>IFERROR(MATCH(I95,C95:H95,0),"")</f>
        <v/>
      </c>
      <c r="L95" s="10">
        <f>IF(OR(I95="",J95=""),"",ROUND((I95-J95)/I95*100,1))</f>
        <v/>
      </c>
      <c r="M95" s="10">
        <f>IF(L95="","",IF(L95&gt;=15,"是","否"))</f>
        <v/>
      </c>
      <c r="N95" s="10">
        <f>IF(J95="","",IF(J95&lt;0.15,"是","否"))</f>
        <v/>
      </c>
      <c r="O95" s="10">
        <f>IF(I95="","",IF(J95&lt;0.15,"SAFETY_STOP",IF(L95&gt;=15,"VL_THRESHOLD","PLANNED_END")))</f>
        <v/>
      </c>
      <c r="P95" s="10">
        <f>IF(I95="","",IF(I95&gt;($D$2+0.05),"+5kg",IF(I95&gt;($D$2+0.02),"+2.5kg",IF(I95&gt;=($D$2-0.05),"保持",IF(I95&gt;=($D$2-0.08),"-2.5kg","-5kg")))))</f>
        <v/>
      </c>
      <c r="Q95" s="9" t="n"/>
      <c r="R95" s="12" t="n"/>
      <c r="S95" s="12" t="n"/>
      <c r="T95" s="12" t="n"/>
    </row>
    <row r="96">
      <c r="A96" s="12" t="n">
        <v>2</v>
      </c>
      <c r="B96" s="9" t="n"/>
      <c r="C96" s="9" t="n"/>
      <c r="D96" s="9" t="n"/>
      <c r="E96" s="9" t="n"/>
      <c r="F96" s="9" t="n"/>
      <c r="G96" s="9" t="n"/>
      <c r="H96" s="9" t="n"/>
      <c r="I96" s="10">
        <f>IFERROR(INDEX(C96:H96,MATCH(TRUE,INDEX(C96:H96&lt;&gt;"",0),0)),"")</f>
        <v/>
      </c>
      <c r="J96" s="10">
        <f>IFERROR(MIN(IF(C96:H96&lt;&gt;"",C96:H96)),"")</f>
        <v/>
      </c>
      <c r="K96" s="10">
        <f>IFERROR(MATCH(I96,C96:H96,0),"")</f>
        <v/>
      </c>
      <c r="L96" s="10">
        <f>IF(OR(I96="",J96=""),"",ROUND((I96-J96)/I96*100,1))</f>
        <v/>
      </c>
      <c r="M96" s="10">
        <f>IF(L96="","",IF(L96&gt;=15,"是","否"))</f>
        <v/>
      </c>
      <c r="N96" s="10">
        <f>IF(J96="","",IF(J96&lt;0.15,"是","否"))</f>
        <v/>
      </c>
      <c r="O96" s="10">
        <f>IF(I96="","",IF(J96&lt;0.15,"SAFETY_STOP",IF(L96&gt;=15,"VL_THRESHOLD","PLANNED_END")))</f>
        <v/>
      </c>
      <c r="P96" s="10">
        <f>IF(I96="","",IF(I96&gt;($D$2+0.05),"+5kg",IF(I96&gt;($D$2+0.02),"+2.5kg",IF(I96&gt;=($D$2-0.05),"保持",IF(I96&gt;=($D$2-0.08),"-2.5kg","-5kg")))))</f>
        <v/>
      </c>
      <c r="Q96" s="9" t="n"/>
      <c r="R96" s="12" t="n"/>
      <c r="S96" s="12" t="n"/>
      <c r="T96" s="12" t="n"/>
    </row>
    <row r="97">
      <c r="A97" s="12" t="n">
        <v>3</v>
      </c>
      <c r="B97" s="9" t="n"/>
      <c r="C97" s="9" t="n"/>
      <c r="D97" s="9" t="n"/>
      <c r="E97" s="9" t="n"/>
      <c r="F97" s="9" t="n"/>
      <c r="G97" s="9" t="n"/>
      <c r="H97" s="9" t="n"/>
      <c r="I97" s="10">
        <f>IFERROR(INDEX(C97:H97,MATCH(TRUE,INDEX(C97:H97&lt;&gt;"",0),0)),"")</f>
        <v/>
      </c>
      <c r="J97" s="10">
        <f>IFERROR(MIN(IF(C97:H97&lt;&gt;"",C97:H97)),"")</f>
        <v/>
      </c>
      <c r="K97" s="10">
        <f>IFERROR(MATCH(I97,C97:H97,0),"")</f>
        <v/>
      </c>
      <c r="L97" s="10">
        <f>IF(OR(I97="",J97=""),"",ROUND((I97-J97)/I97*100,1))</f>
        <v/>
      </c>
      <c r="M97" s="10">
        <f>IF(L97="","",IF(L97&gt;=15,"是","否"))</f>
        <v/>
      </c>
      <c r="N97" s="10">
        <f>IF(J97="","",IF(J97&lt;0.15,"是","否"))</f>
        <v/>
      </c>
      <c r="O97" s="10">
        <f>IF(I97="","",IF(J97&lt;0.15,"SAFETY_STOP",IF(L97&gt;=15,"VL_THRESHOLD","PLANNED_END")))</f>
        <v/>
      </c>
      <c r="P97" s="10">
        <f>IF(I97="","",IF(I97&gt;($D$2+0.05),"+5kg",IF(I97&gt;($D$2+0.02),"+2.5kg",IF(I97&gt;=($D$2-0.05),"保持",IF(I97&gt;=($D$2-0.08),"-2.5kg","-5kg")))))</f>
        <v/>
      </c>
      <c r="Q97" s="9" t="n"/>
      <c r="R97" s="12" t="n"/>
      <c r="S97" s="12" t="n"/>
      <c r="T97" s="12" t="n"/>
    </row>
    <row r="98">
      <c r="A98" s="12" t="n">
        <v>4</v>
      </c>
      <c r="B98" s="9" t="n"/>
      <c r="C98" s="9" t="n"/>
      <c r="D98" s="9" t="n"/>
      <c r="E98" s="9" t="n"/>
      <c r="F98" s="9" t="n"/>
      <c r="G98" s="9" t="n"/>
      <c r="H98" s="9" t="n"/>
      <c r="I98" s="10">
        <f>IFERROR(INDEX(C98:H98,MATCH(TRUE,INDEX(C98:H98&lt;&gt;"",0),0)),"")</f>
        <v/>
      </c>
      <c r="J98" s="10">
        <f>IFERROR(MIN(IF(C98:H98&lt;&gt;"",C98:H98)),"")</f>
        <v/>
      </c>
      <c r="K98" s="10">
        <f>IFERROR(MATCH(I98,C98:H98,0),"")</f>
        <v/>
      </c>
      <c r="L98" s="10">
        <f>IF(OR(I98="",J98=""),"",ROUND((I98-J98)/I98*100,1))</f>
        <v/>
      </c>
      <c r="M98" s="10">
        <f>IF(L98="","",IF(L98&gt;=15,"是","否"))</f>
        <v/>
      </c>
      <c r="N98" s="10">
        <f>IF(J98="","",IF(J98&lt;0.15,"是","否"))</f>
        <v/>
      </c>
      <c r="O98" s="10">
        <f>IF(I98="","",IF(J98&lt;0.15,"SAFETY_STOP",IF(L98&gt;=15,"VL_THRESHOLD","PLANNED_END")))</f>
        <v/>
      </c>
      <c r="P98" s="10">
        <f>IF(I98="","",IF(I98&gt;($D$2+0.05),"+5kg",IF(I98&gt;($D$2+0.02),"+2.5kg",IF(I98&gt;=($D$2-0.05),"保持",IF(I98&gt;=($D$2-0.08),"-2.5kg","-5kg")))))</f>
        <v/>
      </c>
      <c r="Q98" s="9" t="n"/>
      <c r="R98" s="12" t="n"/>
      <c r="S98" s="12" t="n"/>
      <c r="T98" s="12" t="n"/>
    </row>
    <row r="99">
      <c r="A99" s="12" t="n">
        <v>5</v>
      </c>
      <c r="B99" s="9" t="n"/>
      <c r="C99" s="9" t="n"/>
      <c r="D99" s="9" t="n"/>
      <c r="E99" s="9" t="n"/>
      <c r="F99" s="9" t="n"/>
      <c r="G99" s="9" t="n"/>
      <c r="H99" s="9" t="n"/>
      <c r="I99" s="10">
        <f>IFERROR(INDEX(C99:H99,MATCH(TRUE,INDEX(C99:H99&lt;&gt;"",0),0)),"")</f>
        <v/>
      </c>
      <c r="J99" s="10">
        <f>IFERROR(MIN(IF(C99:H99&lt;&gt;"",C99:H99)),"")</f>
        <v/>
      </c>
      <c r="K99" s="10">
        <f>IFERROR(MATCH(I99,C99:H99,0),"")</f>
        <v/>
      </c>
      <c r="L99" s="10">
        <f>IF(OR(I99="",J99=""),"",ROUND((I99-J99)/I99*100,1))</f>
        <v/>
      </c>
      <c r="M99" s="10">
        <f>IF(L99="","",IF(L99&gt;=15,"是","否"))</f>
        <v/>
      </c>
      <c r="N99" s="10">
        <f>IF(J99="","",IF(J99&lt;0.15,"是","否"))</f>
        <v/>
      </c>
      <c r="O99" s="10">
        <f>IF(I99="","",IF(J99&lt;0.15,"SAFETY_STOP",IF(L99&gt;=15,"VL_THRESHOLD","PLANNED_END")))</f>
        <v/>
      </c>
      <c r="P99" s="10">
        <f>IF(I99="","",IF(I99&gt;($D$2+0.05),"+5kg",IF(I99&gt;($D$2+0.02),"+2.5kg",IF(I99&gt;=($D$2-0.05),"保持",IF(I99&gt;=($D$2-0.08),"-2.5kg","-5kg")))))</f>
        <v/>
      </c>
      <c r="Q99" s="9" t="n"/>
      <c r="R99" s="12" t="n"/>
      <c r="S99" s="12" t="n"/>
      <c r="T99" s="12" t="n"/>
    </row>
    <row r="100">
      <c r="A100" s="12" t="n">
        <v>6</v>
      </c>
      <c r="B100" s="9" t="n"/>
      <c r="C100" s="9" t="n"/>
      <c r="D100" s="9" t="n"/>
      <c r="E100" s="9" t="n"/>
      <c r="F100" s="9" t="n"/>
      <c r="G100" s="9" t="n"/>
      <c r="H100" s="9" t="n"/>
      <c r="I100" s="10">
        <f>IFERROR(INDEX(C100:H100,MATCH(TRUE,INDEX(C100:H100&lt;&gt;"",0),0)),"")</f>
        <v/>
      </c>
      <c r="J100" s="10">
        <f>IFERROR(MIN(IF(C100:H100&lt;&gt;"",C100:H100)),"")</f>
        <v/>
      </c>
      <c r="K100" s="10">
        <f>IFERROR(MATCH(I100,C100:H100,0),"")</f>
        <v/>
      </c>
      <c r="L100" s="10">
        <f>IF(OR(I100="",J100=""),"",ROUND((I100-J100)/I100*100,1))</f>
        <v/>
      </c>
      <c r="M100" s="10">
        <f>IF(L100="","",IF(L100&gt;=15,"是","否"))</f>
        <v/>
      </c>
      <c r="N100" s="10">
        <f>IF(J100="","",IF(J100&lt;0.15,"是","否"))</f>
        <v/>
      </c>
      <c r="O100" s="10">
        <f>IF(I100="","",IF(J100&lt;0.15,"SAFETY_STOP",IF(L100&gt;=15,"VL_THRESHOLD","PLANNED_END")))</f>
        <v/>
      </c>
      <c r="P100" s="10">
        <f>IF(I100="","",IF(I100&gt;($D$2+0.05),"+5kg",IF(I100&gt;($D$2+0.02),"+2.5kg",IF(I100&gt;=($D$2-0.05),"保持",IF(I100&gt;=($D$2-0.08),"-2.5kg","-5kg")))))</f>
        <v/>
      </c>
      <c r="Q100" s="9" t="n"/>
      <c r="R100" s="12" t="n"/>
      <c r="S100" s="12" t="n"/>
      <c r="T100" s="12" t="n"/>
    </row>
    <row r="101">
      <c r="A101" s="8" t="inlineStr">
        <is>
          <t>辅助动作</t>
        </is>
      </c>
      <c r="B101" s="8" t="inlineStr">
        <is>
          <t>动作名称</t>
        </is>
      </c>
      <c r="C101" s="8" t="inlineStr">
        <is>
          <t>负荷kg</t>
        </is>
      </c>
      <c r="D101" s="8" t="inlineStr">
        <is>
          <t>完成(组×次)</t>
        </is>
      </c>
    </row>
    <row r="102">
      <c r="A102" s="9" t="inlineStr"/>
      <c r="B102" s="9" t="n"/>
      <c r="C102" s="9" t="n"/>
      <c r="D102" s="9" t="n"/>
    </row>
    <row r="103">
      <c r="A103" s="8" t="inlineStr">
        <is>
          <t>训练后</t>
        </is>
      </c>
      <c r="B103" s="8" t="inlineStr">
        <is>
          <t>开始时间</t>
        </is>
      </c>
      <c r="C103" s="8" t="inlineStr">
        <is>
          <t>结束时间</t>
        </is>
      </c>
      <c r="D103" s="8" t="inlineStr">
        <is>
          <t>总时长min</t>
        </is>
      </c>
      <c r="E103" s="8" t="inlineStr">
        <is>
          <t>sRPE</t>
        </is>
      </c>
      <c r="F103" s="8" t="inlineStr">
        <is>
          <t>session_load</t>
        </is>
      </c>
      <c r="G103" s="8" t="inlineStr">
        <is>
          <t>有无不适</t>
        </is>
      </c>
      <c r="H103" s="8" t="inlineStr">
        <is>
          <t>备注</t>
        </is>
      </c>
      <c r="I103" s="8" t="inlineStr">
        <is>
          <t>研究员签名</t>
        </is>
      </c>
    </row>
    <row r="104">
      <c r="A104" s="13" t="inlineStr"/>
      <c r="B104" s="13" t="n"/>
      <c r="C104" s="13" t="n"/>
      <c r="D104" s="10">
        <f>IF(OR(B104="",C104=""),"",(C104-B104)*1440)</f>
        <v/>
      </c>
      <c r="E104" s="13" t="n"/>
      <c r="F104" s="10">
        <f>IF(OR(D104="",E104=""),"",D104*E104)</f>
        <v/>
      </c>
      <c r="G104" s="13" t="n"/>
      <c r="H104" s="13" t="n"/>
      <c r="I104" s="13" t="n"/>
    </row>
    <row r="106">
      <c r="A106" s="5" t="inlineStr">
        <is>
          <t>── P016 杜遥 ──────────────────────────────────────────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7" t="n"/>
    </row>
    <row r="107">
      <c r="A107" s="8" t="inlineStr">
        <is>
          <t>编号</t>
        </is>
      </c>
      <c r="B107" s="8" t="inlineStr">
        <is>
          <t>姓名</t>
        </is>
      </c>
      <c r="C107" s="8" t="inlineStr">
        <is>
          <t>身高</t>
        </is>
      </c>
      <c r="D107" s="8" t="inlineStr">
        <is>
          <t>1RM</t>
        </is>
      </c>
      <c r="E107" s="8" t="inlineStr">
        <is>
          <t>睡眠</t>
        </is>
      </c>
      <c r="F107" s="8" t="inlineStr">
        <is>
          <t>压力</t>
        </is>
      </c>
      <c r="G107" s="8" t="inlineStr">
        <is>
          <t>疲劳</t>
        </is>
      </c>
      <c r="H107" s="8" t="inlineStr">
        <is>
          <t>酸痛</t>
        </is>
      </c>
      <c r="I107" s="8" t="inlineStr">
        <is>
          <t>Hooper总</t>
        </is>
      </c>
      <c r="J107" s="8" t="inlineStr">
        <is>
          <t>CMJ1</t>
        </is>
      </c>
      <c r="K107" s="8" t="inlineStr">
        <is>
          <t>CMJ2</t>
        </is>
      </c>
      <c r="L107" s="8" t="inlineStr">
        <is>
          <t>CMJ3</t>
        </is>
      </c>
      <c r="M107" s="8" t="inlineStr">
        <is>
          <t>CMJ均值</t>
        </is>
      </c>
      <c r="N107" s="8" t="inlineStr">
        <is>
          <t>&lt;95%?</t>
        </is>
      </c>
      <c r="O107" s="8" t="inlineStr">
        <is>
          <t>减组?</t>
        </is>
      </c>
      <c r="P107" s="8" t="inlineStr">
        <is>
          <t>实做组数</t>
        </is>
      </c>
      <c r="Q107" s="8" t="inlineStr">
        <is>
          <t>LVP_a</t>
        </is>
      </c>
      <c r="R107" s="8" t="inlineStr">
        <is>
          <t>LVP_b</t>
        </is>
      </c>
      <c r="S107" s="8" t="inlineStr">
        <is>
          <t>等级</t>
        </is>
      </c>
      <c r="T107" s="8" t="inlineStr">
        <is>
          <t>预测起始</t>
        </is>
      </c>
    </row>
    <row r="108">
      <c r="A108" s="9" t="inlineStr">
        <is>
          <t>P016</t>
        </is>
      </c>
      <c r="B108" s="9" t="inlineStr">
        <is>
          <t>杜遥</t>
        </is>
      </c>
      <c r="C108" s="9" t="n">
        <v>180</v>
      </c>
      <c r="D108" s="9" t="n">
        <v>135</v>
      </c>
      <c r="E108" s="9" t="n"/>
      <c r="F108" s="9" t="n"/>
      <c r="G108" s="9" t="n"/>
      <c r="H108" s="9" t="n"/>
      <c r="I108" s="10">
        <f>IFERROR(SUM(E108:H108),"")</f>
        <v/>
      </c>
      <c r="J108" s="9" t="n"/>
      <c r="K108" s="9" t="n"/>
      <c r="L108" s="9" t="n"/>
      <c r="M108" s="10">
        <f>IFERROR(AVERAGE(J108:L108),"")</f>
        <v/>
      </c>
      <c r="N108" s="10">
        <f>IF(M108="","",IF(M108&lt;49.75,"是⚠","否"))</f>
        <v/>
      </c>
      <c r="O108" s="10">
        <f>IF(M108="","",IF(M108&lt;49.75,"减1组","正常"))</f>
        <v/>
      </c>
      <c r="P108" s="10">
        <f>IF(M108="","",IF(M108&lt;49.75,3-1,3))</f>
        <v/>
      </c>
      <c r="Q108" s="9" t="n">
        <v>1.54</v>
      </c>
      <c r="R108" s="9" t="n">
        <v>-0.008500000000000001</v>
      </c>
      <c r="S108" s="9" t="inlineStr">
        <is>
          <t>B</t>
        </is>
      </c>
      <c r="T108" s="10">
        <f>IFERROR(ROUND((0.55-1.54)/-0.0085,0.5),"")</f>
        <v/>
      </c>
    </row>
    <row r="109">
      <c r="A109" s="8" t="inlineStr">
        <is>
          <t>热身校准</t>
        </is>
      </c>
      <c r="B109" s="8" t="inlineStr">
        <is>
          <t>LVP_a</t>
        </is>
      </c>
      <c r="C109" s="8" t="inlineStr">
        <is>
          <t>LVP_b</t>
        </is>
      </c>
      <c r="D109" s="8" t="inlineStr">
        <is>
          <t>50%热身kg</t>
        </is>
      </c>
      <c r="E109" s="8" t="inlineStr">
        <is>
          <t>70%热身kg</t>
        </is>
      </c>
      <c r="F109" s="8" t="inlineStr">
        <is>
          <t>热身负荷kg</t>
        </is>
      </c>
      <c r="G109" s="8" t="inlineStr">
        <is>
          <t>实测MCV</t>
        </is>
      </c>
      <c r="H109" s="8" t="inlineStr">
        <is>
          <t>预测MCV</t>
        </is>
      </c>
      <c r="I109" s="8" t="inlineStr">
        <is>
          <t>Δv</t>
        </is>
      </c>
      <c r="J109" s="8" t="inlineStr">
        <is>
          <t>调整量kg</t>
        </is>
      </c>
      <c r="K109" s="8" t="inlineStr">
        <is>
          <t>校准后第1组kg</t>
        </is>
      </c>
    </row>
    <row r="110">
      <c r="A110" s="11" t="inlineStr"/>
      <c r="B110" s="11" t="n">
        <v>1.54</v>
      </c>
      <c r="C110" s="11" t="n">
        <v>-0.008500000000000001</v>
      </c>
      <c r="D110" s="10">
        <f>IFERROR(ROUND(T108*0.5,2.5),"")</f>
        <v/>
      </c>
      <c r="E110" s="10">
        <f>IFERROR(ROUND(T108*0.7,2.5),"")</f>
        <v/>
      </c>
      <c r="F110" s="10">
        <f>E110</f>
        <v/>
      </c>
      <c r="G110" s="9" t="n"/>
      <c r="H110" s="10">
        <f>IF(F110="","",B110+C110*F110)</f>
        <v/>
      </c>
      <c r="I110" s="10">
        <f>IF(OR(G110="",H110=""),"",G110-H110)</f>
        <v/>
      </c>
      <c r="J110" s="10">
        <f>IF(I110="","",IF(I110&gt;0.08,5,IF(I110&gt;0.04,2.5,IF(I110&gt;=-0.04,0,IF(I110&gt;=-0.08,-2.5,-5)))))</f>
        <v/>
      </c>
      <c r="K110" s="10">
        <f>IFERROR(ROUND(T108+J110,2.5),"")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8" t="inlineStr">
        <is>
          <t>组次</t>
        </is>
      </c>
      <c r="B111" s="8" t="inlineStr">
        <is>
          <t>负荷kg</t>
        </is>
      </c>
      <c r="C111" s="8" t="inlineStr">
        <is>
          <t>rep1</t>
        </is>
      </c>
      <c r="D111" s="8" t="inlineStr">
        <is>
          <t>rep2</t>
        </is>
      </c>
      <c r="E111" s="8" t="inlineStr">
        <is>
          <t>rep3</t>
        </is>
      </c>
      <c r="F111" s="8" t="inlineStr">
        <is>
          <t>rep4</t>
        </is>
      </c>
      <c r="G111" s="8" t="inlineStr">
        <is>
          <t>rep5</t>
        </is>
      </c>
      <c r="H111" s="8" t="inlineStr">
        <is>
          <t>rep6</t>
        </is>
      </c>
      <c r="I111" s="8" t="inlineStr">
        <is>
          <t>首rep</t>
        </is>
      </c>
      <c r="J111" s="8" t="inlineStr">
        <is>
          <t>最低速</t>
        </is>
      </c>
      <c r="K111" s="8" t="inlineStr">
        <is>
          <t>最低rep#</t>
        </is>
      </c>
      <c r="L111" s="8" t="inlineStr">
        <is>
          <t>VL%</t>
        </is>
      </c>
      <c r="M111" s="8" t="inlineStr">
        <is>
          <t>VL达标?</t>
        </is>
      </c>
      <c r="N111" s="8" t="inlineStr">
        <is>
          <t>安全停止?</t>
        </is>
      </c>
      <c r="O111" s="8" t="inlineStr">
        <is>
          <t>停组原因</t>
        </is>
      </c>
      <c r="P111" s="8" t="inlineStr">
        <is>
          <t>下组建议</t>
        </is>
      </c>
      <c r="Q111" s="8" t="inlineStr">
        <is>
          <t>实做次数</t>
        </is>
      </c>
    </row>
    <row r="112">
      <c r="A112" s="12" t="n">
        <v>1</v>
      </c>
      <c r="B112" s="10">
        <f>IF(K110="","",K110)</f>
        <v/>
      </c>
      <c r="C112" s="9" t="n"/>
      <c r="D112" s="9" t="n"/>
      <c r="E112" s="9" t="n"/>
      <c r="F112" s="9" t="n"/>
      <c r="G112" s="9" t="n"/>
      <c r="H112" s="9" t="n"/>
      <c r="I112" s="10">
        <f>IFERROR(INDEX(C112:H112,MATCH(TRUE,INDEX(C112:H112&lt;&gt;"",0),0)),"")</f>
        <v/>
      </c>
      <c r="J112" s="10">
        <f>IFERROR(MIN(IF(C112:H112&lt;&gt;"",C112:H112)),"")</f>
        <v/>
      </c>
      <c r="K112" s="10">
        <f>IFERROR(MATCH(I112,C112:H112,0),"")</f>
        <v/>
      </c>
      <c r="L112" s="10">
        <f>IF(OR(I112="",J112=""),"",ROUND((I112-J112)/I112*100,1))</f>
        <v/>
      </c>
      <c r="M112" s="10">
        <f>IF(L112="","",IF(L112&gt;=15,"是","否"))</f>
        <v/>
      </c>
      <c r="N112" s="10">
        <f>IF(J112="","",IF(J112&lt;0.15,"是","否"))</f>
        <v/>
      </c>
      <c r="O112" s="10">
        <f>IF(I112="","",IF(J112&lt;0.15,"SAFETY_STOP",IF(L112&gt;=15,"VL_THRESHOLD","PLANNED_END")))</f>
        <v/>
      </c>
      <c r="P112" s="10">
        <f>IF(I112="","",IF(I112&gt;($D$2+0.05),"+5kg",IF(I112&gt;($D$2+0.02),"+2.5kg",IF(I112&gt;=($D$2-0.05),"保持",IF(I112&gt;=($D$2-0.08),"-2.5kg","-5kg")))))</f>
        <v/>
      </c>
      <c r="Q112" s="9" t="n"/>
      <c r="R112" s="12" t="n"/>
      <c r="S112" s="12" t="n"/>
      <c r="T112" s="12" t="n"/>
    </row>
    <row r="113">
      <c r="A113" s="12" t="n">
        <v>2</v>
      </c>
      <c r="B113" s="9" t="n"/>
      <c r="C113" s="9" t="n"/>
      <c r="D113" s="9" t="n"/>
      <c r="E113" s="9" t="n"/>
      <c r="F113" s="9" t="n"/>
      <c r="G113" s="9" t="n"/>
      <c r="H113" s="9" t="n"/>
      <c r="I113" s="10">
        <f>IFERROR(INDEX(C113:H113,MATCH(TRUE,INDEX(C113:H113&lt;&gt;"",0),0)),"")</f>
        <v/>
      </c>
      <c r="J113" s="10">
        <f>IFERROR(MIN(IF(C113:H113&lt;&gt;"",C113:H113)),"")</f>
        <v/>
      </c>
      <c r="K113" s="10">
        <f>IFERROR(MATCH(I113,C113:H113,0),"")</f>
        <v/>
      </c>
      <c r="L113" s="10">
        <f>IF(OR(I113="",J113=""),"",ROUND((I113-J113)/I113*100,1))</f>
        <v/>
      </c>
      <c r="M113" s="10">
        <f>IF(L113="","",IF(L113&gt;=15,"是","否"))</f>
        <v/>
      </c>
      <c r="N113" s="10">
        <f>IF(J113="","",IF(J113&lt;0.15,"是","否"))</f>
        <v/>
      </c>
      <c r="O113" s="10">
        <f>IF(I113="","",IF(J113&lt;0.15,"SAFETY_STOP",IF(L113&gt;=15,"VL_THRESHOLD","PLANNED_END")))</f>
        <v/>
      </c>
      <c r="P113" s="10">
        <f>IF(I113="","",IF(I113&gt;($D$2+0.05),"+5kg",IF(I113&gt;($D$2+0.02),"+2.5kg",IF(I113&gt;=($D$2-0.05),"保持",IF(I113&gt;=($D$2-0.08),"-2.5kg","-5kg")))))</f>
        <v/>
      </c>
      <c r="Q113" s="9" t="n"/>
      <c r="R113" s="12" t="n"/>
      <c r="S113" s="12" t="n"/>
      <c r="T113" s="12" t="n"/>
    </row>
    <row r="114">
      <c r="A114" s="12" t="n">
        <v>3</v>
      </c>
      <c r="B114" s="9" t="n"/>
      <c r="C114" s="9" t="n"/>
      <c r="D114" s="9" t="n"/>
      <c r="E114" s="9" t="n"/>
      <c r="F114" s="9" t="n"/>
      <c r="G114" s="9" t="n"/>
      <c r="H114" s="9" t="n"/>
      <c r="I114" s="10">
        <f>IFERROR(INDEX(C114:H114,MATCH(TRUE,INDEX(C114:H114&lt;&gt;"",0),0)),"")</f>
        <v/>
      </c>
      <c r="J114" s="10">
        <f>IFERROR(MIN(IF(C114:H114&lt;&gt;"",C114:H114)),"")</f>
        <v/>
      </c>
      <c r="K114" s="10">
        <f>IFERROR(MATCH(I114,C114:H114,0),"")</f>
        <v/>
      </c>
      <c r="L114" s="10">
        <f>IF(OR(I114="",J114=""),"",ROUND((I114-J114)/I114*100,1))</f>
        <v/>
      </c>
      <c r="M114" s="10">
        <f>IF(L114="","",IF(L114&gt;=15,"是","否"))</f>
        <v/>
      </c>
      <c r="N114" s="10">
        <f>IF(J114="","",IF(J114&lt;0.15,"是","否"))</f>
        <v/>
      </c>
      <c r="O114" s="10">
        <f>IF(I114="","",IF(J114&lt;0.15,"SAFETY_STOP",IF(L114&gt;=15,"VL_THRESHOLD","PLANNED_END")))</f>
        <v/>
      </c>
      <c r="P114" s="10">
        <f>IF(I114="","",IF(I114&gt;($D$2+0.05),"+5kg",IF(I114&gt;($D$2+0.02),"+2.5kg",IF(I114&gt;=($D$2-0.05),"保持",IF(I114&gt;=($D$2-0.08),"-2.5kg","-5kg")))))</f>
        <v/>
      </c>
      <c r="Q114" s="9" t="n"/>
      <c r="R114" s="12" t="n"/>
      <c r="S114" s="12" t="n"/>
      <c r="T114" s="12" t="n"/>
    </row>
    <row r="115">
      <c r="A115" s="12" t="n">
        <v>4</v>
      </c>
      <c r="B115" s="9" t="n"/>
      <c r="C115" s="9" t="n"/>
      <c r="D115" s="9" t="n"/>
      <c r="E115" s="9" t="n"/>
      <c r="F115" s="9" t="n"/>
      <c r="G115" s="9" t="n"/>
      <c r="H115" s="9" t="n"/>
      <c r="I115" s="10">
        <f>IFERROR(INDEX(C115:H115,MATCH(TRUE,INDEX(C115:H115&lt;&gt;"",0),0)),"")</f>
        <v/>
      </c>
      <c r="J115" s="10">
        <f>IFERROR(MIN(IF(C115:H115&lt;&gt;"",C115:H115)),"")</f>
        <v/>
      </c>
      <c r="K115" s="10">
        <f>IFERROR(MATCH(I115,C115:H115,0),"")</f>
        <v/>
      </c>
      <c r="L115" s="10">
        <f>IF(OR(I115="",J115=""),"",ROUND((I115-J115)/I115*100,1))</f>
        <v/>
      </c>
      <c r="M115" s="10">
        <f>IF(L115="","",IF(L115&gt;=15,"是","否"))</f>
        <v/>
      </c>
      <c r="N115" s="10">
        <f>IF(J115="","",IF(J115&lt;0.15,"是","否"))</f>
        <v/>
      </c>
      <c r="O115" s="10">
        <f>IF(I115="","",IF(J115&lt;0.15,"SAFETY_STOP",IF(L115&gt;=15,"VL_THRESHOLD","PLANNED_END")))</f>
        <v/>
      </c>
      <c r="P115" s="10">
        <f>IF(I115="","",IF(I115&gt;($D$2+0.05),"+5kg",IF(I115&gt;($D$2+0.02),"+2.5kg",IF(I115&gt;=($D$2-0.05),"保持",IF(I115&gt;=($D$2-0.08),"-2.5kg","-5kg")))))</f>
        <v/>
      </c>
      <c r="Q115" s="9" t="n"/>
      <c r="R115" s="12" t="n"/>
      <c r="S115" s="12" t="n"/>
      <c r="T115" s="12" t="n"/>
    </row>
    <row r="116">
      <c r="A116" s="12" t="n">
        <v>5</v>
      </c>
      <c r="B116" s="9" t="n"/>
      <c r="C116" s="9" t="n"/>
      <c r="D116" s="9" t="n"/>
      <c r="E116" s="9" t="n"/>
      <c r="F116" s="9" t="n"/>
      <c r="G116" s="9" t="n"/>
      <c r="H116" s="9" t="n"/>
      <c r="I116" s="10">
        <f>IFERROR(INDEX(C116:H116,MATCH(TRUE,INDEX(C116:H116&lt;&gt;"",0),0)),"")</f>
        <v/>
      </c>
      <c r="J116" s="10">
        <f>IFERROR(MIN(IF(C116:H116&lt;&gt;"",C116:H116)),"")</f>
        <v/>
      </c>
      <c r="K116" s="10">
        <f>IFERROR(MATCH(I116,C116:H116,0),"")</f>
        <v/>
      </c>
      <c r="L116" s="10">
        <f>IF(OR(I116="",J116=""),"",ROUND((I116-J116)/I116*100,1))</f>
        <v/>
      </c>
      <c r="M116" s="10">
        <f>IF(L116="","",IF(L116&gt;=15,"是","否"))</f>
        <v/>
      </c>
      <c r="N116" s="10">
        <f>IF(J116="","",IF(J116&lt;0.15,"是","否"))</f>
        <v/>
      </c>
      <c r="O116" s="10">
        <f>IF(I116="","",IF(J116&lt;0.15,"SAFETY_STOP",IF(L116&gt;=15,"VL_THRESHOLD","PLANNED_END")))</f>
        <v/>
      </c>
      <c r="P116" s="10">
        <f>IF(I116="","",IF(I116&gt;($D$2+0.05),"+5kg",IF(I116&gt;($D$2+0.02),"+2.5kg",IF(I116&gt;=($D$2-0.05),"保持",IF(I116&gt;=($D$2-0.08),"-2.5kg","-5kg")))))</f>
        <v/>
      </c>
      <c r="Q116" s="9" t="n"/>
      <c r="R116" s="12" t="n"/>
      <c r="S116" s="12" t="n"/>
      <c r="T116" s="12" t="n"/>
    </row>
    <row r="117">
      <c r="A117" s="12" t="n">
        <v>6</v>
      </c>
      <c r="B117" s="9" t="n"/>
      <c r="C117" s="9" t="n"/>
      <c r="D117" s="9" t="n"/>
      <c r="E117" s="9" t="n"/>
      <c r="F117" s="9" t="n"/>
      <c r="G117" s="9" t="n"/>
      <c r="H117" s="9" t="n"/>
      <c r="I117" s="10">
        <f>IFERROR(INDEX(C117:H117,MATCH(TRUE,INDEX(C117:H117&lt;&gt;"",0),0)),"")</f>
        <v/>
      </c>
      <c r="J117" s="10">
        <f>IFERROR(MIN(IF(C117:H117&lt;&gt;"",C117:H117)),"")</f>
        <v/>
      </c>
      <c r="K117" s="10">
        <f>IFERROR(MATCH(I117,C117:H117,0),"")</f>
        <v/>
      </c>
      <c r="L117" s="10">
        <f>IF(OR(I117="",J117=""),"",ROUND((I117-J117)/I117*100,1))</f>
        <v/>
      </c>
      <c r="M117" s="10">
        <f>IF(L117="","",IF(L117&gt;=15,"是","否"))</f>
        <v/>
      </c>
      <c r="N117" s="10">
        <f>IF(J117="","",IF(J117&lt;0.15,"是","否"))</f>
        <v/>
      </c>
      <c r="O117" s="10">
        <f>IF(I117="","",IF(J117&lt;0.15,"SAFETY_STOP",IF(L117&gt;=15,"VL_THRESHOLD","PLANNED_END")))</f>
        <v/>
      </c>
      <c r="P117" s="10">
        <f>IF(I117="","",IF(I117&gt;($D$2+0.05),"+5kg",IF(I117&gt;($D$2+0.02),"+2.5kg",IF(I117&gt;=($D$2-0.05),"保持",IF(I117&gt;=($D$2-0.08),"-2.5kg","-5kg")))))</f>
        <v/>
      </c>
      <c r="Q117" s="9" t="n"/>
      <c r="R117" s="12" t="n"/>
      <c r="S117" s="12" t="n"/>
      <c r="T117" s="12" t="n"/>
    </row>
    <row r="118">
      <c r="A118" s="8" t="inlineStr">
        <is>
          <t>辅助动作</t>
        </is>
      </c>
      <c r="B118" s="8" t="inlineStr">
        <is>
          <t>动作名称</t>
        </is>
      </c>
      <c r="C118" s="8" t="inlineStr">
        <is>
          <t>负荷kg</t>
        </is>
      </c>
      <c r="D118" s="8" t="inlineStr">
        <is>
          <t>完成(组×次)</t>
        </is>
      </c>
    </row>
    <row r="119">
      <c r="A119" s="9" t="inlineStr"/>
      <c r="B119" s="9" t="n"/>
      <c r="C119" s="9" t="n"/>
      <c r="D119" s="9" t="n"/>
    </row>
    <row r="120">
      <c r="A120" s="8" t="inlineStr">
        <is>
          <t>训练后</t>
        </is>
      </c>
      <c r="B120" s="8" t="inlineStr">
        <is>
          <t>开始时间</t>
        </is>
      </c>
      <c r="C120" s="8" t="inlineStr">
        <is>
          <t>结束时间</t>
        </is>
      </c>
      <c r="D120" s="8" t="inlineStr">
        <is>
          <t>总时长min</t>
        </is>
      </c>
      <c r="E120" s="8" t="inlineStr">
        <is>
          <t>sRPE</t>
        </is>
      </c>
      <c r="F120" s="8" t="inlineStr">
        <is>
          <t>session_load</t>
        </is>
      </c>
      <c r="G120" s="8" t="inlineStr">
        <is>
          <t>有无不适</t>
        </is>
      </c>
      <c r="H120" s="8" t="inlineStr">
        <is>
          <t>备注</t>
        </is>
      </c>
      <c r="I120" s="8" t="inlineStr">
        <is>
          <t>研究员签名</t>
        </is>
      </c>
    </row>
    <row r="121">
      <c r="A121" s="13" t="inlineStr"/>
      <c r="B121" s="13" t="n"/>
      <c r="C121" s="13" t="n"/>
      <c r="D121" s="10">
        <f>IF(OR(B121="",C121=""),"",(C121-B121)*1440)</f>
        <v/>
      </c>
      <c r="E121" s="13" t="n"/>
      <c r="F121" s="10">
        <f>IF(OR(D121="",E121=""),"",D121*E121)</f>
        <v/>
      </c>
      <c r="G121" s="13" t="n"/>
      <c r="H121" s="13" t="n"/>
      <c r="I121" s="13" t="n"/>
    </row>
    <row r="123">
      <c r="A123" s="5" t="inlineStr">
        <is>
          <t>── P025 范芳忠 ──────────────────────────────────────────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7" t="n"/>
    </row>
    <row r="124">
      <c r="A124" s="8" t="inlineStr">
        <is>
          <t>编号</t>
        </is>
      </c>
      <c r="B124" s="8" t="inlineStr">
        <is>
          <t>姓名</t>
        </is>
      </c>
      <c r="C124" s="8" t="inlineStr">
        <is>
          <t>身高</t>
        </is>
      </c>
      <c r="D124" s="8" t="inlineStr">
        <is>
          <t>1RM</t>
        </is>
      </c>
      <c r="E124" s="8" t="inlineStr">
        <is>
          <t>睡眠</t>
        </is>
      </c>
      <c r="F124" s="8" t="inlineStr">
        <is>
          <t>压力</t>
        </is>
      </c>
      <c r="G124" s="8" t="inlineStr">
        <is>
          <t>疲劳</t>
        </is>
      </c>
      <c r="H124" s="8" t="inlineStr">
        <is>
          <t>酸痛</t>
        </is>
      </c>
      <c r="I124" s="8" t="inlineStr">
        <is>
          <t>Hooper总</t>
        </is>
      </c>
      <c r="J124" s="8" t="inlineStr">
        <is>
          <t>CMJ1</t>
        </is>
      </c>
      <c r="K124" s="8" t="inlineStr">
        <is>
          <t>CMJ2</t>
        </is>
      </c>
      <c r="L124" s="8" t="inlineStr">
        <is>
          <t>CMJ3</t>
        </is>
      </c>
      <c r="M124" s="8" t="inlineStr">
        <is>
          <t>CMJ均值</t>
        </is>
      </c>
      <c r="N124" s="8" t="inlineStr">
        <is>
          <t>&lt;95%?</t>
        </is>
      </c>
      <c r="O124" s="8" t="inlineStr">
        <is>
          <t>减组?</t>
        </is>
      </c>
      <c r="P124" s="8" t="inlineStr">
        <is>
          <t>实做组数</t>
        </is>
      </c>
      <c r="Q124" s="8" t="inlineStr">
        <is>
          <t>LVP_a</t>
        </is>
      </c>
      <c r="R124" s="8" t="inlineStr">
        <is>
          <t>LVP_b</t>
        </is>
      </c>
      <c r="S124" s="8" t="inlineStr">
        <is>
          <t>等级</t>
        </is>
      </c>
      <c r="T124" s="8" t="inlineStr">
        <is>
          <t>预测起始</t>
        </is>
      </c>
    </row>
    <row r="125">
      <c r="A125" s="9" t="inlineStr">
        <is>
          <t>P025</t>
        </is>
      </c>
      <c r="B125" s="9" t="inlineStr">
        <is>
          <t>范芳忠</t>
        </is>
      </c>
      <c r="C125" s="9" t="n">
        <v>178</v>
      </c>
      <c r="D125" s="9" t="n">
        <v>135</v>
      </c>
      <c r="E125" s="9" t="n"/>
      <c r="F125" s="9" t="n"/>
      <c r="G125" s="9" t="n"/>
      <c r="H125" s="9" t="n"/>
      <c r="I125" s="10">
        <f>IFERROR(SUM(E125:H125),"")</f>
        <v/>
      </c>
      <c r="J125" s="9" t="n"/>
      <c r="K125" s="9" t="n"/>
      <c r="L125" s="9" t="n"/>
      <c r="M125" s="10">
        <f>IFERROR(AVERAGE(J125:L125),"")</f>
        <v/>
      </c>
      <c r="N125" s="10">
        <f>IF(M125="","",IF(M125&lt;58.43,"是⚠","否"))</f>
        <v/>
      </c>
      <c r="O125" s="10">
        <f>IF(M125="","",IF(M125&lt;58.43,"减1组","正常"))</f>
        <v/>
      </c>
      <c r="P125" s="10">
        <f>IF(M125="","",IF(M125&lt;58.43,3-1,3))</f>
        <v/>
      </c>
      <c r="Q125" s="9" t="n">
        <v>1.77</v>
      </c>
      <c r="R125" s="9" t="n">
        <v>-0.0105</v>
      </c>
      <c r="S125" s="9" t="inlineStr">
        <is>
          <t>A</t>
        </is>
      </c>
      <c r="T125" s="10">
        <f>IFERROR(ROUND((0.55-1.77)/-0.0105,0.5),"")</f>
        <v/>
      </c>
    </row>
    <row r="126">
      <c r="A126" s="8" t="inlineStr">
        <is>
          <t>热身校准</t>
        </is>
      </c>
      <c r="B126" s="8" t="inlineStr">
        <is>
          <t>LVP_a</t>
        </is>
      </c>
      <c r="C126" s="8" t="inlineStr">
        <is>
          <t>LVP_b</t>
        </is>
      </c>
      <c r="D126" s="8" t="inlineStr">
        <is>
          <t>50%热身kg</t>
        </is>
      </c>
      <c r="E126" s="8" t="inlineStr">
        <is>
          <t>70%热身kg</t>
        </is>
      </c>
      <c r="F126" s="8" t="inlineStr">
        <is>
          <t>热身负荷kg</t>
        </is>
      </c>
      <c r="G126" s="8" t="inlineStr">
        <is>
          <t>实测MCV</t>
        </is>
      </c>
      <c r="H126" s="8" t="inlineStr">
        <is>
          <t>预测MCV</t>
        </is>
      </c>
      <c r="I126" s="8" t="inlineStr">
        <is>
          <t>Δv</t>
        </is>
      </c>
      <c r="J126" s="8" t="inlineStr">
        <is>
          <t>调整量kg</t>
        </is>
      </c>
      <c r="K126" s="8" t="inlineStr">
        <is>
          <t>校准后第1组kg</t>
        </is>
      </c>
    </row>
    <row r="127">
      <c r="A127" s="11" t="inlineStr"/>
      <c r="B127" s="11" t="n">
        <v>1.77</v>
      </c>
      <c r="C127" s="11" t="n">
        <v>-0.0105</v>
      </c>
      <c r="D127" s="10">
        <f>IFERROR(ROUND(T125*0.5,2.5),"")</f>
        <v/>
      </c>
      <c r="E127" s="10">
        <f>IFERROR(ROUND(T125*0.7,2.5),"")</f>
        <v/>
      </c>
      <c r="F127" s="10">
        <f>E127</f>
        <v/>
      </c>
      <c r="G127" s="9" t="n"/>
      <c r="H127" s="10">
        <f>IF(F127="","",B127+C127*F127)</f>
        <v/>
      </c>
      <c r="I127" s="10">
        <f>IF(OR(G127="",H127=""),"",G127-H127)</f>
        <v/>
      </c>
      <c r="J127" s="10">
        <f>IF(I127="","",IF(I127&gt;0.08,5,IF(I127&gt;0.04,2.5,IF(I127&gt;=-0.04,0,IF(I127&gt;=-0.08,-2.5,-5)))))</f>
        <v/>
      </c>
      <c r="K127" s="10">
        <f>IFERROR(ROUND(T125+J127,2.5),"")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8" t="inlineStr">
        <is>
          <t>组次</t>
        </is>
      </c>
      <c r="B128" s="8" t="inlineStr">
        <is>
          <t>负荷kg</t>
        </is>
      </c>
      <c r="C128" s="8" t="inlineStr">
        <is>
          <t>rep1</t>
        </is>
      </c>
      <c r="D128" s="8" t="inlineStr">
        <is>
          <t>rep2</t>
        </is>
      </c>
      <c r="E128" s="8" t="inlineStr">
        <is>
          <t>rep3</t>
        </is>
      </c>
      <c r="F128" s="8" t="inlineStr">
        <is>
          <t>rep4</t>
        </is>
      </c>
      <c r="G128" s="8" t="inlineStr">
        <is>
          <t>rep5</t>
        </is>
      </c>
      <c r="H128" s="8" t="inlineStr">
        <is>
          <t>rep6</t>
        </is>
      </c>
      <c r="I128" s="8" t="inlineStr">
        <is>
          <t>首rep</t>
        </is>
      </c>
      <c r="J128" s="8" t="inlineStr">
        <is>
          <t>最低速</t>
        </is>
      </c>
      <c r="K128" s="8" t="inlineStr">
        <is>
          <t>最低rep#</t>
        </is>
      </c>
      <c r="L128" s="8" t="inlineStr">
        <is>
          <t>VL%</t>
        </is>
      </c>
      <c r="M128" s="8" t="inlineStr">
        <is>
          <t>VL达标?</t>
        </is>
      </c>
      <c r="N128" s="8" t="inlineStr">
        <is>
          <t>安全停止?</t>
        </is>
      </c>
      <c r="O128" s="8" t="inlineStr">
        <is>
          <t>停组原因</t>
        </is>
      </c>
      <c r="P128" s="8" t="inlineStr">
        <is>
          <t>下组建议</t>
        </is>
      </c>
      <c r="Q128" s="8" t="inlineStr">
        <is>
          <t>实做次数</t>
        </is>
      </c>
    </row>
    <row r="129">
      <c r="A129" s="12" t="n">
        <v>1</v>
      </c>
      <c r="B129" s="10">
        <f>IF(K127="","",K127)</f>
        <v/>
      </c>
      <c r="C129" s="9" t="n"/>
      <c r="D129" s="9" t="n"/>
      <c r="E129" s="9" t="n"/>
      <c r="F129" s="9" t="n"/>
      <c r="G129" s="9" t="n"/>
      <c r="H129" s="9" t="n"/>
      <c r="I129" s="10">
        <f>IFERROR(INDEX(C129:H129,MATCH(TRUE,INDEX(C129:H129&lt;&gt;"",0),0)),"")</f>
        <v/>
      </c>
      <c r="J129" s="10">
        <f>IFERROR(MIN(IF(C129:H129&lt;&gt;"",C129:H129)),"")</f>
        <v/>
      </c>
      <c r="K129" s="10">
        <f>IFERROR(MATCH(I129,C129:H129,0),"")</f>
        <v/>
      </c>
      <c r="L129" s="10">
        <f>IF(OR(I129="",J129=""),"",ROUND((I129-J129)/I129*100,1))</f>
        <v/>
      </c>
      <c r="M129" s="10">
        <f>IF(L129="","",IF(L129&gt;=15,"是","否"))</f>
        <v/>
      </c>
      <c r="N129" s="10">
        <f>IF(J129="","",IF(J129&lt;0.15,"是","否"))</f>
        <v/>
      </c>
      <c r="O129" s="10">
        <f>IF(I129="","",IF(J129&lt;0.15,"SAFETY_STOP",IF(L129&gt;=15,"VL_THRESHOLD","PLANNED_END")))</f>
        <v/>
      </c>
      <c r="P129" s="10">
        <f>IF(I129="","",IF(I129&gt;($D$2+0.05),"+5kg",IF(I129&gt;($D$2+0.02),"+2.5kg",IF(I129&gt;=($D$2-0.05),"保持",IF(I129&gt;=($D$2-0.08),"-2.5kg","-5kg")))))</f>
        <v/>
      </c>
      <c r="Q129" s="9" t="n"/>
      <c r="R129" s="12" t="n"/>
      <c r="S129" s="12" t="n"/>
      <c r="T129" s="12" t="n"/>
    </row>
    <row r="130">
      <c r="A130" s="12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10">
        <f>IFERROR(INDEX(C130:H130,MATCH(TRUE,INDEX(C130:H130&lt;&gt;"",0),0)),"")</f>
        <v/>
      </c>
      <c r="J130" s="10">
        <f>IFERROR(MIN(IF(C130:H130&lt;&gt;"",C130:H130)),"")</f>
        <v/>
      </c>
      <c r="K130" s="10">
        <f>IFERROR(MATCH(I130,C130:H130,0),"")</f>
        <v/>
      </c>
      <c r="L130" s="10">
        <f>IF(OR(I130="",J130=""),"",ROUND((I130-J130)/I130*100,1))</f>
        <v/>
      </c>
      <c r="M130" s="10">
        <f>IF(L130="","",IF(L130&gt;=15,"是","否"))</f>
        <v/>
      </c>
      <c r="N130" s="10">
        <f>IF(J130="","",IF(J130&lt;0.15,"是","否"))</f>
        <v/>
      </c>
      <c r="O130" s="10">
        <f>IF(I130="","",IF(J130&lt;0.15,"SAFETY_STOP",IF(L130&gt;=15,"VL_THRESHOLD","PLANNED_END")))</f>
        <v/>
      </c>
      <c r="P130" s="10">
        <f>IF(I130="","",IF(I130&gt;($D$2+0.05),"+5kg",IF(I130&gt;($D$2+0.02),"+2.5kg",IF(I130&gt;=($D$2-0.05),"保持",IF(I130&gt;=($D$2-0.08),"-2.5kg","-5kg")))))</f>
        <v/>
      </c>
      <c r="Q130" s="9" t="n"/>
      <c r="R130" s="12" t="n"/>
      <c r="S130" s="12" t="n"/>
      <c r="T130" s="12" t="n"/>
    </row>
    <row r="131">
      <c r="A131" s="12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10">
        <f>IFERROR(INDEX(C131:H131,MATCH(TRUE,INDEX(C131:H131&lt;&gt;"",0),0)),"")</f>
        <v/>
      </c>
      <c r="J131" s="10">
        <f>IFERROR(MIN(IF(C131:H131&lt;&gt;"",C131:H131)),"")</f>
        <v/>
      </c>
      <c r="K131" s="10">
        <f>IFERROR(MATCH(I131,C131:H131,0),"")</f>
        <v/>
      </c>
      <c r="L131" s="10">
        <f>IF(OR(I131="",J131=""),"",ROUND((I131-J131)/I131*100,1))</f>
        <v/>
      </c>
      <c r="M131" s="10">
        <f>IF(L131="","",IF(L131&gt;=15,"是","否"))</f>
        <v/>
      </c>
      <c r="N131" s="10">
        <f>IF(J131="","",IF(J131&lt;0.15,"是","否"))</f>
        <v/>
      </c>
      <c r="O131" s="10">
        <f>IF(I131="","",IF(J131&lt;0.15,"SAFETY_STOP",IF(L131&gt;=15,"VL_THRESHOLD","PLANNED_END")))</f>
        <v/>
      </c>
      <c r="P131" s="10">
        <f>IF(I131="","",IF(I131&gt;($D$2+0.05),"+5kg",IF(I131&gt;($D$2+0.02),"+2.5kg",IF(I131&gt;=($D$2-0.05),"保持",IF(I131&gt;=($D$2-0.08),"-2.5kg","-5kg")))))</f>
        <v/>
      </c>
      <c r="Q131" s="9" t="n"/>
      <c r="R131" s="12" t="n"/>
      <c r="S131" s="12" t="n"/>
      <c r="T131" s="12" t="n"/>
    </row>
    <row r="132">
      <c r="A132" s="12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10">
        <f>IFERROR(INDEX(C132:H132,MATCH(TRUE,INDEX(C132:H132&lt;&gt;"",0),0)),"")</f>
        <v/>
      </c>
      <c r="J132" s="10">
        <f>IFERROR(MIN(IF(C132:H132&lt;&gt;"",C132:H132)),"")</f>
        <v/>
      </c>
      <c r="K132" s="10">
        <f>IFERROR(MATCH(I132,C132:H132,0),"")</f>
        <v/>
      </c>
      <c r="L132" s="10">
        <f>IF(OR(I132="",J132=""),"",ROUND((I132-J132)/I132*100,1))</f>
        <v/>
      </c>
      <c r="M132" s="10">
        <f>IF(L132="","",IF(L132&gt;=15,"是","否"))</f>
        <v/>
      </c>
      <c r="N132" s="10">
        <f>IF(J132="","",IF(J132&lt;0.15,"是","否"))</f>
        <v/>
      </c>
      <c r="O132" s="10">
        <f>IF(I132="","",IF(J132&lt;0.15,"SAFETY_STOP",IF(L132&gt;=15,"VL_THRESHOLD","PLANNED_END")))</f>
        <v/>
      </c>
      <c r="P132" s="10">
        <f>IF(I132="","",IF(I132&gt;($D$2+0.05),"+5kg",IF(I132&gt;($D$2+0.02),"+2.5kg",IF(I132&gt;=($D$2-0.05),"保持",IF(I132&gt;=($D$2-0.08),"-2.5kg","-5kg")))))</f>
        <v/>
      </c>
      <c r="Q132" s="9" t="n"/>
      <c r="R132" s="12" t="n"/>
      <c r="S132" s="12" t="n"/>
      <c r="T132" s="12" t="n"/>
    </row>
    <row r="133">
      <c r="A133" s="12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10">
        <f>IFERROR(INDEX(C133:H133,MATCH(TRUE,INDEX(C133:H133&lt;&gt;"",0),0)),"")</f>
        <v/>
      </c>
      <c r="J133" s="10">
        <f>IFERROR(MIN(IF(C133:H133&lt;&gt;"",C133:H133)),"")</f>
        <v/>
      </c>
      <c r="K133" s="10">
        <f>IFERROR(MATCH(I133,C133:H133,0),"")</f>
        <v/>
      </c>
      <c r="L133" s="10">
        <f>IF(OR(I133="",J133=""),"",ROUND((I133-J133)/I133*100,1))</f>
        <v/>
      </c>
      <c r="M133" s="10">
        <f>IF(L133="","",IF(L133&gt;=15,"是","否"))</f>
        <v/>
      </c>
      <c r="N133" s="10">
        <f>IF(J133="","",IF(J133&lt;0.15,"是","否"))</f>
        <v/>
      </c>
      <c r="O133" s="10">
        <f>IF(I133="","",IF(J133&lt;0.15,"SAFETY_STOP",IF(L133&gt;=15,"VL_THRESHOLD","PLANNED_END")))</f>
        <v/>
      </c>
      <c r="P133" s="10">
        <f>IF(I133="","",IF(I133&gt;($D$2+0.05),"+5kg",IF(I133&gt;($D$2+0.02),"+2.5kg",IF(I133&gt;=($D$2-0.05),"保持",IF(I133&gt;=($D$2-0.08),"-2.5kg","-5kg")))))</f>
        <v/>
      </c>
      <c r="Q133" s="9" t="n"/>
      <c r="R133" s="12" t="n"/>
      <c r="S133" s="12" t="n"/>
      <c r="T133" s="12" t="n"/>
    </row>
    <row r="134">
      <c r="A134" s="12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10">
        <f>IFERROR(INDEX(C134:H134,MATCH(TRUE,INDEX(C134:H134&lt;&gt;"",0),0)),"")</f>
        <v/>
      </c>
      <c r="J134" s="10">
        <f>IFERROR(MIN(IF(C134:H134&lt;&gt;"",C134:H134)),"")</f>
        <v/>
      </c>
      <c r="K134" s="10">
        <f>IFERROR(MATCH(I134,C134:H134,0),"")</f>
        <v/>
      </c>
      <c r="L134" s="10">
        <f>IF(OR(I134="",J134=""),"",ROUND((I134-J134)/I134*100,1))</f>
        <v/>
      </c>
      <c r="M134" s="10">
        <f>IF(L134="","",IF(L134&gt;=15,"是","否"))</f>
        <v/>
      </c>
      <c r="N134" s="10">
        <f>IF(J134="","",IF(J134&lt;0.15,"是","否"))</f>
        <v/>
      </c>
      <c r="O134" s="10">
        <f>IF(I134="","",IF(J134&lt;0.15,"SAFETY_STOP",IF(L134&gt;=15,"VL_THRESHOLD","PLANNED_END")))</f>
        <v/>
      </c>
      <c r="P134" s="10">
        <f>IF(I134="","",IF(I134&gt;($D$2+0.05),"+5kg",IF(I134&gt;($D$2+0.02),"+2.5kg",IF(I134&gt;=($D$2-0.05),"保持",IF(I134&gt;=($D$2-0.08),"-2.5kg","-5kg")))))</f>
        <v/>
      </c>
      <c r="Q134" s="9" t="n"/>
      <c r="R134" s="12" t="n"/>
      <c r="S134" s="12" t="n"/>
      <c r="T134" s="12" t="n"/>
    </row>
    <row r="135">
      <c r="A135" s="8" t="inlineStr">
        <is>
          <t>辅助动作</t>
        </is>
      </c>
      <c r="B135" s="8" t="inlineStr">
        <is>
          <t>动作名称</t>
        </is>
      </c>
      <c r="C135" s="8" t="inlineStr">
        <is>
          <t>负荷kg</t>
        </is>
      </c>
      <c r="D135" s="8" t="inlineStr">
        <is>
          <t>完成(组×次)</t>
        </is>
      </c>
    </row>
    <row r="136">
      <c r="A136" s="9" t="inlineStr"/>
      <c r="B136" s="9" t="n"/>
      <c r="C136" s="9" t="n"/>
      <c r="D136" s="9" t="n"/>
    </row>
    <row r="137">
      <c r="A137" s="8" t="inlineStr">
        <is>
          <t>训练后</t>
        </is>
      </c>
      <c r="B137" s="8" t="inlineStr">
        <is>
          <t>开始时间</t>
        </is>
      </c>
      <c r="C137" s="8" t="inlineStr">
        <is>
          <t>结束时间</t>
        </is>
      </c>
      <c r="D137" s="8" t="inlineStr">
        <is>
          <t>总时长min</t>
        </is>
      </c>
      <c r="E137" s="8" t="inlineStr">
        <is>
          <t>sRPE</t>
        </is>
      </c>
      <c r="F137" s="8" t="inlineStr">
        <is>
          <t>session_load</t>
        </is>
      </c>
      <c r="G137" s="8" t="inlineStr">
        <is>
          <t>有无不适</t>
        </is>
      </c>
      <c r="H137" s="8" t="inlineStr">
        <is>
          <t>备注</t>
        </is>
      </c>
      <c r="I137" s="8" t="inlineStr">
        <is>
          <t>研究员签名</t>
        </is>
      </c>
    </row>
    <row r="138">
      <c r="A138" s="13" t="inlineStr"/>
      <c r="B138" s="13" t="n"/>
      <c r="C138" s="13" t="n"/>
      <c r="D138" s="10">
        <f>IF(OR(B138="",C138=""),"",(C138-B138)*1440)</f>
        <v/>
      </c>
      <c r="E138" s="13" t="n"/>
      <c r="F138" s="10">
        <f>IF(OR(D138="",E138=""),"",D138*E138)</f>
        <v/>
      </c>
      <c r="G138" s="13" t="n"/>
      <c r="H138" s="13" t="n"/>
      <c r="I138" s="13" t="n"/>
    </row>
    <row r="140">
      <c r="A140" s="5" t="inlineStr">
        <is>
          <t>── P018 孟维宇 ──────────────────────────────────────────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7" t="n"/>
    </row>
    <row r="141">
      <c r="A141" s="8" t="inlineStr">
        <is>
          <t>编号</t>
        </is>
      </c>
      <c r="B141" s="8" t="inlineStr">
        <is>
          <t>姓名</t>
        </is>
      </c>
      <c r="C141" s="8" t="inlineStr">
        <is>
          <t>身高</t>
        </is>
      </c>
      <c r="D141" s="8" t="inlineStr">
        <is>
          <t>1RM</t>
        </is>
      </c>
      <c r="E141" s="8" t="inlineStr">
        <is>
          <t>睡眠</t>
        </is>
      </c>
      <c r="F141" s="8" t="inlineStr">
        <is>
          <t>压力</t>
        </is>
      </c>
      <c r="G141" s="8" t="inlineStr">
        <is>
          <t>疲劳</t>
        </is>
      </c>
      <c r="H141" s="8" t="inlineStr">
        <is>
          <t>酸痛</t>
        </is>
      </c>
      <c r="I141" s="8" t="inlineStr">
        <is>
          <t>Hooper总</t>
        </is>
      </c>
      <c r="J141" s="8" t="inlineStr">
        <is>
          <t>CMJ1</t>
        </is>
      </c>
      <c r="K141" s="8" t="inlineStr">
        <is>
          <t>CMJ2</t>
        </is>
      </c>
      <c r="L141" s="8" t="inlineStr">
        <is>
          <t>CMJ3</t>
        </is>
      </c>
      <c r="M141" s="8" t="inlineStr">
        <is>
          <t>CMJ均值</t>
        </is>
      </c>
      <c r="N141" s="8" t="inlineStr">
        <is>
          <t>&lt;95%?</t>
        </is>
      </c>
      <c r="O141" s="8" t="inlineStr">
        <is>
          <t>减组?</t>
        </is>
      </c>
      <c r="P141" s="8" t="inlineStr">
        <is>
          <t>实做组数</t>
        </is>
      </c>
      <c r="Q141" s="8" t="inlineStr">
        <is>
          <t>LVP_a</t>
        </is>
      </c>
      <c r="R141" s="8" t="inlineStr">
        <is>
          <t>LVP_b</t>
        </is>
      </c>
      <c r="S141" s="8" t="inlineStr">
        <is>
          <t>等级</t>
        </is>
      </c>
      <c r="T141" s="8" t="inlineStr">
        <is>
          <t>预测起始</t>
        </is>
      </c>
    </row>
    <row r="142">
      <c r="A142" s="9" t="inlineStr">
        <is>
          <t>P018</t>
        </is>
      </c>
      <c r="B142" s="9" t="inlineStr">
        <is>
          <t>孟维宇</t>
        </is>
      </c>
      <c r="C142" s="9" t="n">
        <v>173</v>
      </c>
      <c r="D142" s="9" t="n">
        <v>122.5</v>
      </c>
      <c r="E142" s="9" t="n"/>
      <c r="F142" s="9" t="n"/>
      <c r="G142" s="9" t="n"/>
      <c r="H142" s="9" t="n"/>
      <c r="I142" s="10">
        <f>IFERROR(SUM(E142:H142),"")</f>
        <v/>
      </c>
      <c r="J142" s="9" t="n"/>
      <c r="K142" s="9" t="n"/>
      <c r="L142" s="9" t="n"/>
      <c r="M142" s="10">
        <f>IFERROR(AVERAGE(J142:L142),"")</f>
        <v/>
      </c>
      <c r="N142" s="10">
        <f>IF(M142="","",IF(M142&lt;52.6,"是⚠","否"))</f>
        <v/>
      </c>
      <c r="O142" s="10">
        <f>IF(M142="","",IF(M142&lt;52.6,"减1组","正常"))</f>
        <v/>
      </c>
      <c r="P142" s="10">
        <f>IF(M142="","",IF(M142&lt;52.6,3-1,3))</f>
        <v/>
      </c>
      <c r="Q142" s="9" t="n">
        <v>1.71</v>
      </c>
      <c r="R142" s="9" t="n">
        <v>-0.0105</v>
      </c>
      <c r="S142" s="9" t="inlineStr">
        <is>
          <t>B</t>
        </is>
      </c>
      <c r="T142" s="10">
        <f>IFERROR(ROUND((0.55-1.71)/-0.0105,0.5),"")</f>
        <v/>
      </c>
    </row>
    <row r="143">
      <c r="A143" s="8" t="inlineStr">
        <is>
          <t>热身校准</t>
        </is>
      </c>
      <c r="B143" s="8" t="inlineStr">
        <is>
          <t>LVP_a</t>
        </is>
      </c>
      <c r="C143" s="8" t="inlineStr">
        <is>
          <t>LVP_b</t>
        </is>
      </c>
      <c r="D143" s="8" t="inlineStr">
        <is>
          <t>50%热身kg</t>
        </is>
      </c>
      <c r="E143" s="8" t="inlineStr">
        <is>
          <t>70%热身kg</t>
        </is>
      </c>
      <c r="F143" s="8" t="inlineStr">
        <is>
          <t>热身负荷kg</t>
        </is>
      </c>
      <c r="G143" s="8" t="inlineStr">
        <is>
          <t>实测MCV</t>
        </is>
      </c>
      <c r="H143" s="8" t="inlineStr">
        <is>
          <t>预测MCV</t>
        </is>
      </c>
      <c r="I143" s="8" t="inlineStr">
        <is>
          <t>Δv</t>
        </is>
      </c>
      <c r="J143" s="8" t="inlineStr">
        <is>
          <t>调整量kg</t>
        </is>
      </c>
      <c r="K143" s="8" t="inlineStr">
        <is>
          <t>校准后第1组kg</t>
        </is>
      </c>
    </row>
    <row r="144">
      <c r="A144" s="11" t="inlineStr"/>
      <c r="B144" s="11" t="n">
        <v>1.71</v>
      </c>
      <c r="C144" s="11" t="n">
        <v>-0.0105</v>
      </c>
      <c r="D144" s="10">
        <f>IFERROR(ROUND(T142*0.5,2.5),"")</f>
        <v/>
      </c>
      <c r="E144" s="10">
        <f>IFERROR(ROUND(T142*0.7,2.5),"")</f>
        <v/>
      </c>
      <c r="F144" s="10">
        <f>E144</f>
        <v/>
      </c>
      <c r="G144" s="9" t="n"/>
      <c r="H144" s="10">
        <f>IF(F144="","",B144+C144*F144)</f>
        <v/>
      </c>
      <c r="I144" s="10">
        <f>IF(OR(G144="",H144=""),"",G144-H144)</f>
        <v/>
      </c>
      <c r="J144" s="10">
        <f>IF(I144="","",IF(I144&gt;0.08,5,IF(I144&gt;0.04,2.5,IF(I144&gt;=-0.04,0,IF(I144&gt;=-0.08,-2.5,-5)))))</f>
        <v/>
      </c>
      <c r="K144" s="10">
        <f>IFERROR(ROUND(T142+J144,2.5),"")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8" t="inlineStr">
        <is>
          <t>组次</t>
        </is>
      </c>
      <c r="B145" s="8" t="inlineStr">
        <is>
          <t>负荷kg</t>
        </is>
      </c>
      <c r="C145" s="8" t="inlineStr">
        <is>
          <t>rep1</t>
        </is>
      </c>
      <c r="D145" s="8" t="inlineStr">
        <is>
          <t>rep2</t>
        </is>
      </c>
      <c r="E145" s="8" t="inlineStr">
        <is>
          <t>rep3</t>
        </is>
      </c>
      <c r="F145" s="8" t="inlineStr">
        <is>
          <t>rep4</t>
        </is>
      </c>
      <c r="G145" s="8" t="inlineStr">
        <is>
          <t>rep5</t>
        </is>
      </c>
      <c r="H145" s="8" t="inlineStr">
        <is>
          <t>rep6</t>
        </is>
      </c>
      <c r="I145" s="8" t="inlineStr">
        <is>
          <t>首rep</t>
        </is>
      </c>
      <c r="J145" s="8" t="inlineStr">
        <is>
          <t>最低速</t>
        </is>
      </c>
      <c r="K145" s="8" t="inlineStr">
        <is>
          <t>最低rep#</t>
        </is>
      </c>
      <c r="L145" s="8" t="inlineStr">
        <is>
          <t>VL%</t>
        </is>
      </c>
      <c r="M145" s="8" t="inlineStr">
        <is>
          <t>VL达标?</t>
        </is>
      </c>
      <c r="N145" s="8" t="inlineStr">
        <is>
          <t>安全停止?</t>
        </is>
      </c>
      <c r="O145" s="8" t="inlineStr">
        <is>
          <t>停组原因</t>
        </is>
      </c>
      <c r="P145" s="8" t="inlineStr">
        <is>
          <t>下组建议</t>
        </is>
      </c>
      <c r="Q145" s="8" t="inlineStr">
        <is>
          <t>实做次数</t>
        </is>
      </c>
    </row>
    <row r="146">
      <c r="A146" s="12" t="n">
        <v>1</v>
      </c>
      <c r="B146" s="10">
        <f>IF(K144="","",K144)</f>
        <v/>
      </c>
      <c r="C146" s="9" t="n"/>
      <c r="D146" s="9" t="n"/>
      <c r="E146" s="9" t="n"/>
      <c r="F146" s="9" t="n"/>
      <c r="G146" s="9" t="n"/>
      <c r="H146" s="9" t="n"/>
      <c r="I146" s="10">
        <f>IFERROR(INDEX(C146:H146,MATCH(TRUE,INDEX(C146:H146&lt;&gt;"",0),0)),"")</f>
        <v/>
      </c>
      <c r="J146" s="10">
        <f>IFERROR(MIN(IF(C146:H146&lt;&gt;"",C146:H146)),"")</f>
        <v/>
      </c>
      <c r="K146" s="10">
        <f>IFERROR(MATCH(I146,C146:H146,0),"")</f>
        <v/>
      </c>
      <c r="L146" s="10">
        <f>IF(OR(I146="",J146=""),"",ROUND((I146-J146)/I146*100,1))</f>
        <v/>
      </c>
      <c r="M146" s="10">
        <f>IF(L146="","",IF(L146&gt;=15,"是","否"))</f>
        <v/>
      </c>
      <c r="N146" s="10">
        <f>IF(J146="","",IF(J146&lt;0.15,"是","否"))</f>
        <v/>
      </c>
      <c r="O146" s="10">
        <f>IF(I146="","",IF(J146&lt;0.15,"SAFETY_STOP",IF(L146&gt;=15,"VL_THRESHOLD","PLANNED_END")))</f>
        <v/>
      </c>
      <c r="P146" s="10">
        <f>IF(I146="","",IF(I146&gt;($D$2+0.05),"+5kg",IF(I146&gt;($D$2+0.02),"+2.5kg",IF(I146&gt;=($D$2-0.05),"保持",IF(I146&gt;=($D$2-0.08),"-2.5kg","-5kg")))))</f>
        <v/>
      </c>
      <c r="Q146" s="9" t="n"/>
      <c r="R146" s="12" t="n"/>
      <c r="S146" s="12" t="n"/>
      <c r="T146" s="12" t="n"/>
    </row>
    <row r="147">
      <c r="A147" s="12" t="n">
        <v>2</v>
      </c>
      <c r="B147" s="9" t="n"/>
      <c r="C147" s="9" t="n"/>
      <c r="D147" s="9" t="n"/>
      <c r="E147" s="9" t="n"/>
      <c r="F147" s="9" t="n"/>
      <c r="G147" s="9" t="n"/>
      <c r="H147" s="9" t="n"/>
      <c r="I147" s="10">
        <f>IFERROR(INDEX(C147:H147,MATCH(TRUE,INDEX(C147:H147&lt;&gt;"",0),0)),"")</f>
        <v/>
      </c>
      <c r="J147" s="10">
        <f>IFERROR(MIN(IF(C147:H147&lt;&gt;"",C147:H147)),"")</f>
        <v/>
      </c>
      <c r="K147" s="10">
        <f>IFERROR(MATCH(I147,C147:H147,0),"")</f>
        <v/>
      </c>
      <c r="L147" s="10">
        <f>IF(OR(I147="",J147=""),"",ROUND((I147-J147)/I147*100,1))</f>
        <v/>
      </c>
      <c r="M147" s="10">
        <f>IF(L147="","",IF(L147&gt;=15,"是","否"))</f>
        <v/>
      </c>
      <c r="N147" s="10">
        <f>IF(J147="","",IF(J147&lt;0.15,"是","否"))</f>
        <v/>
      </c>
      <c r="O147" s="10">
        <f>IF(I147="","",IF(J147&lt;0.15,"SAFETY_STOP",IF(L147&gt;=15,"VL_THRESHOLD","PLANNED_END")))</f>
        <v/>
      </c>
      <c r="P147" s="10">
        <f>IF(I147="","",IF(I147&gt;($D$2+0.05),"+5kg",IF(I147&gt;($D$2+0.02),"+2.5kg",IF(I147&gt;=($D$2-0.05),"保持",IF(I147&gt;=($D$2-0.08),"-2.5kg","-5kg")))))</f>
        <v/>
      </c>
      <c r="Q147" s="9" t="n"/>
      <c r="R147" s="12" t="n"/>
      <c r="S147" s="12" t="n"/>
      <c r="T147" s="12" t="n"/>
    </row>
    <row r="148">
      <c r="A148" s="12" t="n">
        <v>3</v>
      </c>
      <c r="B148" s="9" t="n"/>
      <c r="C148" s="9" t="n"/>
      <c r="D148" s="9" t="n"/>
      <c r="E148" s="9" t="n"/>
      <c r="F148" s="9" t="n"/>
      <c r="G148" s="9" t="n"/>
      <c r="H148" s="9" t="n"/>
      <c r="I148" s="10">
        <f>IFERROR(INDEX(C148:H148,MATCH(TRUE,INDEX(C148:H148&lt;&gt;"",0),0)),"")</f>
        <v/>
      </c>
      <c r="J148" s="10">
        <f>IFERROR(MIN(IF(C148:H148&lt;&gt;"",C148:H148)),"")</f>
        <v/>
      </c>
      <c r="K148" s="10">
        <f>IFERROR(MATCH(I148,C148:H148,0),"")</f>
        <v/>
      </c>
      <c r="L148" s="10">
        <f>IF(OR(I148="",J148=""),"",ROUND((I148-J148)/I148*100,1))</f>
        <v/>
      </c>
      <c r="M148" s="10">
        <f>IF(L148="","",IF(L148&gt;=15,"是","否"))</f>
        <v/>
      </c>
      <c r="N148" s="10">
        <f>IF(J148="","",IF(J148&lt;0.15,"是","否"))</f>
        <v/>
      </c>
      <c r="O148" s="10">
        <f>IF(I148="","",IF(J148&lt;0.15,"SAFETY_STOP",IF(L148&gt;=15,"VL_THRESHOLD","PLANNED_END")))</f>
        <v/>
      </c>
      <c r="P148" s="10">
        <f>IF(I148="","",IF(I148&gt;($D$2+0.05),"+5kg",IF(I148&gt;($D$2+0.02),"+2.5kg",IF(I148&gt;=($D$2-0.05),"保持",IF(I148&gt;=($D$2-0.08),"-2.5kg","-5kg")))))</f>
        <v/>
      </c>
      <c r="Q148" s="9" t="n"/>
      <c r="R148" s="12" t="n"/>
      <c r="S148" s="12" t="n"/>
      <c r="T148" s="12" t="n"/>
    </row>
    <row r="149">
      <c r="A149" s="12" t="n">
        <v>4</v>
      </c>
      <c r="B149" s="9" t="n"/>
      <c r="C149" s="9" t="n"/>
      <c r="D149" s="9" t="n"/>
      <c r="E149" s="9" t="n"/>
      <c r="F149" s="9" t="n"/>
      <c r="G149" s="9" t="n"/>
      <c r="H149" s="9" t="n"/>
      <c r="I149" s="10">
        <f>IFERROR(INDEX(C149:H149,MATCH(TRUE,INDEX(C149:H149&lt;&gt;"",0),0)),"")</f>
        <v/>
      </c>
      <c r="J149" s="10">
        <f>IFERROR(MIN(IF(C149:H149&lt;&gt;"",C149:H149)),"")</f>
        <v/>
      </c>
      <c r="K149" s="10">
        <f>IFERROR(MATCH(I149,C149:H149,0),"")</f>
        <v/>
      </c>
      <c r="L149" s="10">
        <f>IF(OR(I149="",J149=""),"",ROUND((I149-J149)/I149*100,1))</f>
        <v/>
      </c>
      <c r="M149" s="10">
        <f>IF(L149="","",IF(L149&gt;=15,"是","否"))</f>
        <v/>
      </c>
      <c r="N149" s="10">
        <f>IF(J149="","",IF(J149&lt;0.15,"是","否"))</f>
        <v/>
      </c>
      <c r="O149" s="10">
        <f>IF(I149="","",IF(J149&lt;0.15,"SAFETY_STOP",IF(L149&gt;=15,"VL_THRESHOLD","PLANNED_END")))</f>
        <v/>
      </c>
      <c r="P149" s="10">
        <f>IF(I149="","",IF(I149&gt;($D$2+0.05),"+5kg",IF(I149&gt;($D$2+0.02),"+2.5kg",IF(I149&gt;=($D$2-0.05),"保持",IF(I149&gt;=($D$2-0.08),"-2.5kg","-5kg")))))</f>
        <v/>
      </c>
      <c r="Q149" s="9" t="n"/>
      <c r="R149" s="12" t="n"/>
      <c r="S149" s="12" t="n"/>
      <c r="T149" s="12" t="n"/>
    </row>
    <row r="150">
      <c r="A150" s="12" t="n">
        <v>5</v>
      </c>
      <c r="B150" s="9" t="n"/>
      <c r="C150" s="9" t="n"/>
      <c r="D150" s="9" t="n"/>
      <c r="E150" s="9" t="n"/>
      <c r="F150" s="9" t="n"/>
      <c r="G150" s="9" t="n"/>
      <c r="H150" s="9" t="n"/>
      <c r="I150" s="10">
        <f>IFERROR(INDEX(C150:H150,MATCH(TRUE,INDEX(C150:H150&lt;&gt;"",0),0)),"")</f>
        <v/>
      </c>
      <c r="J150" s="10">
        <f>IFERROR(MIN(IF(C150:H150&lt;&gt;"",C150:H150)),"")</f>
        <v/>
      </c>
      <c r="K150" s="10">
        <f>IFERROR(MATCH(I150,C150:H150,0),"")</f>
        <v/>
      </c>
      <c r="L150" s="10">
        <f>IF(OR(I150="",J150=""),"",ROUND((I150-J150)/I150*100,1))</f>
        <v/>
      </c>
      <c r="M150" s="10">
        <f>IF(L150="","",IF(L150&gt;=15,"是","否"))</f>
        <v/>
      </c>
      <c r="N150" s="10">
        <f>IF(J150="","",IF(J150&lt;0.15,"是","否"))</f>
        <v/>
      </c>
      <c r="O150" s="10">
        <f>IF(I150="","",IF(J150&lt;0.15,"SAFETY_STOP",IF(L150&gt;=15,"VL_THRESHOLD","PLANNED_END")))</f>
        <v/>
      </c>
      <c r="P150" s="10">
        <f>IF(I150="","",IF(I150&gt;($D$2+0.05),"+5kg",IF(I150&gt;($D$2+0.02),"+2.5kg",IF(I150&gt;=($D$2-0.05),"保持",IF(I150&gt;=($D$2-0.08),"-2.5kg","-5kg")))))</f>
        <v/>
      </c>
      <c r="Q150" s="9" t="n"/>
      <c r="R150" s="12" t="n"/>
      <c r="S150" s="12" t="n"/>
      <c r="T150" s="12" t="n"/>
    </row>
    <row r="151">
      <c r="A151" s="12" t="n">
        <v>6</v>
      </c>
      <c r="B151" s="9" t="n"/>
      <c r="C151" s="9" t="n"/>
      <c r="D151" s="9" t="n"/>
      <c r="E151" s="9" t="n"/>
      <c r="F151" s="9" t="n"/>
      <c r="G151" s="9" t="n"/>
      <c r="H151" s="9" t="n"/>
      <c r="I151" s="10">
        <f>IFERROR(INDEX(C151:H151,MATCH(TRUE,INDEX(C151:H151&lt;&gt;"",0),0)),"")</f>
        <v/>
      </c>
      <c r="J151" s="10">
        <f>IFERROR(MIN(IF(C151:H151&lt;&gt;"",C151:H151)),"")</f>
        <v/>
      </c>
      <c r="K151" s="10">
        <f>IFERROR(MATCH(I151,C151:H151,0),"")</f>
        <v/>
      </c>
      <c r="L151" s="10">
        <f>IF(OR(I151="",J151=""),"",ROUND((I151-J151)/I151*100,1))</f>
        <v/>
      </c>
      <c r="M151" s="10">
        <f>IF(L151="","",IF(L151&gt;=15,"是","否"))</f>
        <v/>
      </c>
      <c r="N151" s="10">
        <f>IF(J151="","",IF(J151&lt;0.15,"是","否"))</f>
        <v/>
      </c>
      <c r="O151" s="10">
        <f>IF(I151="","",IF(J151&lt;0.15,"SAFETY_STOP",IF(L151&gt;=15,"VL_THRESHOLD","PLANNED_END")))</f>
        <v/>
      </c>
      <c r="P151" s="10">
        <f>IF(I151="","",IF(I151&gt;($D$2+0.05),"+5kg",IF(I151&gt;($D$2+0.02),"+2.5kg",IF(I151&gt;=($D$2-0.05),"保持",IF(I151&gt;=($D$2-0.08),"-2.5kg","-5kg")))))</f>
        <v/>
      </c>
      <c r="Q151" s="9" t="n"/>
      <c r="R151" s="12" t="n"/>
      <c r="S151" s="12" t="n"/>
      <c r="T151" s="12" t="n"/>
    </row>
    <row r="152">
      <c r="A152" s="8" t="inlineStr">
        <is>
          <t>辅助动作</t>
        </is>
      </c>
      <c r="B152" s="8" t="inlineStr">
        <is>
          <t>动作名称</t>
        </is>
      </c>
      <c r="C152" s="8" t="inlineStr">
        <is>
          <t>负荷kg</t>
        </is>
      </c>
      <c r="D152" s="8" t="inlineStr">
        <is>
          <t>完成(组×次)</t>
        </is>
      </c>
    </row>
    <row r="153">
      <c r="A153" s="9" t="inlineStr"/>
      <c r="B153" s="9" t="n"/>
      <c r="C153" s="9" t="n"/>
      <c r="D153" s="9" t="n"/>
    </row>
    <row r="154">
      <c r="A154" s="8" t="inlineStr">
        <is>
          <t>训练后</t>
        </is>
      </c>
      <c r="B154" s="8" t="inlineStr">
        <is>
          <t>开始时间</t>
        </is>
      </c>
      <c r="C154" s="8" t="inlineStr">
        <is>
          <t>结束时间</t>
        </is>
      </c>
      <c r="D154" s="8" t="inlineStr">
        <is>
          <t>总时长min</t>
        </is>
      </c>
      <c r="E154" s="8" t="inlineStr">
        <is>
          <t>sRPE</t>
        </is>
      </c>
      <c r="F154" s="8" t="inlineStr">
        <is>
          <t>session_load</t>
        </is>
      </c>
      <c r="G154" s="8" t="inlineStr">
        <is>
          <t>有无不适</t>
        </is>
      </c>
      <c r="H154" s="8" t="inlineStr">
        <is>
          <t>备注</t>
        </is>
      </c>
      <c r="I154" s="8" t="inlineStr">
        <is>
          <t>研究员签名</t>
        </is>
      </c>
    </row>
    <row r="155">
      <c r="A155" s="13" t="inlineStr"/>
      <c r="B155" s="13" t="n"/>
      <c r="C155" s="13" t="n"/>
      <c r="D155" s="10">
        <f>IF(OR(B155="",C155=""),"",(C155-B155)*1440)</f>
        <v/>
      </c>
      <c r="E155" s="13" t="n"/>
      <c r="F155" s="10">
        <f>IF(OR(D155="",E155=""),"",D155*E155)</f>
        <v/>
      </c>
      <c r="G155" s="13" t="n"/>
      <c r="H155" s="13" t="n"/>
      <c r="I155" s="13" t="n"/>
    </row>
    <row r="157">
      <c r="A157" s="5" t="inlineStr">
        <is>
          <t>── P026 古翔宇 ──────────────────────────────────────────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7" t="n"/>
    </row>
    <row r="158">
      <c r="A158" s="8" t="inlineStr">
        <is>
          <t>编号</t>
        </is>
      </c>
      <c r="B158" s="8" t="inlineStr">
        <is>
          <t>姓名</t>
        </is>
      </c>
      <c r="C158" s="8" t="inlineStr">
        <is>
          <t>身高</t>
        </is>
      </c>
      <c r="D158" s="8" t="inlineStr">
        <is>
          <t>1RM</t>
        </is>
      </c>
      <c r="E158" s="8" t="inlineStr">
        <is>
          <t>睡眠</t>
        </is>
      </c>
      <c r="F158" s="8" t="inlineStr">
        <is>
          <t>压力</t>
        </is>
      </c>
      <c r="G158" s="8" t="inlineStr">
        <is>
          <t>疲劳</t>
        </is>
      </c>
      <c r="H158" s="8" t="inlineStr">
        <is>
          <t>酸痛</t>
        </is>
      </c>
      <c r="I158" s="8" t="inlineStr">
        <is>
          <t>Hooper总</t>
        </is>
      </c>
      <c r="J158" s="8" t="inlineStr">
        <is>
          <t>CMJ1</t>
        </is>
      </c>
      <c r="K158" s="8" t="inlineStr">
        <is>
          <t>CMJ2</t>
        </is>
      </c>
      <c r="L158" s="8" t="inlineStr">
        <is>
          <t>CMJ3</t>
        </is>
      </c>
      <c r="M158" s="8" t="inlineStr">
        <is>
          <t>CMJ均值</t>
        </is>
      </c>
      <c r="N158" s="8" t="inlineStr">
        <is>
          <t>&lt;95%?</t>
        </is>
      </c>
      <c r="O158" s="8" t="inlineStr">
        <is>
          <t>减组?</t>
        </is>
      </c>
      <c r="P158" s="8" t="inlineStr">
        <is>
          <t>实做组数</t>
        </is>
      </c>
      <c r="Q158" s="8" t="inlineStr">
        <is>
          <t>LVP_a</t>
        </is>
      </c>
      <c r="R158" s="8" t="inlineStr">
        <is>
          <t>LVP_b</t>
        </is>
      </c>
      <c r="S158" s="8" t="inlineStr">
        <is>
          <t>等级</t>
        </is>
      </c>
      <c r="T158" s="8" t="inlineStr">
        <is>
          <t>预测起始</t>
        </is>
      </c>
    </row>
    <row r="159">
      <c r="A159" s="9" t="inlineStr">
        <is>
          <t>P026</t>
        </is>
      </c>
      <c r="B159" s="9" t="inlineStr">
        <is>
          <t>古翔宇</t>
        </is>
      </c>
      <c r="C159" s="9" t="n">
        <v>180</v>
      </c>
      <c r="D159" s="9" t="n">
        <v>135</v>
      </c>
      <c r="E159" s="9" t="n"/>
      <c r="F159" s="9" t="n"/>
      <c r="G159" s="9" t="n"/>
      <c r="H159" s="9" t="n"/>
      <c r="I159" s="10">
        <f>IFERROR(SUM(E159:H159),"")</f>
        <v/>
      </c>
      <c r="J159" s="9" t="n"/>
      <c r="K159" s="9" t="n"/>
      <c r="L159" s="9" t="n"/>
      <c r="M159" s="10">
        <f>IFERROR(AVERAGE(J159:L159),"")</f>
        <v/>
      </c>
      <c r="N159" s="10">
        <f>IF(M159="","",IF(M159&lt;45.51,"是⚠","否"))</f>
        <v/>
      </c>
      <c r="O159" s="10">
        <f>IF(M159="","",IF(M159&lt;45.51,"减1组","正常"))</f>
        <v/>
      </c>
      <c r="P159" s="10">
        <f>IF(M159="","",IF(M159&lt;45.51,3-1,3))</f>
        <v/>
      </c>
      <c r="Q159" s="9" t="n">
        <v>1.64</v>
      </c>
      <c r="R159" s="9" t="n">
        <v>-0.00975</v>
      </c>
      <c r="S159" s="9" t="inlineStr">
        <is>
          <t>A</t>
        </is>
      </c>
      <c r="T159" s="10">
        <f>IFERROR(ROUND((0.55-1.64)/-0.00975,0.5),"")</f>
        <v/>
      </c>
    </row>
    <row r="160">
      <c r="A160" s="8" t="inlineStr">
        <is>
          <t>热身校准</t>
        </is>
      </c>
      <c r="B160" s="8" t="inlineStr">
        <is>
          <t>LVP_a</t>
        </is>
      </c>
      <c r="C160" s="8" t="inlineStr">
        <is>
          <t>LVP_b</t>
        </is>
      </c>
      <c r="D160" s="8" t="inlineStr">
        <is>
          <t>50%热身kg</t>
        </is>
      </c>
      <c r="E160" s="8" t="inlineStr">
        <is>
          <t>70%热身kg</t>
        </is>
      </c>
      <c r="F160" s="8" t="inlineStr">
        <is>
          <t>热身负荷kg</t>
        </is>
      </c>
      <c r="G160" s="8" t="inlineStr">
        <is>
          <t>实测MCV</t>
        </is>
      </c>
      <c r="H160" s="8" t="inlineStr">
        <is>
          <t>预测MCV</t>
        </is>
      </c>
      <c r="I160" s="8" t="inlineStr">
        <is>
          <t>Δv</t>
        </is>
      </c>
      <c r="J160" s="8" t="inlineStr">
        <is>
          <t>调整量kg</t>
        </is>
      </c>
      <c r="K160" s="8" t="inlineStr">
        <is>
          <t>校准后第1组kg</t>
        </is>
      </c>
    </row>
    <row r="161">
      <c r="A161" s="11" t="inlineStr"/>
      <c r="B161" s="11" t="n">
        <v>1.64</v>
      </c>
      <c r="C161" s="11" t="n">
        <v>-0.00975</v>
      </c>
      <c r="D161" s="10">
        <f>IFERROR(ROUND(T159*0.5,2.5),"")</f>
        <v/>
      </c>
      <c r="E161" s="10">
        <f>IFERROR(ROUND(T159*0.7,2.5),"")</f>
        <v/>
      </c>
      <c r="F161" s="10">
        <f>E161</f>
        <v/>
      </c>
      <c r="G161" s="9" t="n"/>
      <c r="H161" s="10">
        <f>IF(F161="","",B161+C161*F161)</f>
        <v/>
      </c>
      <c r="I161" s="10">
        <f>IF(OR(G161="",H161=""),"",G161-H161)</f>
        <v/>
      </c>
      <c r="J161" s="10">
        <f>IF(I161="","",IF(I161&gt;0.08,5,IF(I161&gt;0.04,2.5,IF(I161&gt;=-0.04,0,IF(I161&gt;=-0.08,-2.5,-5)))))</f>
        <v/>
      </c>
      <c r="K161" s="10">
        <f>IFERROR(ROUND(T159+J161,2.5),"")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8" t="inlineStr">
        <is>
          <t>组次</t>
        </is>
      </c>
      <c r="B162" s="8" t="inlineStr">
        <is>
          <t>负荷kg</t>
        </is>
      </c>
      <c r="C162" s="8" t="inlineStr">
        <is>
          <t>rep1</t>
        </is>
      </c>
      <c r="D162" s="8" t="inlineStr">
        <is>
          <t>rep2</t>
        </is>
      </c>
      <c r="E162" s="8" t="inlineStr">
        <is>
          <t>rep3</t>
        </is>
      </c>
      <c r="F162" s="8" t="inlineStr">
        <is>
          <t>rep4</t>
        </is>
      </c>
      <c r="G162" s="8" t="inlineStr">
        <is>
          <t>rep5</t>
        </is>
      </c>
      <c r="H162" s="8" t="inlineStr">
        <is>
          <t>rep6</t>
        </is>
      </c>
      <c r="I162" s="8" t="inlineStr">
        <is>
          <t>首rep</t>
        </is>
      </c>
      <c r="J162" s="8" t="inlineStr">
        <is>
          <t>最低速</t>
        </is>
      </c>
      <c r="K162" s="8" t="inlineStr">
        <is>
          <t>最低rep#</t>
        </is>
      </c>
      <c r="L162" s="8" t="inlineStr">
        <is>
          <t>VL%</t>
        </is>
      </c>
      <c r="M162" s="8" t="inlineStr">
        <is>
          <t>VL达标?</t>
        </is>
      </c>
      <c r="N162" s="8" t="inlineStr">
        <is>
          <t>安全停止?</t>
        </is>
      </c>
      <c r="O162" s="8" t="inlineStr">
        <is>
          <t>停组原因</t>
        </is>
      </c>
      <c r="P162" s="8" t="inlineStr">
        <is>
          <t>下组建议</t>
        </is>
      </c>
      <c r="Q162" s="8" t="inlineStr">
        <is>
          <t>实做次数</t>
        </is>
      </c>
    </row>
    <row r="163">
      <c r="A163" s="12" t="n">
        <v>1</v>
      </c>
      <c r="B163" s="10">
        <f>IF(K161="","",K161)</f>
        <v/>
      </c>
      <c r="C163" s="9" t="n"/>
      <c r="D163" s="9" t="n"/>
      <c r="E163" s="9" t="n"/>
      <c r="F163" s="9" t="n"/>
      <c r="G163" s="9" t="n"/>
      <c r="H163" s="9" t="n"/>
      <c r="I163" s="10">
        <f>IFERROR(INDEX(C163:H163,MATCH(TRUE,INDEX(C163:H163&lt;&gt;"",0),0)),"")</f>
        <v/>
      </c>
      <c r="J163" s="10">
        <f>IFERROR(MIN(IF(C163:H163&lt;&gt;"",C163:H163)),"")</f>
        <v/>
      </c>
      <c r="K163" s="10">
        <f>IFERROR(MATCH(I163,C163:H163,0),"")</f>
        <v/>
      </c>
      <c r="L163" s="10">
        <f>IF(OR(I163="",J163=""),"",ROUND((I163-J163)/I163*100,1))</f>
        <v/>
      </c>
      <c r="M163" s="10">
        <f>IF(L163="","",IF(L163&gt;=15,"是","否"))</f>
        <v/>
      </c>
      <c r="N163" s="10">
        <f>IF(J163="","",IF(J163&lt;0.15,"是","否"))</f>
        <v/>
      </c>
      <c r="O163" s="10">
        <f>IF(I163="","",IF(J163&lt;0.15,"SAFETY_STOP",IF(L163&gt;=15,"VL_THRESHOLD","PLANNED_END")))</f>
        <v/>
      </c>
      <c r="P163" s="10">
        <f>IF(I163="","",IF(I163&gt;($D$2+0.05),"+5kg",IF(I163&gt;($D$2+0.02),"+2.5kg",IF(I163&gt;=($D$2-0.05),"保持",IF(I163&gt;=($D$2-0.08),"-2.5kg","-5kg")))))</f>
        <v/>
      </c>
      <c r="Q163" s="9" t="n"/>
      <c r="R163" s="12" t="n"/>
      <c r="S163" s="12" t="n"/>
      <c r="T163" s="12" t="n"/>
    </row>
    <row r="164">
      <c r="A164" s="12" t="n">
        <v>2</v>
      </c>
      <c r="B164" s="9" t="n"/>
      <c r="C164" s="9" t="n"/>
      <c r="D164" s="9" t="n"/>
      <c r="E164" s="9" t="n"/>
      <c r="F164" s="9" t="n"/>
      <c r="G164" s="9" t="n"/>
      <c r="H164" s="9" t="n"/>
      <c r="I164" s="10">
        <f>IFERROR(INDEX(C164:H164,MATCH(TRUE,INDEX(C164:H164&lt;&gt;"",0),0)),"")</f>
        <v/>
      </c>
      <c r="J164" s="10">
        <f>IFERROR(MIN(IF(C164:H164&lt;&gt;"",C164:H164)),"")</f>
        <v/>
      </c>
      <c r="K164" s="10">
        <f>IFERROR(MATCH(I164,C164:H164,0),"")</f>
        <v/>
      </c>
      <c r="L164" s="10">
        <f>IF(OR(I164="",J164=""),"",ROUND((I164-J164)/I164*100,1))</f>
        <v/>
      </c>
      <c r="M164" s="10">
        <f>IF(L164="","",IF(L164&gt;=15,"是","否"))</f>
        <v/>
      </c>
      <c r="N164" s="10">
        <f>IF(J164="","",IF(J164&lt;0.15,"是","否"))</f>
        <v/>
      </c>
      <c r="O164" s="10">
        <f>IF(I164="","",IF(J164&lt;0.15,"SAFETY_STOP",IF(L164&gt;=15,"VL_THRESHOLD","PLANNED_END")))</f>
        <v/>
      </c>
      <c r="P164" s="10">
        <f>IF(I164="","",IF(I164&gt;($D$2+0.05),"+5kg",IF(I164&gt;($D$2+0.02),"+2.5kg",IF(I164&gt;=($D$2-0.05),"保持",IF(I164&gt;=($D$2-0.08),"-2.5kg","-5kg")))))</f>
        <v/>
      </c>
      <c r="Q164" s="9" t="n"/>
      <c r="R164" s="12" t="n"/>
      <c r="S164" s="12" t="n"/>
      <c r="T164" s="12" t="n"/>
    </row>
    <row r="165">
      <c r="A165" s="12" t="n">
        <v>3</v>
      </c>
      <c r="B165" s="9" t="n"/>
      <c r="C165" s="9" t="n"/>
      <c r="D165" s="9" t="n"/>
      <c r="E165" s="9" t="n"/>
      <c r="F165" s="9" t="n"/>
      <c r="G165" s="9" t="n"/>
      <c r="H165" s="9" t="n"/>
      <c r="I165" s="10">
        <f>IFERROR(INDEX(C165:H165,MATCH(TRUE,INDEX(C165:H165&lt;&gt;"",0),0)),"")</f>
        <v/>
      </c>
      <c r="J165" s="10">
        <f>IFERROR(MIN(IF(C165:H165&lt;&gt;"",C165:H165)),"")</f>
        <v/>
      </c>
      <c r="K165" s="10">
        <f>IFERROR(MATCH(I165,C165:H165,0),"")</f>
        <v/>
      </c>
      <c r="L165" s="10">
        <f>IF(OR(I165="",J165=""),"",ROUND((I165-J165)/I165*100,1))</f>
        <v/>
      </c>
      <c r="M165" s="10">
        <f>IF(L165="","",IF(L165&gt;=15,"是","否"))</f>
        <v/>
      </c>
      <c r="N165" s="10">
        <f>IF(J165="","",IF(J165&lt;0.15,"是","否"))</f>
        <v/>
      </c>
      <c r="O165" s="10">
        <f>IF(I165="","",IF(J165&lt;0.15,"SAFETY_STOP",IF(L165&gt;=15,"VL_THRESHOLD","PLANNED_END")))</f>
        <v/>
      </c>
      <c r="P165" s="10">
        <f>IF(I165="","",IF(I165&gt;($D$2+0.05),"+5kg",IF(I165&gt;($D$2+0.02),"+2.5kg",IF(I165&gt;=($D$2-0.05),"保持",IF(I165&gt;=($D$2-0.08),"-2.5kg","-5kg")))))</f>
        <v/>
      </c>
      <c r="Q165" s="9" t="n"/>
      <c r="R165" s="12" t="n"/>
      <c r="S165" s="12" t="n"/>
      <c r="T165" s="12" t="n"/>
    </row>
    <row r="166">
      <c r="A166" s="12" t="n">
        <v>4</v>
      </c>
      <c r="B166" s="9" t="n"/>
      <c r="C166" s="9" t="n"/>
      <c r="D166" s="9" t="n"/>
      <c r="E166" s="9" t="n"/>
      <c r="F166" s="9" t="n"/>
      <c r="G166" s="9" t="n"/>
      <c r="H166" s="9" t="n"/>
      <c r="I166" s="10">
        <f>IFERROR(INDEX(C166:H166,MATCH(TRUE,INDEX(C166:H166&lt;&gt;"",0),0)),"")</f>
        <v/>
      </c>
      <c r="J166" s="10">
        <f>IFERROR(MIN(IF(C166:H166&lt;&gt;"",C166:H166)),"")</f>
        <v/>
      </c>
      <c r="K166" s="10">
        <f>IFERROR(MATCH(I166,C166:H166,0),"")</f>
        <v/>
      </c>
      <c r="L166" s="10">
        <f>IF(OR(I166="",J166=""),"",ROUND((I166-J166)/I166*100,1))</f>
        <v/>
      </c>
      <c r="M166" s="10">
        <f>IF(L166="","",IF(L166&gt;=15,"是","否"))</f>
        <v/>
      </c>
      <c r="N166" s="10">
        <f>IF(J166="","",IF(J166&lt;0.15,"是","否"))</f>
        <v/>
      </c>
      <c r="O166" s="10">
        <f>IF(I166="","",IF(J166&lt;0.15,"SAFETY_STOP",IF(L166&gt;=15,"VL_THRESHOLD","PLANNED_END")))</f>
        <v/>
      </c>
      <c r="P166" s="10">
        <f>IF(I166="","",IF(I166&gt;($D$2+0.05),"+5kg",IF(I166&gt;($D$2+0.02),"+2.5kg",IF(I166&gt;=($D$2-0.05),"保持",IF(I166&gt;=($D$2-0.08),"-2.5kg","-5kg")))))</f>
        <v/>
      </c>
      <c r="Q166" s="9" t="n"/>
      <c r="R166" s="12" t="n"/>
      <c r="S166" s="12" t="n"/>
      <c r="T166" s="12" t="n"/>
    </row>
    <row r="167">
      <c r="A167" s="12" t="n">
        <v>5</v>
      </c>
      <c r="B167" s="9" t="n"/>
      <c r="C167" s="9" t="n"/>
      <c r="D167" s="9" t="n"/>
      <c r="E167" s="9" t="n"/>
      <c r="F167" s="9" t="n"/>
      <c r="G167" s="9" t="n"/>
      <c r="H167" s="9" t="n"/>
      <c r="I167" s="10">
        <f>IFERROR(INDEX(C167:H167,MATCH(TRUE,INDEX(C167:H167&lt;&gt;"",0),0)),"")</f>
        <v/>
      </c>
      <c r="J167" s="10">
        <f>IFERROR(MIN(IF(C167:H167&lt;&gt;"",C167:H167)),"")</f>
        <v/>
      </c>
      <c r="K167" s="10">
        <f>IFERROR(MATCH(I167,C167:H167,0),"")</f>
        <v/>
      </c>
      <c r="L167" s="10">
        <f>IF(OR(I167="",J167=""),"",ROUND((I167-J167)/I167*100,1))</f>
        <v/>
      </c>
      <c r="M167" s="10">
        <f>IF(L167="","",IF(L167&gt;=15,"是","否"))</f>
        <v/>
      </c>
      <c r="N167" s="10">
        <f>IF(J167="","",IF(J167&lt;0.15,"是","否"))</f>
        <v/>
      </c>
      <c r="O167" s="10">
        <f>IF(I167="","",IF(J167&lt;0.15,"SAFETY_STOP",IF(L167&gt;=15,"VL_THRESHOLD","PLANNED_END")))</f>
        <v/>
      </c>
      <c r="P167" s="10">
        <f>IF(I167="","",IF(I167&gt;($D$2+0.05),"+5kg",IF(I167&gt;($D$2+0.02),"+2.5kg",IF(I167&gt;=($D$2-0.05),"保持",IF(I167&gt;=($D$2-0.08),"-2.5kg","-5kg")))))</f>
        <v/>
      </c>
      <c r="Q167" s="9" t="n"/>
      <c r="R167" s="12" t="n"/>
      <c r="S167" s="12" t="n"/>
      <c r="T167" s="12" t="n"/>
    </row>
    <row r="168">
      <c r="A168" s="12" t="n">
        <v>6</v>
      </c>
      <c r="B168" s="9" t="n"/>
      <c r="C168" s="9" t="n"/>
      <c r="D168" s="9" t="n"/>
      <c r="E168" s="9" t="n"/>
      <c r="F168" s="9" t="n"/>
      <c r="G168" s="9" t="n"/>
      <c r="H168" s="9" t="n"/>
      <c r="I168" s="10">
        <f>IFERROR(INDEX(C168:H168,MATCH(TRUE,INDEX(C168:H168&lt;&gt;"",0),0)),"")</f>
        <v/>
      </c>
      <c r="J168" s="10">
        <f>IFERROR(MIN(IF(C168:H168&lt;&gt;"",C168:H168)),"")</f>
        <v/>
      </c>
      <c r="K168" s="10">
        <f>IFERROR(MATCH(I168,C168:H168,0),"")</f>
        <v/>
      </c>
      <c r="L168" s="10">
        <f>IF(OR(I168="",J168=""),"",ROUND((I168-J168)/I168*100,1))</f>
        <v/>
      </c>
      <c r="M168" s="10">
        <f>IF(L168="","",IF(L168&gt;=15,"是","否"))</f>
        <v/>
      </c>
      <c r="N168" s="10">
        <f>IF(J168="","",IF(J168&lt;0.15,"是","否"))</f>
        <v/>
      </c>
      <c r="O168" s="10">
        <f>IF(I168="","",IF(J168&lt;0.15,"SAFETY_STOP",IF(L168&gt;=15,"VL_THRESHOLD","PLANNED_END")))</f>
        <v/>
      </c>
      <c r="P168" s="10">
        <f>IF(I168="","",IF(I168&gt;($D$2+0.05),"+5kg",IF(I168&gt;($D$2+0.02),"+2.5kg",IF(I168&gt;=($D$2-0.05),"保持",IF(I168&gt;=($D$2-0.08),"-2.5kg","-5kg")))))</f>
        <v/>
      </c>
      <c r="Q168" s="9" t="n"/>
      <c r="R168" s="12" t="n"/>
      <c r="S168" s="12" t="n"/>
      <c r="T168" s="12" t="n"/>
    </row>
    <row r="169">
      <c r="A169" s="8" t="inlineStr">
        <is>
          <t>辅助动作</t>
        </is>
      </c>
      <c r="B169" s="8" t="inlineStr">
        <is>
          <t>动作名称</t>
        </is>
      </c>
      <c r="C169" s="8" t="inlineStr">
        <is>
          <t>负荷kg</t>
        </is>
      </c>
      <c r="D169" s="8" t="inlineStr">
        <is>
          <t>完成(组×次)</t>
        </is>
      </c>
    </row>
    <row r="170">
      <c r="A170" s="9" t="inlineStr"/>
      <c r="B170" s="9" t="n"/>
      <c r="C170" s="9" t="n"/>
      <c r="D170" s="9" t="n"/>
    </row>
    <row r="171">
      <c r="A171" s="8" t="inlineStr">
        <is>
          <t>训练后</t>
        </is>
      </c>
      <c r="B171" s="8" t="inlineStr">
        <is>
          <t>开始时间</t>
        </is>
      </c>
      <c r="C171" s="8" t="inlineStr">
        <is>
          <t>结束时间</t>
        </is>
      </c>
      <c r="D171" s="8" t="inlineStr">
        <is>
          <t>总时长min</t>
        </is>
      </c>
      <c r="E171" s="8" t="inlineStr">
        <is>
          <t>sRPE</t>
        </is>
      </c>
      <c r="F171" s="8" t="inlineStr">
        <is>
          <t>session_load</t>
        </is>
      </c>
      <c r="G171" s="8" t="inlineStr">
        <is>
          <t>有无不适</t>
        </is>
      </c>
      <c r="H171" s="8" t="inlineStr">
        <is>
          <t>备注</t>
        </is>
      </c>
      <c r="I171" s="8" t="inlineStr">
        <is>
          <t>研究员签名</t>
        </is>
      </c>
    </row>
    <row r="172">
      <c r="A172" s="13" t="inlineStr"/>
      <c r="B172" s="13" t="n"/>
      <c r="C172" s="13" t="n"/>
      <c r="D172" s="10">
        <f>IF(OR(B172="",C172=""),"",(C172-B172)*1440)</f>
        <v/>
      </c>
      <c r="E172" s="13" t="n"/>
      <c r="F172" s="10">
        <f>IF(OR(D172="",E172=""),"",D172*E172)</f>
        <v/>
      </c>
      <c r="G172" s="13" t="n"/>
      <c r="H172" s="13" t="n"/>
      <c r="I172" s="13" t="n"/>
    </row>
    <row r="174">
      <c r="A174" s="5" t="inlineStr">
        <is>
          <t>── P010 张锦荣 ──────────────────────────────────────────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" t="n"/>
    </row>
    <row r="175">
      <c r="A175" s="8" t="inlineStr">
        <is>
          <t>编号</t>
        </is>
      </c>
      <c r="B175" s="8" t="inlineStr">
        <is>
          <t>姓名</t>
        </is>
      </c>
      <c r="C175" s="8" t="inlineStr">
        <is>
          <t>身高</t>
        </is>
      </c>
      <c r="D175" s="8" t="inlineStr">
        <is>
          <t>1RM</t>
        </is>
      </c>
      <c r="E175" s="8" t="inlineStr">
        <is>
          <t>睡眠</t>
        </is>
      </c>
      <c r="F175" s="8" t="inlineStr">
        <is>
          <t>压力</t>
        </is>
      </c>
      <c r="G175" s="8" t="inlineStr">
        <is>
          <t>疲劳</t>
        </is>
      </c>
      <c r="H175" s="8" t="inlineStr">
        <is>
          <t>酸痛</t>
        </is>
      </c>
      <c r="I175" s="8" t="inlineStr">
        <is>
          <t>Hooper总</t>
        </is>
      </c>
      <c r="J175" s="8" t="inlineStr">
        <is>
          <t>CMJ1</t>
        </is>
      </c>
      <c r="K175" s="8" t="inlineStr">
        <is>
          <t>CMJ2</t>
        </is>
      </c>
      <c r="L175" s="8" t="inlineStr">
        <is>
          <t>CMJ3</t>
        </is>
      </c>
      <c r="M175" s="8" t="inlineStr">
        <is>
          <t>CMJ均值</t>
        </is>
      </c>
      <c r="N175" s="8" t="inlineStr">
        <is>
          <t>&lt;95%?</t>
        </is>
      </c>
      <c r="O175" s="8" t="inlineStr">
        <is>
          <t>减组?</t>
        </is>
      </c>
      <c r="P175" s="8" t="inlineStr">
        <is>
          <t>实做组数</t>
        </is>
      </c>
      <c r="Q175" s="8" t="inlineStr">
        <is>
          <t>LVP_a</t>
        </is>
      </c>
      <c r="R175" s="8" t="inlineStr">
        <is>
          <t>LVP_b</t>
        </is>
      </c>
      <c r="S175" s="8" t="inlineStr">
        <is>
          <t>等级</t>
        </is>
      </c>
      <c r="T175" s="8" t="inlineStr">
        <is>
          <t>预测起始</t>
        </is>
      </c>
    </row>
    <row r="176">
      <c r="A176" s="9" t="inlineStr">
        <is>
          <t>P010</t>
        </is>
      </c>
      <c r="B176" s="9" t="inlineStr">
        <is>
          <t>张锦荣</t>
        </is>
      </c>
      <c r="C176" s="9" t="n">
        <v>174</v>
      </c>
      <c r="D176" s="9" t="n">
        <v>120</v>
      </c>
      <c r="E176" s="9" t="n"/>
      <c r="F176" s="9" t="n"/>
      <c r="G176" s="9" t="n"/>
      <c r="H176" s="9" t="n"/>
      <c r="I176" s="10">
        <f>IFERROR(SUM(E176:H176),"")</f>
        <v/>
      </c>
      <c r="J176" s="9" t="n"/>
      <c r="K176" s="9" t="n"/>
      <c r="L176" s="9" t="n"/>
      <c r="M176" s="10">
        <f>IFERROR(AVERAGE(J176:L176),"")</f>
        <v/>
      </c>
      <c r="N176" s="10">
        <f>IF(M176="","",IF(M176&lt;50.42,"是⚠","否"))</f>
        <v/>
      </c>
      <c r="O176" s="10">
        <f>IF(M176="","",IF(M176&lt;50.42,"减1组","正常"))</f>
        <v/>
      </c>
      <c r="P176" s="10">
        <f>IF(M176="","",IF(M176&lt;50.42,3-1,3))</f>
        <v/>
      </c>
      <c r="Q176" s="9" t="n">
        <v>1.26</v>
      </c>
      <c r="R176" s="9" t="n">
        <v>-0.006</v>
      </c>
      <c r="S176" s="9" t="inlineStr">
        <is>
          <t>B</t>
        </is>
      </c>
      <c r="T176" s="10">
        <f>IFERROR(ROUND((0.55-1.26)/-0.006,0.5),"")</f>
        <v/>
      </c>
    </row>
    <row r="177">
      <c r="A177" s="8" t="inlineStr">
        <is>
          <t>热身校准</t>
        </is>
      </c>
      <c r="B177" s="8" t="inlineStr">
        <is>
          <t>LVP_a</t>
        </is>
      </c>
      <c r="C177" s="8" t="inlineStr">
        <is>
          <t>LVP_b</t>
        </is>
      </c>
      <c r="D177" s="8" t="inlineStr">
        <is>
          <t>50%热身kg</t>
        </is>
      </c>
      <c r="E177" s="8" t="inlineStr">
        <is>
          <t>70%热身kg</t>
        </is>
      </c>
      <c r="F177" s="8" t="inlineStr">
        <is>
          <t>热身负荷kg</t>
        </is>
      </c>
      <c r="G177" s="8" t="inlineStr">
        <is>
          <t>实测MCV</t>
        </is>
      </c>
      <c r="H177" s="8" t="inlineStr">
        <is>
          <t>预测MCV</t>
        </is>
      </c>
      <c r="I177" s="8" t="inlineStr">
        <is>
          <t>Δv</t>
        </is>
      </c>
      <c r="J177" s="8" t="inlineStr">
        <is>
          <t>调整量kg</t>
        </is>
      </c>
      <c r="K177" s="8" t="inlineStr">
        <is>
          <t>校准后第1组kg</t>
        </is>
      </c>
    </row>
    <row r="178">
      <c r="A178" s="11" t="inlineStr"/>
      <c r="B178" s="11" t="n">
        <v>1.26</v>
      </c>
      <c r="C178" s="11" t="n">
        <v>-0.006</v>
      </c>
      <c r="D178" s="10">
        <f>IFERROR(ROUND(T176*0.5,2.5),"")</f>
        <v/>
      </c>
      <c r="E178" s="10">
        <f>IFERROR(ROUND(T176*0.7,2.5),"")</f>
        <v/>
      </c>
      <c r="F178" s="10">
        <f>E178</f>
        <v/>
      </c>
      <c r="G178" s="9" t="n"/>
      <c r="H178" s="10">
        <f>IF(F178="","",B178+C178*F178)</f>
        <v/>
      </c>
      <c r="I178" s="10">
        <f>IF(OR(G178="",H178=""),"",G178-H178)</f>
        <v/>
      </c>
      <c r="J178" s="10">
        <f>IF(I178="","",IF(I178&gt;0.08,5,IF(I178&gt;0.04,2.5,IF(I178&gt;=-0.04,0,IF(I178&gt;=-0.08,-2.5,-5)))))</f>
        <v/>
      </c>
      <c r="K178" s="10">
        <f>IFERROR(ROUND(T176+J178,2.5),"")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8" t="inlineStr">
        <is>
          <t>组次</t>
        </is>
      </c>
      <c r="B179" s="8" t="inlineStr">
        <is>
          <t>负荷kg</t>
        </is>
      </c>
      <c r="C179" s="8" t="inlineStr">
        <is>
          <t>rep1</t>
        </is>
      </c>
      <c r="D179" s="8" t="inlineStr">
        <is>
          <t>rep2</t>
        </is>
      </c>
      <c r="E179" s="8" t="inlineStr">
        <is>
          <t>rep3</t>
        </is>
      </c>
      <c r="F179" s="8" t="inlineStr">
        <is>
          <t>rep4</t>
        </is>
      </c>
      <c r="G179" s="8" t="inlineStr">
        <is>
          <t>rep5</t>
        </is>
      </c>
      <c r="H179" s="8" t="inlineStr">
        <is>
          <t>rep6</t>
        </is>
      </c>
      <c r="I179" s="8" t="inlineStr">
        <is>
          <t>首rep</t>
        </is>
      </c>
      <c r="J179" s="8" t="inlineStr">
        <is>
          <t>最低速</t>
        </is>
      </c>
      <c r="K179" s="8" t="inlineStr">
        <is>
          <t>最低rep#</t>
        </is>
      </c>
      <c r="L179" s="8" t="inlineStr">
        <is>
          <t>VL%</t>
        </is>
      </c>
      <c r="M179" s="8" t="inlineStr">
        <is>
          <t>VL达标?</t>
        </is>
      </c>
      <c r="N179" s="8" t="inlineStr">
        <is>
          <t>安全停止?</t>
        </is>
      </c>
      <c r="O179" s="8" t="inlineStr">
        <is>
          <t>停组原因</t>
        </is>
      </c>
      <c r="P179" s="8" t="inlineStr">
        <is>
          <t>下组建议</t>
        </is>
      </c>
      <c r="Q179" s="8" t="inlineStr">
        <is>
          <t>实做次数</t>
        </is>
      </c>
    </row>
    <row r="180">
      <c r="A180" s="12" t="n">
        <v>1</v>
      </c>
      <c r="B180" s="10">
        <f>IF(K178="","",K178)</f>
        <v/>
      </c>
      <c r="C180" s="9" t="n"/>
      <c r="D180" s="9" t="n"/>
      <c r="E180" s="9" t="n"/>
      <c r="F180" s="9" t="n"/>
      <c r="G180" s="9" t="n"/>
      <c r="H180" s="9" t="n"/>
      <c r="I180" s="10">
        <f>IFERROR(INDEX(C180:H180,MATCH(TRUE,INDEX(C180:H180&lt;&gt;"",0),0)),"")</f>
        <v/>
      </c>
      <c r="J180" s="10">
        <f>IFERROR(MIN(IF(C180:H180&lt;&gt;"",C180:H180)),"")</f>
        <v/>
      </c>
      <c r="K180" s="10">
        <f>IFERROR(MATCH(I180,C180:H180,0),"")</f>
        <v/>
      </c>
      <c r="L180" s="10">
        <f>IF(OR(I180="",J180=""),"",ROUND((I180-J180)/I180*100,1))</f>
        <v/>
      </c>
      <c r="M180" s="10">
        <f>IF(L180="","",IF(L180&gt;=15,"是","否"))</f>
        <v/>
      </c>
      <c r="N180" s="10">
        <f>IF(J180="","",IF(J180&lt;0.15,"是","否"))</f>
        <v/>
      </c>
      <c r="O180" s="10">
        <f>IF(I180="","",IF(J180&lt;0.15,"SAFETY_STOP",IF(L180&gt;=15,"VL_THRESHOLD","PLANNED_END")))</f>
        <v/>
      </c>
      <c r="P180" s="10">
        <f>IF(I180="","",IF(I180&gt;($D$2+0.05),"+5kg",IF(I180&gt;($D$2+0.02),"+2.5kg",IF(I180&gt;=($D$2-0.05),"保持",IF(I180&gt;=($D$2-0.08),"-2.5kg","-5kg")))))</f>
        <v/>
      </c>
      <c r="Q180" s="9" t="n"/>
      <c r="R180" s="12" t="n"/>
      <c r="S180" s="12" t="n"/>
      <c r="T180" s="12" t="n"/>
    </row>
    <row r="181">
      <c r="A181" s="12" t="n">
        <v>2</v>
      </c>
      <c r="B181" s="9" t="n"/>
      <c r="C181" s="9" t="n"/>
      <c r="D181" s="9" t="n"/>
      <c r="E181" s="9" t="n"/>
      <c r="F181" s="9" t="n"/>
      <c r="G181" s="9" t="n"/>
      <c r="H181" s="9" t="n"/>
      <c r="I181" s="10">
        <f>IFERROR(INDEX(C181:H181,MATCH(TRUE,INDEX(C181:H181&lt;&gt;"",0),0)),"")</f>
        <v/>
      </c>
      <c r="J181" s="10">
        <f>IFERROR(MIN(IF(C181:H181&lt;&gt;"",C181:H181)),"")</f>
        <v/>
      </c>
      <c r="K181" s="10">
        <f>IFERROR(MATCH(I181,C181:H181,0),"")</f>
        <v/>
      </c>
      <c r="L181" s="10">
        <f>IF(OR(I181="",J181=""),"",ROUND((I181-J181)/I181*100,1))</f>
        <v/>
      </c>
      <c r="M181" s="10">
        <f>IF(L181="","",IF(L181&gt;=15,"是","否"))</f>
        <v/>
      </c>
      <c r="N181" s="10">
        <f>IF(J181="","",IF(J181&lt;0.15,"是","否"))</f>
        <v/>
      </c>
      <c r="O181" s="10">
        <f>IF(I181="","",IF(J181&lt;0.15,"SAFETY_STOP",IF(L181&gt;=15,"VL_THRESHOLD","PLANNED_END")))</f>
        <v/>
      </c>
      <c r="P181" s="10">
        <f>IF(I181="","",IF(I181&gt;($D$2+0.05),"+5kg",IF(I181&gt;($D$2+0.02),"+2.5kg",IF(I181&gt;=($D$2-0.05),"保持",IF(I181&gt;=($D$2-0.08),"-2.5kg","-5kg")))))</f>
        <v/>
      </c>
      <c r="Q181" s="9" t="n"/>
      <c r="R181" s="12" t="n"/>
      <c r="S181" s="12" t="n"/>
      <c r="T181" s="12" t="n"/>
    </row>
    <row r="182">
      <c r="A182" s="12" t="n">
        <v>3</v>
      </c>
      <c r="B182" s="9" t="n"/>
      <c r="C182" s="9" t="n"/>
      <c r="D182" s="9" t="n"/>
      <c r="E182" s="9" t="n"/>
      <c r="F182" s="9" t="n"/>
      <c r="G182" s="9" t="n"/>
      <c r="H182" s="9" t="n"/>
      <c r="I182" s="10">
        <f>IFERROR(INDEX(C182:H182,MATCH(TRUE,INDEX(C182:H182&lt;&gt;"",0),0)),"")</f>
        <v/>
      </c>
      <c r="J182" s="10">
        <f>IFERROR(MIN(IF(C182:H182&lt;&gt;"",C182:H182)),"")</f>
        <v/>
      </c>
      <c r="K182" s="10">
        <f>IFERROR(MATCH(I182,C182:H182,0),"")</f>
        <v/>
      </c>
      <c r="L182" s="10">
        <f>IF(OR(I182="",J182=""),"",ROUND((I182-J182)/I182*100,1))</f>
        <v/>
      </c>
      <c r="M182" s="10">
        <f>IF(L182="","",IF(L182&gt;=15,"是","否"))</f>
        <v/>
      </c>
      <c r="N182" s="10">
        <f>IF(J182="","",IF(J182&lt;0.15,"是","否"))</f>
        <v/>
      </c>
      <c r="O182" s="10">
        <f>IF(I182="","",IF(J182&lt;0.15,"SAFETY_STOP",IF(L182&gt;=15,"VL_THRESHOLD","PLANNED_END")))</f>
        <v/>
      </c>
      <c r="P182" s="10">
        <f>IF(I182="","",IF(I182&gt;($D$2+0.05),"+5kg",IF(I182&gt;($D$2+0.02),"+2.5kg",IF(I182&gt;=($D$2-0.05),"保持",IF(I182&gt;=($D$2-0.08),"-2.5kg","-5kg")))))</f>
        <v/>
      </c>
      <c r="Q182" s="9" t="n"/>
      <c r="R182" s="12" t="n"/>
      <c r="S182" s="12" t="n"/>
      <c r="T182" s="12" t="n"/>
    </row>
    <row r="183">
      <c r="A183" s="12" t="n">
        <v>4</v>
      </c>
      <c r="B183" s="9" t="n"/>
      <c r="C183" s="9" t="n"/>
      <c r="D183" s="9" t="n"/>
      <c r="E183" s="9" t="n"/>
      <c r="F183" s="9" t="n"/>
      <c r="G183" s="9" t="n"/>
      <c r="H183" s="9" t="n"/>
      <c r="I183" s="10">
        <f>IFERROR(INDEX(C183:H183,MATCH(TRUE,INDEX(C183:H183&lt;&gt;"",0),0)),"")</f>
        <v/>
      </c>
      <c r="J183" s="10">
        <f>IFERROR(MIN(IF(C183:H183&lt;&gt;"",C183:H183)),"")</f>
        <v/>
      </c>
      <c r="K183" s="10">
        <f>IFERROR(MATCH(I183,C183:H183,0),"")</f>
        <v/>
      </c>
      <c r="L183" s="10">
        <f>IF(OR(I183="",J183=""),"",ROUND((I183-J183)/I183*100,1))</f>
        <v/>
      </c>
      <c r="M183" s="10">
        <f>IF(L183="","",IF(L183&gt;=15,"是","否"))</f>
        <v/>
      </c>
      <c r="N183" s="10">
        <f>IF(J183="","",IF(J183&lt;0.15,"是","否"))</f>
        <v/>
      </c>
      <c r="O183" s="10">
        <f>IF(I183="","",IF(J183&lt;0.15,"SAFETY_STOP",IF(L183&gt;=15,"VL_THRESHOLD","PLANNED_END")))</f>
        <v/>
      </c>
      <c r="P183" s="10">
        <f>IF(I183="","",IF(I183&gt;($D$2+0.05),"+5kg",IF(I183&gt;($D$2+0.02),"+2.5kg",IF(I183&gt;=($D$2-0.05),"保持",IF(I183&gt;=($D$2-0.08),"-2.5kg","-5kg")))))</f>
        <v/>
      </c>
      <c r="Q183" s="9" t="n"/>
      <c r="R183" s="12" t="n"/>
      <c r="S183" s="12" t="n"/>
      <c r="T183" s="12" t="n"/>
    </row>
    <row r="184">
      <c r="A184" s="12" t="n">
        <v>5</v>
      </c>
      <c r="B184" s="9" t="n"/>
      <c r="C184" s="9" t="n"/>
      <c r="D184" s="9" t="n"/>
      <c r="E184" s="9" t="n"/>
      <c r="F184" s="9" t="n"/>
      <c r="G184" s="9" t="n"/>
      <c r="H184" s="9" t="n"/>
      <c r="I184" s="10">
        <f>IFERROR(INDEX(C184:H184,MATCH(TRUE,INDEX(C184:H184&lt;&gt;"",0),0)),"")</f>
        <v/>
      </c>
      <c r="J184" s="10">
        <f>IFERROR(MIN(IF(C184:H184&lt;&gt;"",C184:H184)),"")</f>
        <v/>
      </c>
      <c r="K184" s="10">
        <f>IFERROR(MATCH(I184,C184:H184,0),"")</f>
        <v/>
      </c>
      <c r="L184" s="10">
        <f>IF(OR(I184="",J184=""),"",ROUND((I184-J184)/I184*100,1))</f>
        <v/>
      </c>
      <c r="M184" s="10">
        <f>IF(L184="","",IF(L184&gt;=15,"是","否"))</f>
        <v/>
      </c>
      <c r="N184" s="10">
        <f>IF(J184="","",IF(J184&lt;0.15,"是","否"))</f>
        <v/>
      </c>
      <c r="O184" s="10">
        <f>IF(I184="","",IF(J184&lt;0.15,"SAFETY_STOP",IF(L184&gt;=15,"VL_THRESHOLD","PLANNED_END")))</f>
        <v/>
      </c>
      <c r="P184" s="10">
        <f>IF(I184="","",IF(I184&gt;($D$2+0.05),"+5kg",IF(I184&gt;($D$2+0.02),"+2.5kg",IF(I184&gt;=($D$2-0.05),"保持",IF(I184&gt;=($D$2-0.08),"-2.5kg","-5kg")))))</f>
        <v/>
      </c>
      <c r="Q184" s="9" t="n"/>
      <c r="R184" s="12" t="n"/>
      <c r="S184" s="12" t="n"/>
      <c r="T184" s="12" t="n"/>
    </row>
    <row r="185">
      <c r="A185" s="12" t="n">
        <v>6</v>
      </c>
      <c r="B185" s="9" t="n"/>
      <c r="C185" s="9" t="n"/>
      <c r="D185" s="9" t="n"/>
      <c r="E185" s="9" t="n"/>
      <c r="F185" s="9" t="n"/>
      <c r="G185" s="9" t="n"/>
      <c r="H185" s="9" t="n"/>
      <c r="I185" s="10">
        <f>IFERROR(INDEX(C185:H185,MATCH(TRUE,INDEX(C185:H185&lt;&gt;"",0),0)),"")</f>
        <v/>
      </c>
      <c r="J185" s="10">
        <f>IFERROR(MIN(IF(C185:H185&lt;&gt;"",C185:H185)),"")</f>
        <v/>
      </c>
      <c r="K185" s="10">
        <f>IFERROR(MATCH(I185,C185:H185,0),"")</f>
        <v/>
      </c>
      <c r="L185" s="10">
        <f>IF(OR(I185="",J185=""),"",ROUND((I185-J185)/I185*100,1))</f>
        <v/>
      </c>
      <c r="M185" s="10">
        <f>IF(L185="","",IF(L185&gt;=15,"是","否"))</f>
        <v/>
      </c>
      <c r="N185" s="10">
        <f>IF(J185="","",IF(J185&lt;0.15,"是","否"))</f>
        <v/>
      </c>
      <c r="O185" s="10">
        <f>IF(I185="","",IF(J185&lt;0.15,"SAFETY_STOP",IF(L185&gt;=15,"VL_THRESHOLD","PLANNED_END")))</f>
        <v/>
      </c>
      <c r="P185" s="10">
        <f>IF(I185="","",IF(I185&gt;($D$2+0.05),"+5kg",IF(I185&gt;($D$2+0.02),"+2.5kg",IF(I185&gt;=($D$2-0.05),"保持",IF(I185&gt;=($D$2-0.08),"-2.5kg","-5kg")))))</f>
        <v/>
      </c>
      <c r="Q185" s="9" t="n"/>
      <c r="R185" s="12" t="n"/>
      <c r="S185" s="12" t="n"/>
      <c r="T185" s="12" t="n"/>
    </row>
    <row r="186">
      <c r="A186" s="8" t="inlineStr">
        <is>
          <t>辅助动作</t>
        </is>
      </c>
      <c r="B186" s="8" t="inlineStr">
        <is>
          <t>动作名称</t>
        </is>
      </c>
      <c r="C186" s="8" t="inlineStr">
        <is>
          <t>负荷kg</t>
        </is>
      </c>
      <c r="D186" s="8" t="inlineStr">
        <is>
          <t>完成(组×次)</t>
        </is>
      </c>
    </row>
    <row r="187">
      <c r="A187" s="9" t="inlineStr"/>
      <c r="B187" s="9" t="n"/>
      <c r="C187" s="9" t="n"/>
      <c r="D187" s="9" t="n"/>
    </row>
    <row r="188">
      <c r="A188" s="8" t="inlineStr">
        <is>
          <t>训练后</t>
        </is>
      </c>
      <c r="B188" s="8" t="inlineStr">
        <is>
          <t>开始时间</t>
        </is>
      </c>
      <c r="C188" s="8" t="inlineStr">
        <is>
          <t>结束时间</t>
        </is>
      </c>
      <c r="D188" s="8" t="inlineStr">
        <is>
          <t>总时长min</t>
        </is>
      </c>
      <c r="E188" s="8" t="inlineStr">
        <is>
          <t>sRPE</t>
        </is>
      </c>
      <c r="F188" s="8" t="inlineStr">
        <is>
          <t>session_load</t>
        </is>
      </c>
      <c r="G188" s="8" t="inlineStr">
        <is>
          <t>有无不适</t>
        </is>
      </c>
      <c r="H188" s="8" t="inlineStr">
        <is>
          <t>备注</t>
        </is>
      </c>
      <c r="I188" s="8" t="inlineStr">
        <is>
          <t>研究员签名</t>
        </is>
      </c>
    </row>
    <row r="189">
      <c r="A189" s="13" t="inlineStr"/>
      <c r="B189" s="13" t="n"/>
      <c r="C189" s="13" t="n"/>
      <c r="D189" s="10">
        <f>IF(OR(B189="",C189=""),"",(C189-B189)*1440)</f>
        <v/>
      </c>
      <c r="E189" s="13" t="n"/>
      <c r="F189" s="10">
        <f>IF(OR(D189="",E189=""),"",D189*E189)</f>
        <v/>
      </c>
      <c r="G189" s="13" t="n"/>
      <c r="H189" s="13" t="n"/>
      <c r="I189" s="13" t="n"/>
    </row>
    <row r="191">
      <c r="A191" s="5" t="inlineStr">
        <is>
          <t>── P009 王宏池 ──────────────────────────────────────────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7" t="n"/>
    </row>
    <row r="192">
      <c r="A192" s="8" t="inlineStr">
        <is>
          <t>编号</t>
        </is>
      </c>
      <c r="B192" s="8" t="inlineStr">
        <is>
          <t>姓名</t>
        </is>
      </c>
      <c r="C192" s="8" t="inlineStr">
        <is>
          <t>身高</t>
        </is>
      </c>
      <c r="D192" s="8" t="inlineStr">
        <is>
          <t>1RM</t>
        </is>
      </c>
      <c r="E192" s="8" t="inlineStr">
        <is>
          <t>睡眠</t>
        </is>
      </c>
      <c r="F192" s="8" t="inlineStr">
        <is>
          <t>压力</t>
        </is>
      </c>
      <c r="G192" s="8" t="inlineStr">
        <is>
          <t>疲劳</t>
        </is>
      </c>
      <c r="H192" s="8" t="inlineStr">
        <is>
          <t>酸痛</t>
        </is>
      </c>
      <c r="I192" s="8" t="inlineStr">
        <is>
          <t>Hooper总</t>
        </is>
      </c>
      <c r="J192" s="8" t="inlineStr">
        <is>
          <t>CMJ1</t>
        </is>
      </c>
      <c r="K192" s="8" t="inlineStr">
        <is>
          <t>CMJ2</t>
        </is>
      </c>
      <c r="L192" s="8" t="inlineStr">
        <is>
          <t>CMJ3</t>
        </is>
      </c>
      <c r="M192" s="8" t="inlineStr">
        <is>
          <t>CMJ均值</t>
        </is>
      </c>
      <c r="N192" s="8" t="inlineStr">
        <is>
          <t>&lt;95%?</t>
        </is>
      </c>
      <c r="O192" s="8" t="inlineStr">
        <is>
          <t>减组?</t>
        </is>
      </c>
      <c r="P192" s="8" t="inlineStr">
        <is>
          <t>实做组数</t>
        </is>
      </c>
      <c r="Q192" s="8" t="inlineStr">
        <is>
          <t>LVP_a</t>
        </is>
      </c>
      <c r="R192" s="8" t="inlineStr">
        <is>
          <t>LVP_b</t>
        </is>
      </c>
      <c r="S192" s="8" t="inlineStr">
        <is>
          <t>等级</t>
        </is>
      </c>
      <c r="T192" s="8" t="inlineStr">
        <is>
          <t>预测起始</t>
        </is>
      </c>
    </row>
    <row r="193">
      <c r="A193" s="9" t="inlineStr">
        <is>
          <t>P009</t>
        </is>
      </c>
      <c r="B193" s="9" t="inlineStr">
        <is>
          <t>王宏池</t>
        </is>
      </c>
      <c r="C193" s="9" t="n">
        <v>185</v>
      </c>
      <c r="D193" s="9" t="n">
        <v>135</v>
      </c>
      <c r="E193" s="9" t="n"/>
      <c r="F193" s="9" t="n"/>
      <c r="G193" s="9" t="n"/>
      <c r="H193" s="9" t="n"/>
      <c r="I193" s="10">
        <f>IFERROR(SUM(E193:H193),"")</f>
        <v/>
      </c>
      <c r="J193" s="9" t="n"/>
      <c r="K193" s="9" t="n"/>
      <c r="L193" s="9" t="n"/>
      <c r="M193" s="10">
        <f>IFERROR(AVERAGE(J193:L193),"")</f>
        <v/>
      </c>
      <c r="N193" s="10">
        <f>IF(M193="","",IF(M193&lt;54.27,"是⚠","否"))</f>
        <v/>
      </c>
      <c r="O193" s="10">
        <f>IF(M193="","",IF(M193&lt;54.27,"减1组","正常"))</f>
        <v/>
      </c>
      <c r="P193" s="10">
        <f>IF(M193="","",IF(M193&lt;54.27,3-1,3))</f>
        <v/>
      </c>
      <c r="Q193" s="9" t="n">
        <v>1.5667</v>
      </c>
      <c r="R193" s="9" t="n">
        <v>-0.008500000000000001</v>
      </c>
      <c r="S193" s="9" t="inlineStr">
        <is>
          <t>B</t>
        </is>
      </c>
      <c r="T193" s="10">
        <f>IFERROR(ROUND((0.55-1.5667)/-0.0085,0.5),"")</f>
        <v/>
      </c>
    </row>
    <row r="194">
      <c r="A194" s="8" t="inlineStr">
        <is>
          <t>热身校准</t>
        </is>
      </c>
      <c r="B194" s="8" t="inlineStr">
        <is>
          <t>LVP_a</t>
        </is>
      </c>
      <c r="C194" s="8" t="inlineStr">
        <is>
          <t>LVP_b</t>
        </is>
      </c>
      <c r="D194" s="8" t="inlineStr">
        <is>
          <t>50%热身kg</t>
        </is>
      </c>
      <c r="E194" s="8" t="inlineStr">
        <is>
          <t>70%热身kg</t>
        </is>
      </c>
      <c r="F194" s="8" t="inlineStr">
        <is>
          <t>热身负荷kg</t>
        </is>
      </c>
      <c r="G194" s="8" t="inlineStr">
        <is>
          <t>实测MCV</t>
        </is>
      </c>
      <c r="H194" s="8" t="inlineStr">
        <is>
          <t>预测MCV</t>
        </is>
      </c>
      <c r="I194" s="8" t="inlineStr">
        <is>
          <t>Δv</t>
        </is>
      </c>
      <c r="J194" s="8" t="inlineStr">
        <is>
          <t>调整量kg</t>
        </is>
      </c>
      <c r="K194" s="8" t="inlineStr">
        <is>
          <t>校准后第1组kg</t>
        </is>
      </c>
    </row>
    <row r="195">
      <c r="A195" s="11" t="inlineStr"/>
      <c r="B195" s="11" t="n">
        <v>1.5667</v>
      </c>
      <c r="C195" s="11" t="n">
        <v>-0.008500000000000001</v>
      </c>
      <c r="D195" s="10">
        <f>IFERROR(ROUND(T193*0.5,2.5),"")</f>
        <v/>
      </c>
      <c r="E195" s="10">
        <f>IFERROR(ROUND(T193*0.7,2.5),"")</f>
        <v/>
      </c>
      <c r="F195" s="10">
        <f>E195</f>
        <v/>
      </c>
      <c r="G195" s="9" t="n"/>
      <c r="H195" s="10">
        <f>IF(F195="","",B195+C195*F195)</f>
        <v/>
      </c>
      <c r="I195" s="10">
        <f>IF(OR(G195="",H195=""),"",G195-H195)</f>
        <v/>
      </c>
      <c r="J195" s="10">
        <f>IF(I195="","",IF(I195&gt;0.08,5,IF(I195&gt;0.04,2.5,IF(I195&gt;=-0.04,0,IF(I195&gt;=-0.08,-2.5,-5)))))</f>
        <v/>
      </c>
      <c r="K195" s="10">
        <f>IFERROR(ROUND(T193+J195,2.5),"")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8" t="inlineStr">
        <is>
          <t>组次</t>
        </is>
      </c>
      <c r="B196" s="8" t="inlineStr">
        <is>
          <t>负荷kg</t>
        </is>
      </c>
      <c r="C196" s="8" t="inlineStr">
        <is>
          <t>rep1</t>
        </is>
      </c>
      <c r="D196" s="8" t="inlineStr">
        <is>
          <t>rep2</t>
        </is>
      </c>
      <c r="E196" s="8" t="inlineStr">
        <is>
          <t>rep3</t>
        </is>
      </c>
      <c r="F196" s="8" t="inlineStr">
        <is>
          <t>rep4</t>
        </is>
      </c>
      <c r="G196" s="8" t="inlineStr">
        <is>
          <t>rep5</t>
        </is>
      </c>
      <c r="H196" s="8" t="inlineStr">
        <is>
          <t>rep6</t>
        </is>
      </c>
      <c r="I196" s="8" t="inlineStr">
        <is>
          <t>首rep</t>
        </is>
      </c>
      <c r="J196" s="8" t="inlineStr">
        <is>
          <t>最低速</t>
        </is>
      </c>
      <c r="K196" s="8" t="inlineStr">
        <is>
          <t>最低rep#</t>
        </is>
      </c>
      <c r="L196" s="8" t="inlineStr">
        <is>
          <t>VL%</t>
        </is>
      </c>
      <c r="M196" s="8" t="inlineStr">
        <is>
          <t>VL达标?</t>
        </is>
      </c>
      <c r="N196" s="8" t="inlineStr">
        <is>
          <t>安全停止?</t>
        </is>
      </c>
      <c r="O196" s="8" t="inlineStr">
        <is>
          <t>停组原因</t>
        </is>
      </c>
      <c r="P196" s="8" t="inlineStr">
        <is>
          <t>下组建议</t>
        </is>
      </c>
      <c r="Q196" s="8" t="inlineStr">
        <is>
          <t>实做次数</t>
        </is>
      </c>
    </row>
    <row r="197">
      <c r="A197" s="12" t="n">
        <v>1</v>
      </c>
      <c r="B197" s="10">
        <f>IF(K195="","",K195)</f>
        <v/>
      </c>
      <c r="C197" s="9" t="n"/>
      <c r="D197" s="9" t="n"/>
      <c r="E197" s="9" t="n"/>
      <c r="F197" s="9" t="n"/>
      <c r="G197" s="9" t="n"/>
      <c r="H197" s="9" t="n"/>
      <c r="I197" s="10">
        <f>IFERROR(INDEX(C197:H197,MATCH(TRUE,INDEX(C197:H197&lt;&gt;"",0),0)),"")</f>
        <v/>
      </c>
      <c r="J197" s="10">
        <f>IFERROR(MIN(IF(C197:H197&lt;&gt;"",C197:H197)),"")</f>
        <v/>
      </c>
      <c r="K197" s="10">
        <f>IFERROR(MATCH(I197,C197:H197,0),"")</f>
        <v/>
      </c>
      <c r="L197" s="10">
        <f>IF(OR(I197="",J197=""),"",ROUND((I197-J197)/I197*100,1))</f>
        <v/>
      </c>
      <c r="M197" s="10">
        <f>IF(L197="","",IF(L197&gt;=15,"是","否"))</f>
        <v/>
      </c>
      <c r="N197" s="10">
        <f>IF(J197="","",IF(J197&lt;0.15,"是","否"))</f>
        <v/>
      </c>
      <c r="O197" s="10">
        <f>IF(I197="","",IF(J197&lt;0.15,"SAFETY_STOP",IF(L197&gt;=15,"VL_THRESHOLD","PLANNED_END")))</f>
        <v/>
      </c>
      <c r="P197" s="10">
        <f>IF(I197="","",IF(I197&gt;($D$2+0.05),"+5kg",IF(I197&gt;($D$2+0.02),"+2.5kg",IF(I197&gt;=($D$2-0.05),"保持",IF(I197&gt;=($D$2-0.08),"-2.5kg","-5kg")))))</f>
        <v/>
      </c>
      <c r="Q197" s="9" t="n"/>
      <c r="R197" s="12" t="n"/>
      <c r="S197" s="12" t="n"/>
      <c r="T197" s="12" t="n"/>
    </row>
    <row r="198">
      <c r="A198" s="12" t="n">
        <v>2</v>
      </c>
      <c r="B198" s="9" t="n"/>
      <c r="C198" s="9" t="n"/>
      <c r="D198" s="9" t="n"/>
      <c r="E198" s="9" t="n"/>
      <c r="F198" s="9" t="n"/>
      <c r="G198" s="9" t="n"/>
      <c r="H198" s="9" t="n"/>
      <c r="I198" s="10">
        <f>IFERROR(INDEX(C198:H198,MATCH(TRUE,INDEX(C198:H198&lt;&gt;"",0),0)),"")</f>
        <v/>
      </c>
      <c r="J198" s="10">
        <f>IFERROR(MIN(IF(C198:H198&lt;&gt;"",C198:H198)),"")</f>
        <v/>
      </c>
      <c r="K198" s="10">
        <f>IFERROR(MATCH(I198,C198:H198,0),"")</f>
        <v/>
      </c>
      <c r="L198" s="10">
        <f>IF(OR(I198="",J198=""),"",ROUND((I198-J198)/I198*100,1))</f>
        <v/>
      </c>
      <c r="M198" s="10">
        <f>IF(L198="","",IF(L198&gt;=15,"是","否"))</f>
        <v/>
      </c>
      <c r="N198" s="10">
        <f>IF(J198="","",IF(J198&lt;0.15,"是","否"))</f>
        <v/>
      </c>
      <c r="O198" s="10">
        <f>IF(I198="","",IF(J198&lt;0.15,"SAFETY_STOP",IF(L198&gt;=15,"VL_THRESHOLD","PLANNED_END")))</f>
        <v/>
      </c>
      <c r="P198" s="10">
        <f>IF(I198="","",IF(I198&gt;($D$2+0.05),"+5kg",IF(I198&gt;($D$2+0.02),"+2.5kg",IF(I198&gt;=($D$2-0.05),"保持",IF(I198&gt;=($D$2-0.08),"-2.5kg","-5kg")))))</f>
        <v/>
      </c>
      <c r="Q198" s="9" t="n"/>
      <c r="R198" s="12" t="n"/>
      <c r="S198" s="12" t="n"/>
      <c r="T198" s="12" t="n"/>
    </row>
    <row r="199">
      <c r="A199" s="12" t="n">
        <v>3</v>
      </c>
      <c r="B199" s="9" t="n"/>
      <c r="C199" s="9" t="n"/>
      <c r="D199" s="9" t="n"/>
      <c r="E199" s="9" t="n"/>
      <c r="F199" s="9" t="n"/>
      <c r="G199" s="9" t="n"/>
      <c r="H199" s="9" t="n"/>
      <c r="I199" s="10">
        <f>IFERROR(INDEX(C199:H199,MATCH(TRUE,INDEX(C199:H199&lt;&gt;"",0),0)),"")</f>
        <v/>
      </c>
      <c r="J199" s="10">
        <f>IFERROR(MIN(IF(C199:H199&lt;&gt;"",C199:H199)),"")</f>
        <v/>
      </c>
      <c r="K199" s="10">
        <f>IFERROR(MATCH(I199,C199:H199,0),"")</f>
        <v/>
      </c>
      <c r="L199" s="10">
        <f>IF(OR(I199="",J199=""),"",ROUND((I199-J199)/I199*100,1))</f>
        <v/>
      </c>
      <c r="M199" s="10">
        <f>IF(L199="","",IF(L199&gt;=15,"是","否"))</f>
        <v/>
      </c>
      <c r="N199" s="10">
        <f>IF(J199="","",IF(J199&lt;0.15,"是","否"))</f>
        <v/>
      </c>
      <c r="O199" s="10">
        <f>IF(I199="","",IF(J199&lt;0.15,"SAFETY_STOP",IF(L199&gt;=15,"VL_THRESHOLD","PLANNED_END")))</f>
        <v/>
      </c>
      <c r="P199" s="10">
        <f>IF(I199="","",IF(I199&gt;($D$2+0.05),"+5kg",IF(I199&gt;($D$2+0.02),"+2.5kg",IF(I199&gt;=($D$2-0.05),"保持",IF(I199&gt;=($D$2-0.08),"-2.5kg","-5kg")))))</f>
        <v/>
      </c>
      <c r="Q199" s="9" t="n"/>
      <c r="R199" s="12" t="n"/>
      <c r="S199" s="12" t="n"/>
      <c r="T199" s="12" t="n"/>
    </row>
    <row r="200">
      <c r="A200" s="12" t="n">
        <v>4</v>
      </c>
      <c r="B200" s="9" t="n"/>
      <c r="C200" s="9" t="n"/>
      <c r="D200" s="9" t="n"/>
      <c r="E200" s="9" t="n"/>
      <c r="F200" s="9" t="n"/>
      <c r="G200" s="9" t="n"/>
      <c r="H200" s="9" t="n"/>
      <c r="I200" s="10">
        <f>IFERROR(INDEX(C200:H200,MATCH(TRUE,INDEX(C200:H200&lt;&gt;"",0),0)),"")</f>
        <v/>
      </c>
      <c r="J200" s="10">
        <f>IFERROR(MIN(IF(C200:H200&lt;&gt;"",C200:H200)),"")</f>
        <v/>
      </c>
      <c r="K200" s="10">
        <f>IFERROR(MATCH(I200,C200:H200,0),"")</f>
        <v/>
      </c>
      <c r="L200" s="10">
        <f>IF(OR(I200="",J200=""),"",ROUND((I200-J200)/I200*100,1))</f>
        <v/>
      </c>
      <c r="M200" s="10">
        <f>IF(L200="","",IF(L200&gt;=15,"是","否"))</f>
        <v/>
      </c>
      <c r="N200" s="10">
        <f>IF(J200="","",IF(J200&lt;0.15,"是","否"))</f>
        <v/>
      </c>
      <c r="O200" s="10">
        <f>IF(I200="","",IF(J200&lt;0.15,"SAFETY_STOP",IF(L200&gt;=15,"VL_THRESHOLD","PLANNED_END")))</f>
        <v/>
      </c>
      <c r="P200" s="10">
        <f>IF(I200="","",IF(I200&gt;($D$2+0.05),"+5kg",IF(I200&gt;($D$2+0.02),"+2.5kg",IF(I200&gt;=($D$2-0.05),"保持",IF(I200&gt;=($D$2-0.08),"-2.5kg","-5kg")))))</f>
        <v/>
      </c>
      <c r="Q200" s="9" t="n"/>
      <c r="R200" s="12" t="n"/>
      <c r="S200" s="12" t="n"/>
      <c r="T200" s="12" t="n"/>
    </row>
    <row r="201">
      <c r="A201" s="12" t="n">
        <v>5</v>
      </c>
      <c r="B201" s="9" t="n"/>
      <c r="C201" s="9" t="n"/>
      <c r="D201" s="9" t="n"/>
      <c r="E201" s="9" t="n"/>
      <c r="F201" s="9" t="n"/>
      <c r="G201" s="9" t="n"/>
      <c r="H201" s="9" t="n"/>
      <c r="I201" s="10">
        <f>IFERROR(INDEX(C201:H201,MATCH(TRUE,INDEX(C201:H201&lt;&gt;"",0),0)),"")</f>
        <v/>
      </c>
      <c r="J201" s="10">
        <f>IFERROR(MIN(IF(C201:H201&lt;&gt;"",C201:H201)),"")</f>
        <v/>
      </c>
      <c r="K201" s="10">
        <f>IFERROR(MATCH(I201,C201:H201,0),"")</f>
        <v/>
      </c>
      <c r="L201" s="10">
        <f>IF(OR(I201="",J201=""),"",ROUND((I201-J201)/I201*100,1))</f>
        <v/>
      </c>
      <c r="M201" s="10">
        <f>IF(L201="","",IF(L201&gt;=15,"是","否"))</f>
        <v/>
      </c>
      <c r="N201" s="10">
        <f>IF(J201="","",IF(J201&lt;0.15,"是","否"))</f>
        <v/>
      </c>
      <c r="O201" s="10">
        <f>IF(I201="","",IF(J201&lt;0.15,"SAFETY_STOP",IF(L201&gt;=15,"VL_THRESHOLD","PLANNED_END")))</f>
        <v/>
      </c>
      <c r="P201" s="10">
        <f>IF(I201="","",IF(I201&gt;($D$2+0.05),"+5kg",IF(I201&gt;($D$2+0.02),"+2.5kg",IF(I201&gt;=($D$2-0.05),"保持",IF(I201&gt;=($D$2-0.08),"-2.5kg","-5kg")))))</f>
        <v/>
      </c>
      <c r="Q201" s="9" t="n"/>
      <c r="R201" s="12" t="n"/>
      <c r="S201" s="12" t="n"/>
      <c r="T201" s="12" t="n"/>
    </row>
    <row r="202">
      <c r="A202" s="12" t="n">
        <v>6</v>
      </c>
      <c r="B202" s="9" t="n"/>
      <c r="C202" s="9" t="n"/>
      <c r="D202" s="9" t="n"/>
      <c r="E202" s="9" t="n"/>
      <c r="F202" s="9" t="n"/>
      <c r="G202" s="9" t="n"/>
      <c r="H202" s="9" t="n"/>
      <c r="I202" s="10">
        <f>IFERROR(INDEX(C202:H202,MATCH(TRUE,INDEX(C202:H202&lt;&gt;"",0),0)),"")</f>
        <v/>
      </c>
      <c r="J202" s="10">
        <f>IFERROR(MIN(IF(C202:H202&lt;&gt;"",C202:H202)),"")</f>
        <v/>
      </c>
      <c r="K202" s="10">
        <f>IFERROR(MATCH(I202,C202:H202,0),"")</f>
        <v/>
      </c>
      <c r="L202" s="10">
        <f>IF(OR(I202="",J202=""),"",ROUND((I202-J202)/I202*100,1))</f>
        <v/>
      </c>
      <c r="M202" s="10">
        <f>IF(L202="","",IF(L202&gt;=15,"是","否"))</f>
        <v/>
      </c>
      <c r="N202" s="10">
        <f>IF(J202="","",IF(J202&lt;0.15,"是","否"))</f>
        <v/>
      </c>
      <c r="O202" s="10">
        <f>IF(I202="","",IF(J202&lt;0.15,"SAFETY_STOP",IF(L202&gt;=15,"VL_THRESHOLD","PLANNED_END")))</f>
        <v/>
      </c>
      <c r="P202" s="10">
        <f>IF(I202="","",IF(I202&gt;($D$2+0.05),"+5kg",IF(I202&gt;($D$2+0.02),"+2.5kg",IF(I202&gt;=($D$2-0.05),"保持",IF(I202&gt;=($D$2-0.08),"-2.5kg","-5kg")))))</f>
        <v/>
      </c>
      <c r="Q202" s="9" t="n"/>
      <c r="R202" s="12" t="n"/>
      <c r="S202" s="12" t="n"/>
      <c r="T202" s="12" t="n"/>
    </row>
    <row r="203">
      <c r="A203" s="8" t="inlineStr">
        <is>
          <t>辅助动作</t>
        </is>
      </c>
      <c r="B203" s="8" t="inlineStr">
        <is>
          <t>动作名称</t>
        </is>
      </c>
      <c r="C203" s="8" t="inlineStr">
        <is>
          <t>负荷kg</t>
        </is>
      </c>
      <c r="D203" s="8" t="inlineStr">
        <is>
          <t>完成(组×次)</t>
        </is>
      </c>
    </row>
    <row r="204">
      <c r="A204" s="9" t="inlineStr"/>
      <c r="B204" s="9" t="n"/>
      <c r="C204" s="9" t="n"/>
      <c r="D204" s="9" t="n"/>
    </row>
    <row r="205">
      <c r="A205" s="8" t="inlineStr">
        <is>
          <t>训练后</t>
        </is>
      </c>
      <c r="B205" s="8" t="inlineStr">
        <is>
          <t>开始时间</t>
        </is>
      </c>
      <c r="C205" s="8" t="inlineStr">
        <is>
          <t>结束时间</t>
        </is>
      </c>
      <c r="D205" s="8" t="inlineStr">
        <is>
          <t>总时长min</t>
        </is>
      </c>
      <c r="E205" s="8" t="inlineStr">
        <is>
          <t>sRPE</t>
        </is>
      </c>
      <c r="F205" s="8" t="inlineStr">
        <is>
          <t>session_load</t>
        </is>
      </c>
      <c r="G205" s="8" t="inlineStr">
        <is>
          <t>有无不适</t>
        </is>
      </c>
      <c r="H205" s="8" t="inlineStr">
        <is>
          <t>备注</t>
        </is>
      </c>
      <c r="I205" s="8" t="inlineStr">
        <is>
          <t>研究员签名</t>
        </is>
      </c>
    </row>
    <row r="206">
      <c r="A206" s="13" t="inlineStr"/>
      <c r="B206" s="13" t="n"/>
      <c r="C206" s="13" t="n"/>
      <c r="D206" s="10">
        <f>IF(OR(B206="",C206=""),"",(C206-B206)*1440)</f>
        <v/>
      </c>
      <c r="E206" s="13" t="n"/>
      <c r="F206" s="10">
        <f>IF(OR(D206="",E206=""),"",D206*E206)</f>
        <v/>
      </c>
      <c r="G206" s="13" t="n"/>
      <c r="H206" s="13" t="n"/>
      <c r="I206" s="13" t="n"/>
    </row>
  </sheetData>
  <mergeCells count="13">
    <mergeCell ref="A1:T1"/>
    <mergeCell ref="A89:T89"/>
    <mergeCell ref="A4:T4"/>
    <mergeCell ref="A106:T106"/>
    <mergeCell ref="A21:T21"/>
    <mergeCell ref="A140:T140"/>
    <mergeCell ref="A55:T55"/>
    <mergeCell ref="A38:T38"/>
    <mergeCell ref="A157:T157"/>
    <mergeCell ref="A72:T72"/>
    <mergeCell ref="A174:T174"/>
    <mergeCell ref="A191:T191"/>
    <mergeCell ref="A123:T1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2" customWidth="1" min="14" max="14"/>
    <col width="16" customWidth="1" min="15" max="15"/>
    <col width="12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>
      <c r="A1" s="1" t="inlineStr">
        <is>
          <t>研究二 AI组训练执行计算表 — W4_B（Day B）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目标MCV区间</t>
        </is>
      </c>
      <c r="B2" s="4" t="inlineStr">
        <is>
          <t>0.70-0.80</t>
        </is>
      </c>
      <c r="C2" s="3" t="inlineStr">
        <is>
          <t>目标MCV中点</t>
        </is>
      </c>
      <c r="D2" s="4" t="n">
        <v>0.75</v>
      </c>
      <c r="E2" s="3" t="inlineStr">
        <is>
          <t>VL阈值%</t>
        </is>
      </c>
      <c r="F2" s="4" t="n">
        <v>10</v>
      </c>
      <c r="G2" s="3" t="inlineStr">
        <is>
          <t>安全停止(m/s)</t>
        </is>
      </c>
      <c r="H2" s="4" t="n">
        <v>0.15</v>
      </c>
      <c r="I2" s="3" t="inlineStr">
        <is>
          <t>计划组数</t>
        </is>
      </c>
      <c r="J2" s="4" t="n">
        <v>3</v>
      </c>
      <c r="K2" s="3" t="inlineStr">
        <is>
          <t>每组次数</t>
        </is>
      </c>
      <c r="L2" s="4" t="inlineStr">
        <is>
          <t>3-4</t>
        </is>
      </c>
    </row>
    <row r="4">
      <c r="A4" s="5" t="inlineStr">
        <is>
          <t>── P007 陈鑫 ──────────────────────────────────────────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7" t="n"/>
    </row>
    <row r="5">
      <c r="A5" s="8" t="inlineStr">
        <is>
          <t>编号</t>
        </is>
      </c>
      <c r="B5" s="8" t="inlineStr">
        <is>
          <t>姓名</t>
        </is>
      </c>
      <c r="C5" s="8" t="inlineStr">
        <is>
          <t>身高</t>
        </is>
      </c>
      <c r="D5" s="8" t="inlineStr">
        <is>
          <t>1RM</t>
        </is>
      </c>
      <c r="E5" s="8" t="inlineStr">
        <is>
          <t>睡眠</t>
        </is>
      </c>
      <c r="F5" s="8" t="inlineStr">
        <is>
          <t>压力</t>
        </is>
      </c>
      <c r="G5" s="8" t="inlineStr">
        <is>
          <t>疲劳</t>
        </is>
      </c>
      <c r="H5" s="8" t="inlineStr">
        <is>
          <t>酸痛</t>
        </is>
      </c>
      <c r="I5" s="8" t="inlineStr">
        <is>
          <t>Hooper总</t>
        </is>
      </c>
      <c r="J5" s="8" t="inlineStr">
        <is>
          <t>CMJ1</t>
        </is>
      </c>
      <c r="K5" s="8" t="inlineStr">
        <is>
          <t>CMJ2</t>
        </is>
      </c>
      <c r="L5" s="8" t="inlineStr">
        <is>
          <t>CMJ3</t>
        </is>
      </c>
      <c r="M5" s="8" t="inlineStr">
        <is>
          <t>CMJ均值</t>
        </is>
      </c>
      <c r="N5" s="8" t="inlineStr">
        <is>
          <t>&lt;95%?</t>
        </is>
      </c>
      <c r="O5" s="8" t="inlineStr">
        <is>
          <t>减组?</t>
        </is>
      </c>
      <c r="P5" s="8" t="inlineStr">
        <is>
          <t>实做组数</t>
        </is>
      </c>
      <c r="Q5" s="8" t="inlineStr">
        <is>
          <t>LVP_a</t>
        </is>
      </c>
      <c r="R5" s="8" t="inlineStr">
        <is>
          <t>LVP_b</t>
        </is>
      </c>
      <c r="S5" s="8" t="inlineStr">
        <is>
          <t>等级</t>
        </is>
      </c>
      <c r="T5" s="8" t="inlineStr">
        <is>
          <t>预测起始</t>
        </is>
      </c>
    </row>
    <row r="6">
      <c r="A6" s="9" t="inlineStr">
        <is>
          <t>P007</t>
        </is>
      </c>
      <c r="B6" s="9" t="inlineStr">
        <is>
          <t>陈鑫</t>
        </is>
      </c>
      <c r="C6" s="9" t="n">
        <v>173</v>
      </c>
      <c r="D6" s="9" t="n">
        <v>110</v>
      </c>
      <c r="E6" s="9" t="n"/>
      <c r="F6" s="9" t="n"/>
      <c r="G6" s="9" t="n"/>
      <c r="H6" s="9" t="n"/>
      <c r="I6" s="10">
        <f>IFERROR(SUM(E6:H6),"")</f>
        <v/>
      </c>
      <c r="J6" s="9" t="n"/>
      <c r="K6" s="9" t="n"/>
      <c r="L6" s="9" t="n"/>
      <c r="M6" s="10">
        <f>IFERROR(AVERAGE(J6:L6),"")</f>
        <v/>
      </c>
      <c r="N6" s="10">
        <f>IF(M6="","",IF(M6&lt;63.01,"是⚠","否"))</f>
        <v/>
      </c>
      <c r="O6" s="10">
        <f>IF(M6="","",IF(M6&lt;63.01,"减1组","正常"))</f>
        <v/>
      </c>
      <c r="P6" s="10">
        <f>IF(M6="","",IF(M6&lt;63.01,3-1,3))</f>
        <v/>
      </c>
      <c r="Q6" s="9" t="n">
        <v>1.65</v>
      </c>
      <c r="R6" s="9" t="n">
        <v>-0.0125</v>
      </c>
      <c r="S6" s="9" t="inlineStr">
        <is>
          <t>A</t>
        </is>
      </c>
      <c r="T6" s="10">
        <f>IFERROR(ROUND((0.75-1.65)/-0.0125,0.5),"")</f>
        <v/>
      </c>
    </row>
    <row r="7">
      <c r="A7" s="8" t="inlineStr">
        <is>
          <t>热身校准</t>
        </is>
      </c>
      <c r="B7" s="8" t="inlineStr">
        <is>
          <t>LVP_a</t>
        </is>
      </c>
      <c r="C7" s="8" t="inlineStr">
        <is>
          <t>LVP_b</t>
        </is>
      </c>
      <c r="D7" s="8" t="inlineStr">
        <is>
          <t>50%热身kg</t>
        </is>
      </c>
      <c r="E7" s="8" t="inlineStr">
        <is>
          <t>70%热身kg</t>
        </is>
      </c>
      <c r="F7" s="8" t="inlineStr">
        <is>
          <t>热身负荷kg</t>
        </is>
      </c>
      <c r="G7" s="8" t="inlineStr">
        <is>
          <t>实测MCV</t>
        </is>
      </c>
      <c r="H7" s="8" t="inlineStr">
        <is>
          <t>预测MCV</t>
        </is>
      </c>
      <c r="I7" s="8" t="inlineStr">
        <is>
          <t>Δv</t>
        </is>
      </c>
      <c r="J7" s="8" t="inlineStr">
        <is>
          <t>调整量kg</t>
        </is>
      </c>
      <c r="K7" s="8" t="inlineStr">
        <is>
          <t>校准后第1组kg</t>
        </is>
      </c>
    </row>
    <row r="8">
      <c r="A8" s="11" t="inlineStr"/>
      <c r="B8" s="11" t="n">
        <v>1.65</v>
      </c>
      <c r="C8" s="11" t="n">
        <v>-0.0125</v>
      </c>
      <c r="D8" s="10">
        <f>IFERROR(ROUND(T6*0.5,2.5),"")</f>
        <v/>
      </c>
      <c r="E8" s="10">
        <f>IFERROR(ROUND(T6*0.7,2.5),"")</f>
        <v/>
      </c>
      <c r="F8" s="10">
        <f>D8</f>
        <v/>
      </c>
      <c r="G8" s="9" t="n"/>
      <c r="H8" s="10">
        <f>IF(F8="","",B8+C8*F8)</f>
        <v/>
      </c>
      <c r="I8" s="10">
        <f>IF(OR(G8="",H8=""),"",G8-H8)</f>
        <v/>
      </c>
      <c r="J8" s="10">
        <f>IF(I8="","",IF(I8&gt;0.08,5,IF(I8&gt;0.04,2.5,IF(I8&gt;=-0.04,0,IF(I8&gt;=-0.08,-2.5,-5)))))</f>
        <v/>
      </c>
      <c r="K8" s="10">
        <f>IFERROR(ROUND(T6+J8,2.5),"")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>
      <c r="A9" s="8" t="inlineStr">
        <is>
          <t>组次</t>
        </is>
      </c>
      <c r="B9" s="8" t="inlineStr">
        <is>
          <t>负荷kg</t>
        </is>
      </c>
      <c r="C9" s="8" t="inlineStr">
        <is>
          <t>rep1</t>
        </is>
      </c>
      <c r="D9" s="8" t="inlineStr">
        <is>
          <t>rep2</t>
        </is>
      </c>
      <c r="E9" s="8" t="inlineStr">
        <is>
          <t>rep3</t>
        </is>
      </c>
      <c r="F9" s="8" t="inlineStr">
        <is>
          <t>rep4</t>
        </is>
      </c>
      <c r="G9" s="8" t="inlineStr">
        <is>
          <t>rep5</t>
        </is>
      </c>
      <c r="H9" s="8" t="inlineStr">
        <is>
          <t>rep6</t>
        </is>
      </c>
      <c r="I9" s="8" t="inlineStr">
        <is>
          <t>首rep</t>
        </is>
      </c>
      <c r="J9" s="8" t="inlineStr">
        <is>
          <t>最低速</t>
        </is>
      </c>
      <c r="K9" s="8" t="inlineStr">
        <is>
          <t>最低rep#</t>
        </is>
      </c>
      <c r="L9" s="8" t="inlineStr">
        <is>
          <t>VL%</t>
        </is>
      </c>
      <c r="M9" s="8" t="inlineStr">
        <is>
          <t>VL达标?</t>
        </is>
      </c>
      <c r="N9" s="8" t="inlineStr">
        <is>
          <t>安全停止?</t>
        </is>
      </c>
      <c r="O9" s="8" t="inlineStr">
        <is>
          <t>停组原因</t>
        </is>
      </c>
      <c r="P9" s="8" t="inlineStr">
        <is>
          <t>下组建议</t>
        </is>
      </c>
      <c r="Q9" s="8" t="inlineStr">
        <is>
          <t>实做次数</t>
        </is>
      </c>
    </row>
    <row r="10">
      <c r="A10" s="12" t="n">
        <v>1</v>
      </c>
      <c r="B10" s="10">
        <f>IF(K8="","",K8)</f>
        <v/>
      </c>
      <c r="C10" s="9" t="n"/>
      <c r="D10" s="9" t="n"/>
      <c r="E10" s="9" t="n"/>
      <c r="F10" s="9" t="n"/>
      <c r="G10" s="9" t="n"/>
      <c r="H10" s="9" t="n"/>
      <c r="I10" s="10">
        <f>IFERROR(INDEX(C10:H10,MATCH(TRUE,INDEX(C10:H10&lt;&gt;"",0),0)),"")</f>
        <v/>
      </c>
      <c r="J10" s="10">
        <f>IFERROR(MIN(IF(C10:H10&lt;&gt;"",C10:H10)),"")</f>
        <v/>
      </c>
      <c r="K10" s="10">
        <f>IFERROR(MATCH(I10,C10:H10,0),"")</f>
        <v/>
      </c>
      <c r="L10" s="10">
        <f>IF(OR(I10="",J10=""),"",ROUND((I10-J10)/I10*100,1))</f>
        <v/>
      </c>
      <c r="M10" s="10">
        <f>IF(L10="","",IF(L10&gt;=10,"是","否"))</f>
        <v/>
      </c>
      <c r="N10" s="10">
        <f>IF(J10="","",IF(J10&lt;0.15,"是","否"))</f>
        <v/>
      </c>
      <c r="O10" s="10">
        <f>IF(I10="","",IF(J10&lt;0.15,"SAFETY_STOP",IF(L10&gt;=10,"VL_THRESHOLD","PLANNED_END")))</f>
        <v/>
      </c>
      <c r="P10" s="10">
        <f>IF(I10="","",IF(I10&gt;($D$2+0.05),"+5kg",IF(I10&gt;($D$2+0.02),"+2.5kg",IF(I10&gt;=($D$2-0.05),"保持",IF(I10&gt;=($D$2-0.08),"-2.5kg","-5kg")))))</f>
        <v/>
      </c>
      <c r="Q10" s="9" t="n"/>
      <c r="R10" s="12" t="n"/>
      <c r="S10" s="12" t="n"/>
      <c r="T10" s="12" t="n"/>
    </row>
    <row r="11">
      <c r="A11" s="12" t="n">
        <v>2</v>
      </c>
      <c r="B11" s="9" t="n"/>
      <c r="C11" s="9" t="n"/>
      <c r="D11" s="9" t="n"/>
      <c r="E11" s="9" t="n"/>
      <c r="F11" s="9" t="n"/>
      <c r="G11" s="9" t="n"/>
      <c r="H11" s="9" t="n"/>
      <c r="I11" s="10">
        <f>IFERROR(INDEX(C11:H11,MATCH(TRUE,INDEX(C11:H11&lt;&gt;"",0),0)),"")</f>
        <v/>
      </c>
      <c r="J11" s="10">
        <f>IFERROR(MIN(IF(C11:H11&lt;&gt;"",C11:H11)),"")</f>
        <v/>
      </c>
      <c r="K11" s="10">
        <f>IFERROR(MATCH(I11,C11:H11,0),"")</f>
        <v/>
      </c>
      <c r="L11" s="10">
        <f>IF(OR(I11="",J11=""),"",ROUND((I11-J11)/I11*100,1))</f>
        <v/>
      </c>
      <c r="M11" s="10">
        <f>IF(L11="","",IF(L11&gt;=10,"是","否"))</f>
        <v/>
      </c>
      <c r="N11" s="10">
        <f>IF(J11="","",IF(J11&lt;0.15,"是","否"))</f>
        <v/>
      </c>
      <c r="O11" s="10">
        <f>IF(I11="","",IF(J11&lt;0.15,"SAFETY_STOP",IF(L11&gt;=10,"VL_THRESHOLD","PLANNED_END")))</f>
        <v/>
      </c>
      <c r="P11" s="10">
        <f>IF(I11="","",IF(I11&gt;($D$2+0.05),"+5kg",IF(I11&gt;($D$2+0.02),"+2.5kg",IF(I11&gt;=($D$2-0.05),"保持",IF(I11&gt;=($D$2-0.08),"-2.5kg","-5kg")))))</f>
        <v/>
      </c>
      <c r="Q11" s="9" t="n"/>
      <c r="R11" s="12" t="n"/>
      <c r="S11" s="12" t="n"/>
      <c r="T11" s="12" t="n"/>
    </row>
    <row r="12">
      <c r="A12" s="12" t="n">
        <v>3</v>
      </c>
      <c r="B12" s="9" t="n"/>
      <c r="C12" s="9" t="n"/>
      <c r="D12" s="9" t="n"/>
      <c r="E12" s="9" t="n"/>
      <c r="F12" s="9" t="n"/>
      <c r="G12" s="9" t="n"/>
      <c r="H12" s="9" t="n"/>
      <c r="I12" s="10">
        <f>IFERROR(INDEX(C12:H12,MATCH(TRUE,INDEX(C12:H12&lt;&gt;"",0),0)),"")</f>
        <v/>
      </c>
      <c r="J12" s="10">
        <f>IFERROR(MIN(IF(C12:H12&lt;&gt;"",C12:H12)),"")</f>
        <v/>
      </c>
      <c r="K12" s="10">
        <f>IFERROR(MATCH(I12,C12:H12,0),"")</f>
        <v/>
      </c>
      <c r="L12" s="10">
        <f>IF(OR(I12="",J12=""),"",ROUND((I12-J12)/I12*100,1))</f>
        <v/>
      </c>
      <c r="M12" s="10">
        <f>IF(L12="","",IF(L12&gt;=10,"是","否"))</f>
        <v/>
      </c>
      <c r="N12" s="10">
        <f>IF(J12="","",IF(J12&lt;0.15,"是","否"))</f>
        <v/>
      </c>
      <c r="O12" s="10">
        <f>IF(I12="","",IF(J12&lt;0.15,"SAFETY_STOP",IF(L12&gt;=10,"VL_THRESHOLD","PLANNED_END")))</f>
        <v/>
      </c>
      <c r="P12" s="10">
        <f>IF(I12="","",IF(I12&gt;($D$2+0.05),"+5kg",IF(I12&gt;($D$2+0.02),"+2.5kg",IF(I12&gt;=($D$2-0.05),"保持",IF(I12&gt;=($D$2-0.08),"-2.5kg","-5kg")))))</f>
        <v/>
      </c>
      <c r="Q12" s="9" t="n"/>
      <c r="R12" s="12" t="n"/>
      <c r="S12" s="12" t="n"/>
      <c r="T12" s="12" t="n"/>
    </row>
    <row r="13">
      <c r="A13" s="12" t="n">
        <v>4</v>
      </c>
      <c r="B13" s="9" t="n"/>
      <c r="C13" s="9" t="n"/>
      <c r="D13" s="9" t="n"/>
      <c r="E13" s="9" t="n"/>
      <c r="F13" s="9" t="n"/>
      <c r="G13" s="9" t="n"/>
      <c r="H13" s="9" t="n"/>
      <c r="I13" s="10">
        <f>IFERROR(INDEX(C13:H13,MATCH(TRUE,INDEX(C13:H13&lt;&gt;"",0),0)),"")</f>
        <v/>
      </c>
      <c r="J13" s="10">
        <f>IFERROR(MIN(IF(C13:H13&lt;&gt;"",C13:H13)),"")</f>
        <v/>
      </c>
      <c r="K13" s="10">
        <f>IFERROR(MATCH(I13,C13:H13,0),"")</f>
        <v/>
      </c>
      <c r="L13" s="10">
        <f>IF(OR(I13="",J13=""),"",ROUND((I13-J13)/I13*100,1))</f>
        <v/>
      </c>
      <c r="M13" s="10">
        <f>IF(L13="","",IF(L13&gt;=10,"是","否"))</f>
        <v/>
      </c>
      <c r="N13" s="10">
        <f>IF(J13="","",IF(J13&lt;0.15,"是","否"))</f>
        <v/>
      </c>
      <c r="O13" s="10">
        <f>IF(I13="","",IF(J13&lt;0.15,"SAFETY_STOP",IF(L13&gt;=10,"VL_THRESHOLD","PLANNED_END")))</f>
        <v/>
      </c>
      <c r="P13" s="10">
        <f>IF(I13="","",IF(I13&gt;($D$2+0.05),"+5kg",IF(I13&gt;($D$2+0.02),"+2.5kg",IF(I13&gt;=($D$2-0.05),"保持",IF(I13&gt;=($D$2-0.08),"-2.5kg","-5kg")))))</f>
        <v/>
      </c>
      <c r="Q13" s="9" t="n"/>
      <c r="R13" s="12" t="n"/>
      <c r="S13" s="12" t="n"/>
      <c r="T13" s="12" t="n"/>
    </row>
    <row r="14">
      <c r="A14" s="12" t="n">
        <v>5</v>
      </c>
      <c r="B14" s="9" t="n"/>
      <c r="C14" s="9" t="n"/>
      <c r="D14" s="9" t="n"/>
      <c r="E14" s="9" t="n"/>
      <c r="F14" s="9" t="n"/>
      <c r="G14" s="9" t="n"/>
      <c r="H14" s="9" t="n"/>
      <c r="I14" s="10">
        <f>IFERROR(INDEX(C14:H14,MATCH(TRUE,INDEX(C14:H14&lt;&gt;"",0),0)),"")</f>
        <v/>
      </c>
      <c r="J14" s="10">
        <f>IFERROR(MIN(IF(C14:H14&lt;&gt;"",C14:H14)),"")</f>
        <v/>
      </c>
      <c r="K14" s="10">
        <f>IFERROR(MATCH(I14,C14:H14,0),"")</f>
        <v/>
      </c>
      <c r="L14" s="10">
        <f>IF(OR(I14="",J14=""),"",ROUND((I14-J14)/I14*100,1))</f>
        <v/>
      </c>
      <c r="M14" s="10">
        <f>IF(L14="","",IF(L14&gt;=10,"是","否"))</f>
        <v/>
      </c>
      <c r="N14" s="10">
        <f>IF(J14="","",IF(J14&lt;0.15,"是","否"))</f>
        <v/>
      </c>
      <c r="O14" s="10">
        <f>IF(I14="","",IF(J14&lt;0.15,"SAFETY_STOP",IF(L14&gt;=10,"VL_THRESHOLD","PLANNED_END")))</f>
        <v/>
      </c>
      <c r="P14" s="10">
        <f>IF(I14="","",IF(I14&gt;($D$2+0.05),"+5kg",IF(I14&gt;($D$2+0.02),"+2.5kg",IF(I14&gt;=($D$2-0.05),"保持",IF(I14&gt;=($D$2-0.08),"-2.5kg","-5kg")))))</f>
        <v/>
      </c>
      <c r="Q14" s="9" t="n"/>
      <c r="R14" s="12" t="n"/>
      <c r="S14" s="12" t="n"/>
      <c r="T14" s="12" t="n"/>
    </row>
    <row r="15">
      <c r="A15" s="12" t="n">
        <v>6</v>
      </c>
      <c r="B15" s="9" t="n"/>
      <c r="C15" s="9" t="n"/>
      <c r="D15" s="9" t="n"/>
      <c r="E15" s="9" t="n"/>
      <c r="F15" s="9" t="n"/>
      <c r="G15" s="9" t="n"/>
      <c r="H15" s="9" t="n"/>
      <c r="I15" s="10">
        <f>IFERROR(INDEX(C15:H15,MATCH(TRUE,INDEX(C15:H15&lt;&gt;"",0),0)),"")</f>
        <v/>
      </c>
      <c r="J15" s="10">
        <f>IFERROR(MIN(IF(C15:H15&lt;&gt;"",C15:H15)),"")</f>
        <v/>
      </c>
      <c r="K15" s="10">
        <f>IFERROR(MATCH(I15,C15:H15,0),"")</f>
        <v/>
      </c>
      <c r="L15" s="10">
        <f>IF(OR(I15="",J15=""),"",ROUND((I15-J15)/I15*100,1))</f>
        <v/>
      </c>
      <c r="M15" s="10">
        <f>IF(L15="","",IF(L15&gt;=10,"是","否"))</f>
        <v/>
      </c>
      <c r="N15" s="10">
        <f>IF(J15="","",IF(J15&lt;0.15,"是","否"))</f>
        <v/>
      </c>
      <c r="O15" s="10">
        <f>IF(I15="","",IF(J15&lt;0.15,"SAFETY_STOP",IF(L15&gt;=10,"VL_THRESHOLD","PLANNED_END")))</f>
        <v/>
      </c>
      <c r="P15" s="10">
        <f>IF(I15="","",IF(I15&gt;($D$2+0.05),"+5kg",IF(I15&gt;($D$2+0.02),"+2.5kg",IF(I15&gt;=($D$2-0.05),"保持",IF(I15&gt;=($D$2-0.08),"-2.5kg","-5kg")))))</f>
        <v/>
      </c>
      <c r="Q15" s="9" t="n"/>
      <c r="R15" s="12" t="n"/>
      <c r="S15" s="12" t="n"/>
      <c r="T15" s="12" t="n"/>
    </row>
    <row r="16">
      <c r="A16" s="8" t="inlineStr">
        <is>
          <t>辅助动作</t>
        </is>
      </c>
      <c r="B16" s="8" t="inlineStr">
        <is>
          <t>动作名称</t>
        </is>
      </c>
      <c r="C16" s="8" t="inlineStr">
        <is>
          <t>负荷kg</t>
        </is>
      </c>
      <c r="D16" s="8" t="inlineStr">
        <is>
          <t>完成(组×次)</t>
        </is>
      </c>
    </row>
    <row r="17">
      <c r="A17" s="9" t="inlineStr"/>
      <c r="B17" s="9" t="n"/>
      <c r="C17" s="9" t="n"/>
      <c r="D17" s="9" t="n"/>
    </row>
    <row r="18">
      <c r="A18" s="8" t="inlineStr">
        <is>
          <t>训练后</t>
        </is>
      </c>
      <c r="B18" s="8" t="inlineStr">
        <is>
          <t>开始时间</t>
        </is>
      </c>
      <c r="C18" s="8" t="inlineStr">
        <is>
          <t>结束时间</t>
        </is>
      </c>
      <c r="D18" s="8" t="inlineStr">
        <is>
          <t>总时长min</t>
        </is>
      </c>
      <c r="E18" s="8" t="inlineStr">
        <is>
          <t>sRPE</t>
        </is>
      </c>
      <c r="F18" s="8" t="inlineStr">
        <is>
          <t>session_load</t>
        </is>
      </c>
      <c r="G18" s="8" t="inlineStr">
        <is>
          <t>有无不适</t>
        </is>
      </c>
      <c r="H18" s="8" t="inlineStr">
        <is>
          <t>备注</t>
        </is>
      </c>
      <c r="I18" s="8" t="inlineStr">
        <is>
          <t>研究员签名</t>
        </is>
      </c>
    </row>
    <row r="19">
      <c r="A19" s="13" t="inlineStr"/>
      <c r="B19" s="13" t="n"/>
      <c r="C19" s="13" t="n"/>
      <c r="D19" s="10">
        <f>IF(OR(B19="",C19=""),"",(C19-B19)*1440)</f>
        <v/>
      </c>
      <c r="E19" s="13" t="n"/>
      <c r="F19" s="10">
        <f>IF(OR(D19="",E19=""),"",D19*E19)</f>
        <v/>
      </c>
      <c r="G19" s="13" t="n"/>
      <c r="H19" s="13" t="n"/>
      <c r="I19" s="13" t="n"/>
    </row>
    <row r="21">
      <c r="A21" s="5" t="inlineStr">
        <is>
          <t>── P005 曾庆华 ──────────────────────────────────────────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7" t="n"/>
    </row>
    <row r="22">
      <c r="A22" s="8" t="inlineStr">
        <is>
          <t>编号</t>
        </is>
      </c>
      <c r="B22" s="8" t="inlineStr">
        <is>
          <t>姓名</t>
        </is>
      </c>
      <c r="C22" s="8" t="inlineStr">
        <is>
          <t>身高</t>
        </is>
      </c>
      <c r="D22" s="8" t="inlineStr">
        <is>
          <t>1RM</t>
        </is>
      </c>
      <c r="E22" s="8" t="inlineStr">
        <is>
          <t>睡眠</t>
        </is>
      </c>
      <c r="F22" s="8" t="inlineStr">
        <is>
          <t>压力</t>
        </is>
      </c>
      <c r="G22" s="8" t="inlineStr">
        <is>
          <t>疲劳</t>
        </is>
      </c>
      <c r="H22" s="8" t="inlineStr">
        <is>
          <t>酸痛</t>
        </is>
      </c>
      <c r="I22" s="8" t="inlineStr">
        <is>
          <t>Hooper总</t>
        </is>
      </c>
      <c r="J22" s="8" t="inlineStr">
        <is>
          <t>CMJ1</t>
        </is>
      </c>
      <c r="K22" s="8" t="inlineStr">
        <is>
          <t>CMJ2</t>
        </is>
      </c>
      <c r="L22" s="8" t="inlineStr">
        <is>
          <t>CMJ3</t>
        </is>
      </c>
      <c r="M22" s="8" t="inlineStr">
        <is>
          <t>CMJ均值</t>
        </is>
      </c>
      <c r="N22" s="8" t="inlineStr">
        <is>
          <t>&lt;95%?</t>
        </is>
      </c>
      <c r="O22" s="8" t="inlineStr">
        <is>
          <t>减组?</t>
        </is>
      </c>
      <c r="P22" s="8" t="inlineStr">
        <is>
          <t>实做组数</t>
        </is>
      </c>
      <c r="Q22" s="8" t="inlineStr">
        <is>
          <t>LVP_a</t>
        </is>
      </c>
      <c r="R22" s="8" t="inlineStr">
        <is>
          <t>LVP_b</t>
        </is>
      </c>
      <c r="S22" s="8" t="inlineStr">
        <is>
          <t>等级</t>
        </is>
      </c>
      <c r="T22" s="8" t="inlineStr">
        <is>
          <t>预测起始</t>
        </is>
      </c>
    </row>
    <row r="23">
      <c r="A23" s="9" t="inlineStr">
        <is>
          <t>P005</t>
        </is>
      </c>
      <c r="B23" s="9" t="inlineStr">
        <is>
          <t>曾庆华</t>
        </is>
      </c>
      <c r="C23" s="9" t="n">
        <v>177</v>
      </c>
      <c r="D23" s="9" t="n">
        <v>155</v>
      </c>
      <c r="E23" s="9" t="n"/>
      <c r="F23" s="9" t="n"/>
      <c r="G23" s="9" t="n"/>
      <c r="H23" s="9" t="n"/>
      <c r="I23" s="10">
        <f>IFERROR(SUM(E23:H23),"")</f>
        <v/>
      </c>
      <c r="J23" s="9" t="n"/>
      <c r="K23" s="9" t="n"/>
      <c r="L23" s="9" t="n"/>
      <c r="M23" s="10">
        <f>IFERROR(AVERAGE(J23:L23),"")</f>
        <v/>
      </c>
      <c r="N23" s="10">
        <f>IF(M23="","",IF(M23&lt;57.57,"是⚠","否"))</f>
        <v/>
      </c>
      <c r="O23" s="10">
        <f>IF(M23="","",IF(M23&lt;57.57,"减1组","正常"))</f>
        <v/>
      </c>
      <c r="P23" s="10">
        <f>IF(M23="","",IF(M23&lt;57.57,3-1,3))</f>
        <v/>
      </c>
      <c r="Q23" s="9" t="n">
        <v>1.775</v>
      </c>
      <c r="R23" s="9" t="n">
        <v>-0.008750000000000001</v>
      </c>
      <c r="S23" s="9" t="inlineStr">
        <is>
          <t>B</t>
        </is>
      </c>
      <c r="T23" s="10">
        <f>IFERROR(ROUND((0.75-1.775)/-0.00875,0.5),"")</f>
        <v/>
      </c>
    </row>
    <row r="24">
      <c r="A24" s="8" t="inlineStr">
        <is>
          <t>热身校准</t>
        </is>
      </c>
      <c r="B24" s="8" t="inlineStr">
        <is>
          <t>LVP_a</t>
        </is>
      </c>
      <c r="C24" s="8" t="inlineStr">
        <is>
          <t>LVP_b</t>
        </is>
      </c>
      <c r="D24" s="8" t="inlineStr">
        <is>
          <t>50%热身kg</t>
        </is>
      </c>
      <c r="E24" s="8" t="inlineStr">
        <is>
          <t>70%热身kg</t>
        </is>
      </c>
      <c r="F24" s="8" t="inlineStr">
        <is>
          <t>热身负荷kg</t>
        </is>
      </c>
      <c r="G24" s="8" t="inlineStr">
        <is>
          <t>实测MCV</t>
        </is>
      </c>
      <c r="H24" s="8" t="inlineStr">
        <is>
          <t>预测MCV</t>
        </is>
      </c>
      <c r="I24" s="8" t="inlineStr">
        <is>
          <t>Δv</t>
        </is>
      </c>
      <c r="J24" s="8" t="inlineStr">
        <is>
          <t>调整量kg</t>
        </is>
      </c>
      <c r="K24" s="8" t="inlineStr">
        <is>
          <t>校准后第1组kg</t>
        </is>
      </c>
    </row>
    <row r="25">
      <c r="A25" s="11" t="inlineStr"/>
      <c r="B25" s="11" t="n">
        <v>1.775</v>
      </c>
      <c r="C25" s="11" t="n">
        <v>-0.008750000000000001</v>
      </c>
      <c r="D25" s="10">
        <f>IFERROR(ROUND(T23*0.5,2.5),"")</f>
        <v/>
      </c>
      <c r="E25" s="10">
        <f>IFERROR(ROUND(T23*0.7,2.5),"")</f>
        <v/>
      </c>
      <c r="F25" s="10">
        <f>D25</f>
        <v/>
      </c>
      <c r="G25" s="9" t="n"/>
      <c r="H25" s="10">
        <f>IF(F25="","",B25+C25*F25)</f>
        <v/>
      </c>
      <c r="I25" s="10">
        <f>IF(OR(G25="",H25=""),"",G25-H25)</f>
        <v/>
      </c>
      <c r="J25" s="10">
        <f>IF(I25="","",IF(I25&gt;0.08,5,IF(I25&gt;0.04,2.5,IF(I25&gt;=-0.04,0,IF(I25&gt;=-0.08,-2.5,-5)))))</f>
        <v/>
      </c>
      <c r="K25" s="10">
        <f>IFERROR(ROUND(T23+J25,2.5),"")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A26" s="8" t="inlineStr">
        <is>
          <t>组次</t>
        </is>
      </c>
      <c r="B26" s="8" t="inlineStr">
        <is>
          <t>负荷kg</t>
        </is>
      </c>
      <c r="C26" s="8" t="inlineStr">
        <is>
          <t>rep1</t>
        </is>
      </c>
      <c r="D26" s="8" t="inlineStr">
        <is>
          <t>rep2</t>
        </is>
      </c>
      <c r="E26" s="8" t="inlineStr">
        <is>
          <t>rep3</t>
        </is>
      </c>
      <c r="F26" s="8" t="inlineStr">
        <is>
          <t>rep4</t>
        </is>
      </c>
      <c r="G26" s="8" t="inlineStr">
        <is>
          <t>rep5</t>
        </is>
      </c>
      <c r="H26" s="8" t="inlineStr">
        <is>
          <t>rep6</t>
        </is>
      </c>
      <c r="I26" s="8" t="inlineStr">
        <is>
          <t>首rep</t>
        </is>
      </c>
      <c r="J26" s="8" t="inlineStr">
        <is>
          <t>最低速</t>
        </is>
      </c>
      <c r="K26" s="8" t="inlineStr">
        <is>
          <t>最低rep#</t>
        </is>
      </c>
      <c r="L26" s="8" t="inlineStr">
        <is>
          <t>VL%</t>
        </is>
      </c>
      <c r="M26" s="8" t="inlineStr">
        <is>
          <t>VL达标?</t>
        </is>
      </c>
      <c r="N26" s="8" t="inlineStr">
        <is>
          <t>安全停止?</t>
        </is>
      </c>
      <c r="O26" s="8" t="inlineStr">
        <is>
          <t>停组原因</t>
        </is>
      </c>
      <c r="P26" s="8" t="inlineStr">
        <is>
          <t>下组建议</t>
        </is>
      </c>
      <c r="Q26" s="8" t="inlineStr">
        <is>
          <t>实做次数</t>
        </is>
      </c>
    </row>
    <row r="27">
      <c r="A27" s="12" t="n">
        <v>1</v>
      </c>
      <c r="B27" s="10">
        <f>IF(K25="","",K25)</f>
        <v/>
      </c>
      <c r="C27" s="9" t="n"/>
      <c r="D27" s="9" t="n"/>
      <c r="E27" s="9" t="n"/>
      <c r="F27" s="9" t="n"/>
      <c r="G27" s="9" t="n"/>
      <c r="H27" s="9" t="n"/>
      <c r="I27" s="10">
        <f>IFERROR(INDEX(C27:H27,MATCH(TRUE,INDEX(C27:H27&lt;&gt;"",0),0)),"")</f>
        <v/>
      </c>
      <c r="J27" s="10">
        <f>IFERROR(MIN(IF(C27:H27&lt;&gt;"",C27:H27)),"")</f>
        <v/>
      </c>
      <c r="K27" s="10">
        <f>IFERROR(MATCH(I27,C27:H27,0),"")</f>
        <v/>
      </c>
      <c r="L27" s="10">
        <f>IF(OR(I27="",J27=""),"",ROUND((I27-J27)/I27*100,1))</f>
        <v/>
      </c>
      <c r="M27" s="10">
        <f>IF(L27="","",IF(L27&gt;=10,"是","否"))</f>
        <v/>
      </c>
      <c r="N27" s="10">
        <f>IF(J27="","",IF(J27&lt;0.15,"是","否"))</f>
        <v/>
      </c>
      <c r="O27" s="10">
        <f>IF(I27="","",IF(J27&lt;0.15,"SAFETY_STOP",IF(L27&gt;=10,"VL_THRESHOLD","PLANNED_END")))</f>
        <v/>
      </c>
      <c r="P27" s="10">
        <f>IF(I27="","",IF(I27&gt;($D$2+0.05),"+5kg",IF(I27&gt;($D$2+0.02),"+2.5kg",IF(I27&gt;=($D$2-0.05),"保持",IF(I27&gt;=($D$2-0.08),"-2.5kg","-5kg")))))</f>
        <v/>
      </c>
      <c r="Q27" s="9" t="n"/>
      <c r="R27" s="12" t="n"/>
      <c r="S27" s="12" t="n"/>
      <c r="T27" s="12" t="n"/>
    </row>
    <row r="28">
      <c r="A28" s="12" t="n">
        <v>2</v>
      </c>
      <c r="B28" s="9" t="n"/>
      <c r="C28" s="9" t="n"/>
      <c r="D28" s="9" t="n"/>
      <c r="E28" s="9" t="n"/>
      <c r="F28" s="9" t="n"/>
      <c r="G28" s="9" t="n"/>
      <c r="H28" s="9" t="n"/>
      <c r="I28" s="10">
        <f>IFERROR(INDEX(C28:H28,MATCH(TRUE,INDEX(C28:H28&lt;&gt;"",0),0)),"")</f>
        <v/>
      </c>
      <c r="J28" s="10">
        <f>IFERROR(MIN(IF(C28:H28&lt;&gt;"",C28:H28)),"")</f>
        <v/>
      </c>
      <c r="K28" s="10">
        <f>IFERROR(MATCH(I28,C28:H28,0),"")</f>
        <v/>
      </c>
      <c r="L28" s="10">
        <f>IF(OR(I28="",J28=""),"",ROUND((I28-J28)/I28*100,1))</f>
        <v/>
      </c>
      <c r="M28" s="10">
        <f>IF(L28="","",IF(L28&gt;=10,"是","否"))</f>
        <v/>
      </c>
      <c r="N28" s="10">
        <f>IF(J28="","",IF(J28&lt;0.15,"是","否"))</f>
        <v/>
      </c>
      <c r="O28" s="10">
        <f>IF(I28="","",IF(J28&lt;0.15,"SAFETY_STOP",IF(L28&gt;=10,"VL_THRESHOLD","PLANNED_END")))</f>
        <v/>
      </c>
      <c r="P28" s="10">
        <f>IF(I28="","",IF(I28&gt;($D$2+0.05),"+5kg",IF(I28&gt;($D$2+0.02),"+2.5kg",IF(I28&gt;=($D$2-0.05),"保持",IF(I28&gt;=($D$2-0.08),"-2.5kg","-5kg")))))</f>
        <v/>
      </c>
      <c r="Q28" s="9" t="n"/>
      <c r="R28" s="12" t="n"/>
      <c r="S28" s="12" t="n"/>
      <c r="T28" s="12" t="n"/>
    </row>
    <row r="29">
      <c r="A29" s="12" t="n">
        <v>3</v>
      </c>
      <c r="B29" s="9" t="n"/>
      <c r="C29" s="9" t="n"/>
      <c r="D29" s="9" t="n"/>
      <c r="E29" s="9" t="n"/>
      <c r="F29" s="9" t="n"/>
      <c r="G29" s="9" t="n"/>
      <c r="H29" s="9" t="n"/>
      <c r="I29" s="10">
        <f>IFERROR(INDEX(C29:H29,MATCH(TRUE,INDEX(C29:H29&lt;&gt;"",0),0)),"")</f>
        <v/>
      </c>
      <c r="J29" s="10">
        <f>IFERROR(MIN(IF(C29:H29&lt;&gt;"",C29:H29)),"")</f>
        <v/>
      </c>
      <c r="K29" s="10">
        <f>IFERROR(MATCH(I29,C29:H29,0),"")</f>
        <v/>
      </c>
      <c r="L29" s="10">
        <f>IF(OR(I29="",J29=""),"",ROUND((I29-J29)/I29*100,1))</f>
        <v/>
      </c>
      <c r="M29" s="10">
        <f>IF(L29="","",IF(L29&gt;=10,"是","否"))</f>
        <v/>
      </c>
      <c r="N29" s="10">
        <f>IF(J29="","",IF(J29&lt;0.15,"是","否"))</f>
        <v/>
      </c>
      <c r="O29" s="10">
        <f>IF(I29="","",IF(J29&lt;0.15,"SAFETY_STOP",IF(L29&gt;=10,"VL_THRESHOLD","PLANNED_END")))</f>
        <v/>
      </c>
      <c r="P29" s="10">
        <f>IF(I29="","",IF(I29&gt;($D$2+0.05),"+5kg",IF(I29&gt;($D$2+0.02),"+2.5kg",IF(I29&gt;=($D$2-0.05),"保持",IF(I29&gt;=($D$2-0.08),"-2.5kg","-5kg")))))</f>
        <v/>
      </c>
      <c r="Q29" s="9" t="n"/>
      <c r="R29" s="12" t="n"/>
      <c r="S29" s="12" t="n"/>
      <c r="T29" s="12" t="n"/>
    </row>
    <row r="30">
      <c r="A30" s="12" t="n">
        <v>4</v>
      </c>
      <c r="B30" s="9" t="n"/>
      <c r="C30" s="9" t="n"/>
      <c r="D30" s="9" t="n"/>
      <c r="E30" s="9" t="n"/>
      <c r="F30" s="9" t="n"/>
      <c r="G30" s="9" t="n"/>
      <c r="H30" s="9" t="n"/>
      <c r="I30" s="10">
        <f>IFERROR(INDEX(C30:H30,MATCH(TRUE,INDEX(C30:H30&lt;&gt;"",0),0)),"")</f>
        <v/>
      </c>
      <c r="J30" s="10">
        <f>IFERROR(MIN(IF(C30:H30&lt;&gt;"",C30:H30)),"")</f>
        <v/>
      </c>
      <c r="K30" s="10">
        <f>IFERROR(MATCH(I30,C30:H30,0),"")</f>
        <v/>
      </c>
      <c r="L30" s="10">
        <f>IF(OR(I30="",J30=""),"",ROUND((I30-J30)/I30*100,1))</f>
        <v/>
      </c>
      <c r="M30" s="10">
        <f>IF(L30="","",IF(L30&gt;=10,"是","否"))</f>
        <v/>
      </c>
      <c r="N30" s="10">
        <f>IF(J30="","",IF(J30&lt;0.15,"是","否"))</f>
        <v/>
      </c>
      <c r="O30" s="10">
        <f>IF(I30="","",IF(J30&lt;0.15,"SAFETY_STOP",IF(L30&gt;=10,"VL_THRESHOLD","PLANNED_END")))</f>
        <v/>
      </c>
      <c r="P30" s="10">
        <f>IF(I30="","",IF(I30&gt;($D$2+0.05),"+5kg",IF(I30&gt;($D$2+0.02),"+2.5kg",IF(I30&gt;=($D$2-0.05),"保持",IF(I30&gt;=($D$2-0.08),"-2.5kg","-5kg")))))</f>
        <v/>
      </c>
      <c r="Q30" s="9" t="n"/>
      <c r="R30" s="12" t="n"/>
      <c r="S30" s="12" t="n"/>
      <c r="T30" s="12" t="n"/>
    </row>
    <row r="31">
      <c r="A31" s="12" t="n">
        <v>5</v>
      </c>
      <c r="B31" s="9" t="n"/>
      <c r="C31" s="9" t="n"/>
      <c r="D31" s="9" t="n"/>
      <c r="E31" s="9" t="n"/>
      <c r="F31" s="9" t="n"/>
      <c r="G31" s="9" t="n"/>
      <c r="H31" s="9" t="n"/>
      <c r="I31" s="10">
        <f>IFERROR(INDEX(C31:H31,MATCH(TRUE,INDEX(C31:H31&lt;&gt;"",0),0)),"")</f>
        <v/>
      </c>
      <c r="J31" s="10">
        <f>IFERROR(MIN(IF(C31:H31&lt;&gt;"",C31:H31)),"")</f>
        <v/>
      </c>
      <c r="K31" s="10">
        <f>IFERROR(MATCH(I31,C31:H31,0),"")</f>
        <v/>
      </c>
      <c r="L31" s="10">
        <f>IF(OR(I31="",J31=""),"",ROUND((I31-J31)/I31*100,1))</f>
        <v/>
      </c>
      <c r="M31" s="10">
        <f>IF(L31="","",IF(L31&gt;=10,"是","否"))</f>
        <v/>
      </c>
      <c r="N31" s="10">
        <f>IF(J31="","",IF(J31&lt;0.15,"是","否"))</f>
        <v/>
      </c>
      <c r="O31" s="10">
        <f>IF(I31="","",IF(J31&lt;0.15,"SAFETY_STOP",IF(L31&gt;=10,"VL_THRESHOLD","PLANNED_END")))</f>
        <v/>
      </c>
      <c r="P31" s="10">
        <f>IF(I31="","",IF(I31&gt;($D$2+0.05),"+5kg",IF(I31&gt;($D$2+0.02),"+2.5kg",IF(I31&gt;=($D$2-0.05),"保持",IF(I31&gt;=($D$2-0.08),"-2.5kg","-5kg")))))</f>
        <v/>
      </c>
      <c r="Q31" s="9" t="n"/>
      <c r="R31" s="12" t="n"/>
      <c r="S31" s="12" t="n"/>
      <c r="T31" s="12" t="n"/>
    </row>
    <row r="32">
      <c r="A32" s="12" t="n">
        <v>6</v>
      </c>
      <c r="B32" s="9" t="n"/>
      <c r="C32" s="9" t="n"/>
      <c r="D32" s="9" t="n"/>
      <c r="E32" s="9" t="n"/>
      <c r="F32" s="9" t="n"/>
      <c r="G32" s="9" t="n"/>
      <c r="H32" s="9" t="n"/>
      <c r="I32" s="10">
        <f>IFERROR(INDEX(C32:H32,MATCH(TRUE,INDEX(C32:H32&lt;&gt;"",0),0)),"")</f>
        <v/>
      </c>
      <c r="J32" s="10">
        <f>IFERROR(MIN(IF(C32:H32&lt;&gt;"",C32:H32)),"")</f>
        <v/>
      </c>
      <c r="K32" s="10">
        <f>IFERROR(MATCH(I32,C32:H32,0),"")</f>
        <v/>
      </c>
      <c r="L32" s="10">
        <f>IF(OR(I32="",J32=""),"",ROUND((I32-J32)/I32*100,1))</f>
        <v/>
      </c>
      <c r="M32" s="10">
        <f>IF(L32="","",IF(L32&gt;=10,"是","否"))</f>
        <v/>
      </c>
      <c r="N32" s="10">
        <f>IF(J32="","",IF(J32&lt;0.15,"是","否"))</f>
        <v/>
      </c>
      <c r="O32" s="10">
        <f>IF(I32="","",IF(J32&lt;0.15,"SAFETY_STOP",IF(L32&gt;=10,"VL_THRESHOLD","PLANNED_END")))</f>
        <v/>
      </c>
      <c r="P32" s="10">
        <f>IF(I32="","",IF(I32&gt;($D$2+0.05),"+5kg",IF(I32&gt;($D$2+0.02),"+2.5kg",IF(I32&gt;=($D$2-0.05),"保持",IF(I32&gt;=($D$2-0.08),"-2.5kg","-5kg")))))</f>
        <v/>
      </c>
      <c r="Q32" s="9" t="n"/>
      <c r="R32" s="12" t="n"/>
      <c r="S32" s="12" t="n"/>
      <c r="T32" s="12" t="n"/>
    </row>
    <row r="33">
      <c r="A33" s="8" t="inlineStr">
        <is>
          <t>辅助动作</t>
        </is>
      </c>
      <c r="B33" s="8" t="inlineStr">
        <is>
          <t>动作名称</t>
        </is>
      </c>
      <c r="C33" s="8" t="inlineStr">
        <is>
          <t>负荷kg</t>
        </is>
      </c>
      <c r="D33" s="8" t="inlineStr">
        <is>
          <t>完成(组×次)</t>
        </is>
      </c>
    </row>
    <row r="34">
      <c r="A34" s="9" t="inlineStr"/>
      <c r="B34" s="9" t="n"/>
      <c r="C34" s="9" t="n"/>
      <c r="D34" s="9" t="n"/>
    </row>
    <row r="35">
      <c r="A35" s="8" t="inlineStr">
        <is>
          <t>训练后</t>
        </is>
      </c>
      <c r="B35" s="8" t="inlineStr">
        <is>
          <t>开始时间</t>
        </is>
      </c>
      <c r="C35" s="8" t="inlineStr">
        <is>
          <t>结束时间</t>
        </is>
      </c>
      <c r="D35" s="8" t="inlineStr">
        <is>
          <t>总时长min</t>
        </is>
      </c>
      <c r="E35" s="8" t="inlineStr">
        <is>
          <t>sRPE</t>
        </is>
      </c>
      <c r="F35" s="8" t="inlineStr">
        <is>
          <t>session_load</t>
        </is>
      </c>
      <c r="G35" s="8" t="inlineStr">
        <is>
          <t>有无不适</t>
        </is>
      </c>
      <c r="H35" s="8" t="inlineStr">
        <is>
          <t>备注</t>
        </is>
      </c>
      <c r="I35" s="8" t="inlineStr">
        <is>
          <t>研究员签名</t>
        </is>
      </c>
    </row>
    <row r="36">
      <c r="A36" s="13" t="inlineStr"/>
      <c r="B36" s="13" t="n"/>
      <c r="C36" s="13" t="n"/>
      <c r="D36" s="10">
        <f>IF(OR(B36="",C36=""),"",(C36-B36)*1440)</f>
        <v/>
      </c>
      <c r="E36" s="13" t="n"/>
      <c r="F36" s="10">
        <f>IF(OR(D36="",E36=""),"",D36*E36)</f>
        <v/>
      </c>
      <c r="G36" s="13" t="n"/>
      <c r="H36" s="13" t="n"/>
      <c r="I36" s="13" t="n"/>
    </row>
    <row r="38">
      <c r="A38" s="5" t="inlineStr">
        <is>
          <t>── P002 何天元 ──────────────────────────────────────────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7" t="n"/>
    </row>
    <row r="39">
      <c r="A39" s="8" t="inlineStr">
        <is>
          <t>编号</t>
        </is>
      </c>
      <c r="B39" s="8" t="inlineStr">
        <is>
          <t>姓名</t>
        </is>
      </c>
      <c r="C39" s="8" t="inlineStr">
        <is>
          <t>身高</t>
        </is>
      </c>
      <c r="D39" s="8" t="inlineStr">
        <is>
          <t>1RM</t>
        </is>
      </c>
      <c r="E39" s="8" t="inlineStr">
        <is>
          <t>睡眠</t>
        </is>
      </c>
      <c r="F39" s="8" t="inlineStr">
        <is>
          <t>压力</t>
        </is>
      </c>
      <c r="G39" s="8" t="inlineStr">
        <is>
          <t>疲劳</t>
        </is>
      </c>
      <c r="H39" s="8" t="inlineStr">
        <is>
          <t>酸痛</t>
        </is>
      </c>
      <c r="I39" s="8" t="inlineStr">
        <is>
          <t>Hooper总</t>
        </is>
      </c>
      <c r="J39" s="8" t="inlineStr">
        <is>
          <t>CMJ1</t>
        </is>
      </c>
      <c r="K39" s="8" t="inlineStr">
        <is>
          <t>CMJ2</t>
        </is>
      </c>
      <c r="L39" s="8" t="inlineStr">
        <is>
          <t>CMJ3</t>
        </is>
      </c>
      <c r="M39" s="8" t="inlineStr">
        <is>
          <t>CMJ均值</t>
        </is>
      </c>
      <c r="N39" s="8" t="inlineStr">
        <is>
          <t>&lt;95%?</t>
        </is>
      </c>
      <c r="O39" s="8" t="inlineStr">
        <is>
          <t>减组?</t>
        </is>
      </c>
      <c r="P39" s="8" t="inlineStr">
        <is>
          <t>实做组数</t>
        </is>
      </c>
      <c r="Q39" s="8" t="inlineStr">
        <is>
          <t>LVP_a</t>
        </is>
      </c>
      <c r="R39" s="8" t="inlineStr">
        <is>
          <t>LVP_b</t>
        </is>
      </c>
      <c r="S39" s="8" t="inlineStr">
        <is>
          <t>等级</t>
        </is>
      </c>
      <c r="T39" s="8" t="inlineStr">
        <is>
          <t>预测起始</t>
        </is>
      </c>
    </row>
    <row r="40">
      <c r="A40" s="9" t="inlineStr">
        <is>
          <t>P002</t>
        </is>
      </c>
      <c r="B40" s="9" t="inlineStr">
        <is>
          <t>何天元</t>
        </is>
      </c>
      <c r="C40" s="9" t="n">
        <v>178</v>
      </c>
      <c r="D40" s="9" t="n">
        <v>150</v>
      </c>
      <c r="E40" s="9" t="n"/>
      <c r="F40" s="9" t="n"/>
      <c r="G40" s="9" t="n"/>
      <c r="H40" s="9" t="n"/>
      <c r="I40" s="10">
        <f>IFERROR(SUM(E40:H40),"")</f>
        <v/>
      </c>
      <c r="J40" s="9" t="n"/>
      <c r="K40" s="9" t="n"/>
      <c r="L40" s="9" t="n"/>
      <c r="M40" s="10">
        <f>IFERROR(AVERAGE(J40:L40),"")</f>
        <v/>
      </c>
      <c r="N40" s="10">
        <f>IF(M40="","",IF(M40&lt;60.54,"是⚠","否"))</f>
        <v/>
      </c>
      <c r="O40" s="10">
        <f>IF(M40="","",IF(M40&lt;60.54,"减1组","正常"))</f>
        <v/>
      </c>
      <c r="P40" s="10">
        <f>IF(M40="","",IF(M40&lt;60.54,3-1,3))</f>
        <v/>
      </c>
      <c r="Q40" s="9" t="n">
        <v>1.291</v>
      </c>
      <c r="R40" s="9" t="n">
        <v>-0.0054</v>
      </c>
      <c r="S40" s="9" t="inlineStr">
        <is>
          <t>B</t>
        </is>
      </c>
      <c r="T40" s="10">
        <f>IFERROR(ROUND((0.75-1.291)/-0.0054,0.5),"")</f>
        <v/>
      </c>
    </row>
    <row r="41">
      <c r="A41" s="8" t="inlineStr">
        <is>
          <t>热身校准</t>
        </is>
      </c>
      <c r="B41" s="8" t="inlineStr">
        <is>
          <t>LVP_a</t>
        </is>
      </c>
      <c r="C41" s="8" t="inlineStr">
        <is>
          <t>LVP_b</t>
        </is>
      </c>
      <c r="D41" s="8" t="inlineStr">
        <is>
          <t>50%热身kg</t>
        </is>
      </c>
      <c r="E41" s="8" t="inlineStr">
        <is>
          <t>70%热身kg</t>
        </is>
      </c>
      <c r="F41" s="8" t="inlineStr">
        <is>
          <t>热身负荷kg</t>
        </is>
      </c>
      <c r="G41" s="8" t="inlineStr">
        <is>
          <t>实测MCV</t>
        </is>
      </c>
      <c r="H41" s="8" t="inlineStr">
        <is>
          <t>预测MCV</t>
        </is>
      </c>
      <c r="I41" s="8" t="inlineStr">
        <is>
          <t>Δv</t>
        </is>
      </c>
      <c r="J41" s="8" t="inlineStr">
        <is>
          <t>调整量kg</t>
        </is>
      </c>
      <c r="K41" s="8" t="inlineStr">
        <is>
          <t>校准后第1组kg</t>
        </is>
      </c>
    </row>
    <row r="42">
      <c r="A42" s="11" t="inlineStr"/>
      <c r="B42" s="11" t="n">
        <v>1.291</v>
      </c>
      <c r="C42" s="11" t="n">
        <v>-0.0054</v>
      </c>
      <c r="D42" s="10">
        <f>IFERROR(ROUND(T40*0.5,2.5),"")</f>
        <v/>
      </c>
      <c r="E42" s="10">
        <f>IFERROR(ROUND(T40*0.7,2.5),"")</f>
        <v/>
      </c>
      <c r="F42" s="10">
        <f>D42</f>
        <v/>
      </c>
      <c r="G42" s="9" t="n"/>
      <c r="H42" s="10">
        <f>IF(F42="","",B42+C42*F42)</f>
        <v/>
      </c>
      <c r="I42" s="10">
        <f>IF(OR(G42="",H42=""),"",G42-H42)</f>
        <v/>
      </c>
      <c r="J42" s="10">
        <f>IF(I42="","",IF(I42&gt;0.08,5,IF(I42&gt;0.04,2.5,IF(I42&gt;=-0.04,0,IF(I42&gt;=-0.08,-2.5,-5)))))</f>
        <v/>
      </c>
      <c r="K42" s="10">
        <f>IFERROR(ROUND(T40+J42,2.5),"")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</row>
    <row r="43">
      <c r="A43" s="8" t="inlineStr">
        <is>
          <t>组次</t>
        </is>
      </c>
      <c r="B43" s="8" t="inlineStr">
        <is>
          <t>负荷kg</t>
        </is>
      </c>
      <c r="C43" s="8" t="inlineStr">
        <is>
          <t>rep1</t>
        </is>
      </c>
      <c r="D43" s="8" t="inlineStr">
        <is>
          <t>rep2</t>
        </is>
      </c>
      <c r="E43" s="8" t="inlineStr">
        <is>
          <t>rep3</t>
        </is>
      </c>
      <c r="F43" s="8" t="inlineStr">
        <is>
          <t>rep4</t>
        </is>
      </c>
      <c r="G43" s="8" t="inlineStr">
        <is>
          <t>rep5</t>
        </is>
      </c>
      <c r="H43" s="8" t="inlineStr">
        <is>
          <t>rep6</t>
        </is>
      </c>
      <c r="I43" s="8" t="inlineStr">
        <is>
          <t>首rep</t>
        </is>
      </c>
      <c r="J43" s="8" t="inlineStr">
        <is>
          <t>最低速</t>
        </is>
      </c>
      <c r="K43" s="8" t="inlineStr">
        <is>
          <t>最低rep#</t>
        </is>
      </c>
      <c r="L43" s="8" t="inlineStr">
        <is>
          <t>VL%</t>
        </is>
      </c>
      <c r="M43" s="8" t="inlineStr">
        <is>
          <t>VL达标?</t>
        </is>
      </c>
      <c r="N43" s="8" t="inlineStr">
        <is>
          <t>安全停止?</t>
        </is>
      </c>
      <c r="O43" s="8" t="inlineStr">
        <is>
          <t>停组原因</t>
        </is>
      </c>
      <c r="P43" s="8" t="inlineStr">
        <is>
          <t>下组建议</t>
        </is>
      </c>
      <c r="Q43" s="8" t="inlineStr">
        <is>
          <t>实做次数</t>
        </is>
      </c>
    </row>
    <row r="44">
      <c r="A44" s="12" t="n">
        <v>1</v>
      </c>
      <c r="B44" s="10">
        <f>IF(K42="","",K42)</f>
        <v/>
      </c>
      <c r="C44" s="9" t="n"/>
      <c r="D44" s="9" t="n"/>
      <c r="E44" s="9" t="n"/>
      <c r="F44" s="9" t="n"/>
      <c r="G44" s="9" t="n"/>
      <c r="H44" s="9" t="n"/>
      <c r="I44" s="10">
        <f>IFERROR(INDEX(C44:H44,MATCH(TRUE,INDEX(C44:H44&lt;&gt;"",0),0)),"")</f>
        <v/>
      </c>
      <c r="J44" s="10">
        <f>IFERROR(MIN(IF(C44:H44&lt;&gt;"",C44:H44)),"")</f>
        <v/>
      </c>
      <c r="K44" s="10">
        <f>IFERROR(MATCH(I44,C44:H44,0),"")</f>
        <v/>
      </c>
      <c r="L44" s="10">
        <f>IF(OR(I44="",J44=""),"",ROUND((I44-J44)/I44*100,1))</f>
        <v/>
      </c>
      <c r="M44" s="10">
        <f>IF(L44="","",IF(L44&gt;=10,"是","否"))</f>
        <v/>
      </c>
      <c r="N44" s="10">
        <f>IF(J44="","",IF(J44&lt;0.15,"是","否"))</f>
        <v/>
      </c>
      <c r="O44" s="10">
        <f>IF(I44="","",IF(J44&lt;0.15,"SAFETY_STOP",IF(L44&gt;=10,"VL_THRESHOLD","PLANNED_END")))</f>
        <v/>
      </c>
      <c r="P44" s="10">
        <f>IF(I44="","",IF(I44&gt;($D$2+0.05),"+5kg",IF(I44&gt;($D$2+0.02),"+2.5kg",IF(I44&gt;=($D$2-0.05),"保持",IF(I44&gt;=($D$2-0.08),"-2.5kg","-5kg")))))</f>
        <v/>
      </c>
      <c r="Q44" s="9" t="n"/>
      <c r="R44" s="12" t="n"/>
      <c r="S44" s="12" t="n"/>
      <c r="T44" s="12" t="n"/>
    </row>
    <row r="45">
      <c r="A45" s="12" t="n">
        <v>2</v>
      </c>
      <c r="B45" s="9" t="n"/>
      <c r="C45" s="9" t="n"/>
      <c r="D45" s="9" t="n"/>
      <c r="E45" s="9" t="n"/>
      <c r="F45" s="9" t="n"/>
      <c r="G45" s="9" t="n"/>
      <c r="H45" s="9" t="n"/>
      <c r="I45" s="10">
        <f>IFERROR(INDEX(C45:H45,MATCH(TRUE,INDEX(C45:H45&lt;&gt;"",0),0)),"")</f>
        <v/>
      </c>
      <c r="J45" s="10">
        <f>IFERROR(MIN(IF(C45:H45&lt;&gt;"",C45:H45)),"")</f>
        <v/>
      </c>
      <c r="K45" s="10">
        <f>IFERROR(MATCH(I45,C45:H45,0),"")</f>
        <v/>
      </c>
      <c r="L45" s="10">
        <f>IF(OR(I45="",J45=""),"",ROUND((I45-J45)/I45*100,1))</f>
        <v/>
      </c>
      <c r="M45" s="10">
        <f>IF(L45="","",IF(L45&gt;=10,"是","否"))</f>
        <v/>
      </c>
      <c r="N45" s="10">
        <f>IF(J45="","",IF(J45&lt;0.15,"是","否"))</f>
        <v/>
      </c>
      <c r="O45" s="10">
        <f>IF(I45="","",IF(J45&lt;0.15,"SAFETY_STOP",IF(L45&gt;=10,"VL_THRESHOLD","PLANNED_END")))</f>
        <v/>
      </c>
      <c r="P45" s="10">
        <f>IF(I45="","",IF(I45&gt;($D$2+0.05),"+5kg",IF(I45&gt;($D$2+0.02),"+2.5kg",IF(I45&gt;=($D$2-0.05),"保持",IF(I45&gt;=($D$2-0.08),"-2.5kg","-5kg")))))</f>
        <v/>
      </c>
      <c r="Q45" s="9" t="n"/>
      <c r="R45" s="12" t="n"/>
      <c r="S45" s="12" t="n"/>
      <c r="T45" s="12" t="n"/>
    </row>
    <row r="46">
      <c r="A46" s="12" t="n">
        <v>3</v>
      </c>
      <c r="B46" s="9" t="n"/>
      <c r="C46" s="9" t="n"/>
      <c r="D46" s="9" t="n"/>
      <c r="E46" s="9" t="n"/>
      <c r="F46" s="9" t="n"/>
      <c r="G46" s="9" t="n"/>
      <c r="H46" s="9" t="n"/>
      <c r="I46" s="10">
        <f>IFERROR(INDEX(C46:H46,MATCH(TRUE,INDEX(C46:H46&lt;&gt;"",0),0)),"")</f>
        <v/>
      </c>
      <c r="J46" s="10">
        <f>IFERROR(MIN(IF(C46:H46&lt;&gt;"",C46:H46)),"")</f>
        <v/>
      </c>
      <c r="K46" s="10">
        <f>IFERROR(MATCH(I46,C46:H46,0),"")</f>
        <v/>
      </c>
      <c r="L46" s="10">
        <f>IF(OR(I46="",J46=""),"",ROUND((I46-J46)/I46*100,1))</f>
        <v/>
      </c>
      <c r="M46" s="10">
        <f>IF(L46="","",IF(L46&gt;=10,"是","否"))</f>
        <v/>
      </c>
      <c r="N46" s="10">
        <f>IF(J46="","",IF(J46&lt;0.15,"是","否"))</f>
        <v/>
      </c>
      <c r="O46" s="10">
        <f>IF(I46="","",IF(J46&lt;0.15,"SAFETY_STOP",IF(L46&gt;=10,"VL_THRESHOLD","PLANNED_END")))</f>
        <v/>
      </c>
      <c r="P46" s="10">
        <f>IF(I46="","",IF(I46&gt;($D$2+0.05),"+5kg",IF(I46&gt;($D$2+0.02),"+2.5kg",IF(I46&gt;=($D$2-0.05),"保持",IF(I46&gt;=($D$2-0.08),"-2.5kg","-5kg")))))</f>
        <v/>
      </c>
      <c r="Q46" s="9" t="n"/>
      <c r="R46" s="12" t="n"/>
      <c r="S46" s="12" t="n"/>
      <c r="T46" s="12" t="n"/>
    </row>
    <row r="47">
      <c r="A47" s="12" t="n">
        <v>4</v>
      </c>
      <c r="B47" s="9" t="n"/>
      <c r="C47" s="9" t="n"/>
      <c r="D47" s="9" t="n"/>
      <c r="E47" s="9" t="n"/>
      <c r="F47" s="9" t="n"/>
      <c r="G47" s="9" t="n"/>
      <c r="H47" s="9" t="n"/>
      <c r="I47" s="10">
        <f>IFERROR(INDEX(C47:H47,MATCH(TRUE,INDEX(C47:H47&lt;&gt;"",0),0)),"")</f>
        <v/>
      </c>
      <c r="J47" s="10">
        <f>IFERROR(MIN(IF(C47:H47&lt;&gt;"",C47:H47)),"")</f>
        <v/>
      </c>
      <c r="K47" s="10">
        <f>IFERROR(MATCH(I47,C47:H47,0),"")</f>
        <v/>
      </c>
      <c r="L47" s="10">
        <f>IF(OR(I47="",J47=""),"",ROUND((I47-J47)/I47*100,1))</f>
        <v/>
      </c>
      <c r="M47" s="10">
        <f>IF(L47="","",IF(L47&gt;=10,"是","否"))</f>
        <v/>
      </c>
      <c r="N47" s="10">
        <f>IF(J47="","",IF(J47&lt;0.15,"是","否"))</f>
        <v/>
      </c>
      <c r="O47" s="10">
        <f>IF(I47="","",IF(J47&lt;0.15,"SAFETY_STOP",IF(L47&gt;=10,"VL_THRESHOLD","PLANNED_END")))</f>
        <v/>
      </c>
      <c r="P47" s="10">
        <f>IF(I47="","",IF(I47&gt;($D$2+0.05),"+5kg",IF(I47&gt;($D$2+0.02),"+2.5kg",IF(I47&gt;=($D$2-0.05),"保持",IF(I47&gt;=($D$2-0.08),"-2.5kg","-5kg")))))</f>
        <v/>
      </c>
      <c r="Q47" s="9" t="n"/>
      <c r="R47" s="12" t="n"/>
      <c r="S47" s="12" t="n"/>
      <c r="T47" s="12" t="n"/>
    </row>
    <row r="48">
      <c r="A48" s="12" t="n">
        <v>5</v>
      </c>
      <c r="B48" s="9" t="n"/>
      <c r="C48" s="9" t="n"/>
      <c r="D48" s="9" t="n"/>
      <c r="E48" s="9" t="n"/>
      <c r="F48" s="9" t="n"/>
      <c r="G48" s="9" t="n"/>
      <c r="H48" s="9" t="n"/>
      <c r="I48" s="10">
        <f>IFERROR(INDEX(C48:H48,MATCH(TRUE,INDEX(C48:H48&lt;&gt;"",0),0)),"")</f>
        <v/>
      </c>
      <c r="J48" s="10">
        <f>IFERROR(MIN(IF(C48:H48&lt;&gt;"",C48:H48)),"")</f>
        <v/>
      </c>
      <c r="K48" s="10">
        <f>IFERROR(MATCH(I48,C48:H48,0),"")</f>
        <v/>
      </c>
      <c r="L48" s="10">
        <f>IF(OR(I48="",J48=""),"",ROUND((I48-J48)/I48*100,1))</f>
        <v/>
      </c>
      <c r="M48" s="10">
        <f>IF(L48="","",IF(L48&gt;=10,"是","否"))</f>
        <v/>
      </c>
      <c r="N48" s="10">
        <f>IF(J48="","",IF(J48&lt;0.15,"是","否"))</f>
        <v/>
      </c>
      <c r="O48" s="10">
        <f>IF(I48="","",IF(J48&lt;0.15,"SAFETY_STOP",IF(L48&gt;=10,"VL_THRESHOLD","PLANNED_END")))</f>
        <v/>
      </c>
      <c r="P48" s="10">
        <f>IF(I48="","",IF(I48&gt;($D$2+0.05),"+5kg",IF(I48&gt;($D$2+0.02),"+2.5kg",IF(I48&gt;=($D$2-0.05),"保持",IF(I48&gt;=($D$2-0.08),"-2.5kg","-5kg")))))</f>
        <v/>
      </c>
      <c r="Q48" s="9" t="n"/>
      <c r="R48" s="12" t="n"/>
      <c r="S48" s="12" t="n"/>
      <c r="T48" s="12" t="n"/>
    </row>
    <row r="49">
      <c r="A49" s="12" t="n">
        <v>6</v>
      </c>
      <c r="B49" s="9" t="n"/>
      <c r="C49" s="9" t="n"/>
      <c r="D49" s="9" t="n"/>
      <c r="E49" s="9" t="n"/>
      <c r="F49" s="9" t="n"/>
      <c r="G49" s="9" t="n"/>
      <c r="H49" s="9" t="n"/>
      <c r="I49" s="10">
        <f>IFERROR(INDEX(C49:H49,MATCH(TRUE,INDEX(C49:H49&lt;&gt;"",0),0)),"")</f>
        <v/>
      </c>
      <c r="J49" s="10">
        <f>IFERROR(MIN(IF(C49:H49&lt;&gt;"",C49:H49)),"")</f>
        <v/>
      </c>
      <c r="K49" s="10">
        <f>IFERROR(MATCH(I49,C49:H49,0),"")</f>
        <v/>
      </c>
      <c r="L49" s="10">
        <f>IF(OR(I49="",J49=""),"",ROUND((I49-J49)/I49*100,1))</f>
        <v/>
      </c>
      <c r="M49" s="10">
        <f>IF(L49="","",IF(L49&gt;=10,"是","否"))</f>
        <v/>
      </c>
      <c r="N49" s="10">
        <f>IF(J49="","",IF(J49&lt;0.15,"是","否"))</f>
        <v/>
      </c>
      <c r="O49" s="10">
        <f>IF(I49="","",IF(J49&lt;0.15,"SAFETY_STOP",IF(L49&gt;=10,"VL_THRESHOLD","PLANNED_END")))</f>
        <v/>
      </c>
      <c r="P49" s="10">
        <f>IF(I49="","",IF(I49&gt;($D$2+0.05),"+5kg",IF(I49&gt;($D$2+0.02),"+2.5kg",IF(I49&gt;=($D$2-0.05),"保持",IF(I49&gt;=($D$2-0.08),"-2.5kg","-5kg")))))</f>
        <v/>
      </c>
      <c r="Q49" s="9" t="n"/>
      <c r="R49" s="12" t="n"/>
      <c r="S49" s="12" t="n"/>
      <c r="T49" s="12" t="n"/>
    </row>
    <row r="50">
      <c r="A50" s="8" t="inlineStr">
        <is>
          <t>辅助动作</t>
        </is>
      </c>
      <c r="B50" s="8" t="inlineStr">
        <is>
          <t>动作名称</t>
        </is>
      </c>
      <c r="C50" s="8" t="inlineStr">
        <is>
          <t>负荷kg</t>
        </is>
      </c>
      <c r="D50" s="8" t="inlineStr">
        <is>
          <t>完成(组×次)</t>
        </is>
      </c>
    </row>
    <row r="51">
      <c r="A51" s="9" t="inlineStr"/>
      <c r="B51" s="9" t="n"/>
      <c r="C51" s="9" t="n"/>
      <c r="D51" s="9" t="n"/>
    </row>
    <row r="52">
      <c r="A52" s="8" t="inlineStr">
        <is>
          <t>训练后</t>
        </is>
      </c>
      <c r="B52" s="8" t="inlineStr">
        <is>
          <t>开始时间</t>
        </is>
      </c>
      <c r="C52" s="8" t="inlineStr">
        <is>
          <t>结束时间</t>
        </is>
      </c>
      <c r="D52" s="8" t="inlineStr">
        <is>
          <t>总时长min</t>
        </is>
      </c>
      <c r="E52" s="8" t="inlineStr">
        <is>
          <t>sRPE</t>
        </is>
      </c>
      <c r="F52" s="8" t="inlineStr">
        <is>
          <t>session_load</t>
        </is>
      </c>
      <c r="G52" s="8" t="inlineStr">
        <is>
          <t>有无不适</t>
        </is>
      </c>
      <c r="H52" s="8" t="inlineStr">
        <is>
          <t>备注</t>
        </is>
      </c>
      <c r="I52" s="8" t="inlineStr">
        <is>
          <t>研究员签名</t>
        </is>
      </c>
    </row>
    <row r="53">
      <c r="A53" s="13" t="inlineStr"/>
      <c r="B53" s="13" t="n"/>
      <c r="C53" s="13" t="n"/>
      <c r="D53" s="10">
        <f>IF(OR(B53="",C53=""),"",(C53-B53)*1440)</f>
        <v/>
      </c>
      <c r="E53" s="13" t="n"/>
      <c r="F53" s="10">
        <f>IF(OR(D53="",E53=""),"",D53*E53)</f>
        <v/>
      </c>
      <c r="G53" s="13" t="n"/>
      <c r="H53" s="13" t="n"/>
      <c r="I53" s="13" t="n"/>
    </row>
    <row r="55">
      <c r="A55" s="5" t="inlineStr">
        <is>
          <t>── P006 陈镕垚 ──────────────────────────────────────────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7" t="n"/>
    </row>
    <row r="56">
      <c r="A56" s="8" t="inlineStr">
        <is>
          <t>编号</t>
        </is>
      </c>
      <c r="B56" s="8" t="inlineStr">
        <is>
          <t>姓名</t>
        </is>
      </c>
      <c r="C56" s="8" t="inlineStr">
        <is>
          <t>身高</t>
        </is>
      </c>
      <c r="D56" s="8" t="inlineStr">
        <is>
          <t>1RM</t>
        </is>
      </c>
      <c r="E56" s="8" t="inlineStr">
        <is>
          <t>睡眠</t>
        </is>
      </c>
      <c r="F56" s="8" t="inlineStr">
        <is>
          <t>压力</t>
        </is>
      </c>
      <c r="G56" s="8" t="inlineStr">
        <is>
          <t>疲劳</t>
        </is>
      </c>
      <c r="H56" s="8" t="inlineStr">
        <is>
          <t>酸痛</t>
        </is>
      </c>
      <c r="I56" s="8" t="inlineStr">
        <is>
          <t>Hooper总</t>
        </is>
      </c>
      <c r="J56" s="8" t="inlineStr">
        <is>
          <t>CMJ1</t>
        </is>
      </c>
      <c r="K56" s="8" t="inlineStr">
        <is>
          <t>CMJ2</t>
        </is>
      </c>
      <c r="L56" s="8" t="inlineStr">
        <is>
          <t>CMJ3</t>
        </is>
      </c>
      <c r="M56" s="8" t="inlineStr">
        <is>
          <t>CMJ均值</t>
        </is>
      </c>
      <c r="N56" s="8" t="inlineStr">
        <is>
          <t>&lt;95%?</t>
        </is>
      </c>
      <c r="O56" s="8" t="inlineStr">
        <is>
          <t>减组?</t>
        </is>
      </c>
      <c r="P56" s="8" t="inlineStr">
        <is>
          <t>实做组数</t>
        </is>
      </c>
      <c r="Q56" s="8" t="inlineStr">
        <is>
          <t>LVP_a</t>
        </is>
      </c>
      <c r="R56" s="8" t="inlineStr">
        <is>
          <t>LVP_b</t>
        </is>
      </c>
      <c r="S56" s="8" t="inlineStr">
        <is>
          <t>等级</t>
        </is>
      </c>
      <c r="T56" s="8" t="inlineStr">
        <is>
          <t>预测起始</t>
        </is>
      </c>
    </row>
    <row r="57">
      <c r="A57" s="9" t="inlineStr">
        <is>
          <t>P006</t>
        </is>
      </c>
      <c r="B57" s="9" t="inlineStr">
        <is>
          <t>陈镕垚</t>
        </is>
      </c>
      <c r="C57" s="9" t="n">
        <v>181</v>
      </c>
      <c r="D57" s="9" t="n">
        <v>145</v>
      </c>
      <c r="E57" s="9" t="n"/>
      <c r="F57" s="9" t="n"/>
      <c r="G57" s="9" t="n"/>
      <c r="H57" s="9" t="n"/>
      <c r="I57" s="10">
        <f>IFERROR(SUM(E57:H57),"")</f>
        <v/>
      </c>
      <c r="J57" s="9" t="n"/>
      <c r="K57" s="9" t="n"/>
      <c r="L57" s="9" t="n"/>
      <c r="M57" s="10">
        <f>IFERROR(AVERAGE(J57:L57),"")</f>
        <v/>
      </c>
      <c r="N57" s="10">
        <f>IF(M57="","",IF(M57&lt;59.06,"是⚠","否"))</f>
        <v/>
      </c>
      <c r="O57" s="10">
        <f>IF(M57="","",IF(M57&lt;59.06,"减1组","正常"))</f>
        <v/>
      </c>
      <c r="P57" s="10">
        <f>IF(M57="","",IF(M57&lt;59.06,3-1,3))</f>
        <v/>
      </c>
      <c r="Q57" s="9" t="n">
        <v>1.45</v>
      </c>
      <c r="R57" s="9" t="n">
        <v>-0.00675</v>
      </c>
      <c r="S57" s="9" t="inlineStr">
        <is>
          <t>B</t>
        </is>
      </c>
      <c r="T57" s="10">
        <f>IFERROR(ROUND((0.75-1.45)/-0.00675,0.5),"")</f>
        <v/>
      </c>
    </row>
    <row r="58">
      <c r="A58" s="8" t="inlineStr">
        <is>
          <t>热身校准</t>
        </is>
      </c>
      <c r="B58" s="8" t="inlineStr">
        <is>
          <t>LVP_a</t>
        </is>
      </c>
      <c r="C58" s="8" t="inlineStr">
        <is>
          <t>LVP_b</t>
        </is>
      </c>
      <c r="D58" s="8" t="inlineStr">
        <is>
          <t>50%热身kg</t>
        </is>
      </c>
      <c r="E58" s="8" t="inlineStr">
        <is>
          <t>70%热身kg</t>
        </is>
      </c>
      <c r="F58" s="8" t="inlineStr">
        <is>
          <t>热身负荷kg</t>
        </is>
      </c>
      <c r="G58" s="8" t="inlineStr">
        <is>
          <t>实测MCV</t>
        </is>
      </c>
      <c r="H58" s="8" t="inlineStr">
        <is>
          <t>预测MCV</t>
        </is>
      </c>
      <c r="I58" s="8" t="inlineStr">
        <is>
          <t>Δv</t>
        </is>
      </c>
      <c r="J58" s="8" t="inlineStr">
        <is>
          <t>调整量kg</t>
        </is>
      </c>
      <c r="K58" s="8" t="inlineStr">
        <is>
          <t>校准后第1组kg</t>
        </is>
      </c>
    </row>
    <row r="59">
      <c r="A59" s="11" t="inlineStr"/>
      <c r="B59" s="11" t="n">
        <v>1.45</v>
      </c>
      <c r="C59" s="11" t="n">
        <v>-0.00675</v>
      </c>
      <c r="D59" s="10">
        <f>IFERROR(ROUND(T57*0.5,2.5),"")</f>
        <v/>
      </c>
      <c r="E59" s="10">
        <f>IFERROR(ROUND(T57*0.7,2.5),"")</f>
        <v/>
      </c>
      <c r="F59" s="10">
        <f>D59</f>
        <v/>
      </c>
      <c r="G59" s="9" t="n"/>
      <c r="H59" s="10">
        <f>IF(F59="","",B59+C59*F59)</f>
        <v/>
      </c>
      <c r="I59" s="10">
        <f>IF(OR(G59="",H59=""),"",G59-H59)</f>
        <v/>
      </c>
      <c r="J59" s="10">
        <f>IF(I59="","",IF(I59&gt;0.08,5,IF(I59&gt;0.04,2.5,IF(I59&gt;=-0.04,0,IF(I59&gt;=-0.08,-2.5,-5)))))</f>
        <v/>
      </c>
      <c r="K59" s="10">
        <f>IFERROR(ROUND(T57+J59,2.5),"")</f>
        <v/>
      </c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</row>
    <row r="60">
      <c r="A60" s="8" t="inlineStr">
        <is>
          <t>组次</t>
        </is>
      </c>
      <c r="B60" s="8" t="inlineStr">
        <is>
          <t>负荷kg</t>
        </is>
      </c>
      <c r="C60" s="8" t="inlineStr">
        <is>
          <t>rep1</t>
        </is>
      </c>
      <c r="D60" s="8" t="inlineStr">
        <is>
          <t>rep2</t>
        </is>
      </c>
      <c r="E60" s="8" t="inlineStr">
        <is>
          <t>rep3</t>
        </is>
      </c>
      <c r="F60" s="8" t="inlineStr">
        <is>
          <t>rep4</t>
        </is>
      </c>
      <c r="G60" s="8" t="inlineStr">
        <is>
          <t>rep5</t>
        </is>
      </c>
      <c r="H60" s="8" t="inlineStr">
        <is>
          <t>rep6</t>
        </is>
      </c>
      <c r="I60" s="8" t="inlineStr">
        <is>
          <t>首rep</t>
        </is>
      </c>
      <c r="J60" s="8" t="inlineStr">
        <is>
          <t>最低速</t>
        </is>
      </c>
      <c r="K60" s="8" t="inlineStr">
        <is>
          <t>最低rep#</t>
        </is>
      </c>
      <c r="L60" s="8" t="inlineStr">
        <is>
          <t>VL%</t>
        </is>
      </c>
      <c r="M60" s="8" t="inlineStr">
        <is>
          <t>VL达标?</t>
        </is>
      </c>
      <c r="N60" s="8" t="inlineStr">
        <is>
          <t>安全停止?</t>
        </is>
      </c>
      <c r="O60" s="8" t="inlineStr">
        <is>
          <t>停组原因</t>
        </is>
      </c>
      <c r="P60" s="8" t="inlineStr">
        <is>
          <t>下组建议</t>
        </is>
      </c>
      <c r="Q60" s="8" t="inlineStr">
        <is>
          <t>实做次数</t>
        </is>
      </c>
    </row>
    <row r="61">
      <c r="A61" s="12" t="n">
        <v>1</v>
      </c>
      <c r="B61" s="10">
        <f>IF(K59="","",K59)</f>
        <v/>
      </c>
      <c r="C61" s="9" t="n"/>
      <c r="D61" s="9" t="n"/>
      <c r="E61" s="9" t="n"/>
      <c r="F61" s="9" t="n"/>
      <c r="G61" s="9" t="n"/>
      <c r="H61" s="9" t="n"/>
      <c r="I61" s="10">
        <f>IFERROR(INDEX(C61:H61,MATCH(TRUE,INDEX(C61:H61&lt;&gt;"",0),0)),"")</f>
        <v/>
      </c>
      <c r="J61" s="10">
        <f>IFERROR(MIN(IF(C61:H61&lt;&gt;"",C61:H61)),"")</f>
        <v/>
      </c>
      <c r="K61" s="10">
        <f>IFERROR(MATCH(I61,C61:H61,0),"")</f>
        <v/>
      </c>
      <c r="L61" s="10">
        <f>IF(OR(I61="",J61=""),"",ROUND((I61-J61)/I61*100,1))</f>
        <v/>
      </c>
      <c r="M61" s="10">
        <f>IF(L61="","",IF(L61&gt;=10,"是","否"))</f>
        <v/>
      </c>
      <c r="N61" s="10">
        <f>IF(J61="","",IF(J61&lt;0.15,"是","否"))</f>
        <v/>
      </c>
      <c r="O61" s="10">
        <f>IF(I61="","",IF(J61&lt;0.15,"SAFETY_STOP",IF(L61&gt;=10,"VL_THRESHOLD","PLANNED_END")))</f>
        <v/>
      </c>
      <c r="P61" s="10">
        <f>IF(I61="","",IF(I61&gt;($D$2+0.05),"+5kg",IF(I61&gt;($D$2+0.02),"+2.5kg",IF(I61&gt;=($D$2-0.05),"保持",IF(I61&gt;=($D$2-0.08),"-2.5kg","-5kg")))))</f>
        <v/>
      </c>
      <c r="Q61" s="9" t="n"/>
      <c r="R61" s="12" t="n"/>
      <c r="S61" s="12" t="n"/>
      <c r="T61" s="12" t="n"/>
    </row>
    <row r="62">
      <c r="A62" s="12" t="n">
        <v>2</v>
      </c>
      <c r="B62" s="9" t="n"/>
      <c r="C62" s="9" t="n"/>
      <c r="D62" s="9" t="n"/>
      <c r="E62" s="9" t="n"/>
      <c r="F62" s="9" t="n"/>
      <c r="G62" s="9" t="n"/>
      <c r="H62" s="9" t="n"/>
      <c r="I62" s="10">
        <f>IFERROR(INDEX(C62:H62,MATCH(TRUE,INDEX(C62:H62&lt;&gt;"",0),0)),"")</f>
        <v/>
      </c>
      <c r="J62" s="10">
        <f>IFERROR(MIN(IF(C62:H62&lt;&gt;"",C62:H62)),"")</f>
        <v/>
      </c>
      <c r="K62" s="10">
        <f>IFERROR(MATCH(I62,C62:H62,0),"")</f>
        <v/>
      </c>
      <c r="L62" s="10">
        <f>IF(OR(I62="",J62=""),"",ROUND((I62-J62)/I62*100,1))</f>
        <v/>
      </c>
      <c r="M62" s="10">
        <f>IF(L62="","",IF(L62&gt;=10,"是","否"))</f>
        <v/>
      </c>
      <c r="N62" s="10">
        <f>IF(J62="","",IF(J62&lt;0.15,"是","否"))</f>
        <v/>
      </c>
      <c r="O62" s="10">
        <f>IF(I62="","",IF(J62&lt;0.15,"SAFETY_STOP",IF(L62&gt;=10,"VL_THRESHOLD","PLANNED_END")))</f>
        <v/>
      </c>
      <c r="P62" s="10">
        <f>IF(I62="","",IF(I62&gt;($D$2+0.05),"+5kg",IF(I62&gt;($D$2+0.02),"+2.5kg",IF(I62&gt;=($D$2-0.05),"保持",IF(I62&gt;=($D$2-0.08),"-2.5kg","-5kg")))))</f>
        <v/>
      </c>
      <c r="Q62" s="9" t="n"/>
      <c r="R62" s="12" t="n"/>
      <c r="S62" s="12" t="n"/>
      <c r="T62" s="12" t="n"/>
    </row>
    <row r="63">
      <c r="A63" s="12" t="n">
        <v>3</v>
      </c>
      <c r="B63" s="9" t="n"/>
      <c r="C63" s="9" t="n"/>
      <c r="D63" s="9" t="n"/>
      <c r="E63" s="9" t="n"/>
      <c r="F63" s="9" t="n"/>
      <c r="G63" s="9" t="n"/>
      <c r="H63" s="9" t="n"/>
      <c r="I63" s="10">
        <f>IFERROR(INDEX(C63:H63,MATCH(TRUE,INDEX(C63:H63&lt;&gt;"",0),0)),"")</f>
        <v/>
      </c>
      <c r="J63" s="10">
        <f>IFERROR(MIN(IF(C63:H63&lt;&gt;"",C63:H63)),"")</f>
        <v/>
      </c>
      <c r="K63" s="10">
        <f>IFERROR(MATCH(I63,C63:H63,0),"")</f>
        <v/>
      </c>
      <c r="L63" s="10">
        <f>IF(OR(I63="",J63=""),"",ROUND((I63-J63)/I63*100,1))</f>
        <v/>
      </c>
      <c r="M63" s="10">
        <f>IF(L63="","",IF(L63&gt;=10,"是","否"))</f>
        <v/>
      </c>
      <c r="N63" s="10">
        <f>IF(J63="","",IF(J63&lt;0.15,"是","否"))</f>
        <v/>
      </c>
      <c r="O63" s="10">
        <f>IF(I63="","",IF(J63&lt;0.15,"SAFETY_STOP",IF(L63&gt;=10,"VL_THRESHOLD","PLANNED_END")))</f>
        <v/>
      </c>
      <c r="P63" s="10">
        <f>IF(I63="","",IF(I63&gt;($D$2+0.05),"+5kg",IF(I63&gt;($D$2+0.02),"+2.5kg",IF(I63&gt;=($D$2-0.05),"保持",IF(I63&gt;=($D$2-0.08),"-2.5kg","-5kg")))))</f>
        <v/>
      </c>
      <c r="Q63" s="9" t="n"/>
      <c r="R63" s="12" t="n"/>
      <c r="S63" s="12" t="n"/>
      <c r="T63" s="12" t="n"/>
    </row>
    <row r="64">
      <c r="A64" s="12" t="n">
        <v>4</v>
      </c>
      <c r="B64" s="9" t="n"/>
      <c r="C64" s="9" t="n"/>
      <c r="D64" s="9" t="n"/>
      <c r="E64" s="9" t="n"/>
      <c r="F64" s="9" t="n"/>
      <c r="G64" s="9" t="n"/>
      <c r="H64" s="9" t="n"/>
      <c r="I64" s="10">
        <f>IFERROR(INDEX(C64:H64,MATCH(TRUE,INDEX(C64:H64&lt;&gt;"",0),0)),"")</f>
        <v/>
      </c>
      <c r="J64" s="10">
        <f>IFERROR(MIN(IF(C64:H64&lt;&gt;"",C64:H64)),"")</f>
        <v/>
      </c>
      <c r="K64" s="10">
        <f>IFERROR(MATCH(I64,C64:H64,0),"")</f>
        <v/>
      </c>
      <c r="L64" s="10">
        <f>IF(OR(I64="",J64=""),"",ROUND((I64-J64)/I64*100,1))</f>
        <v/>
      </c>
      <c r="M64" s="10">
        <f>IF(L64="","",IF(L64&gt;=10,"是","否"))</f>
        <v/>
      </c>
      <c r="N64" s="10">
        <f>IF(J64="","",IF(J64&lt;0.15,"是","否"))</f>
        <v/>
      </c>
      <c r="O64" s="10">
        <f>IF(I64="","",IF(J64&lt;0.15,"SAFETY_STOP",IF(L64&gt;=10,"VL_THRESHOLD","PLANNED_END")))</f>
        <v/>
      </c>
      <c r="P64" s="10">
        <f>IF(I64="","",IF(I64&gt;($D$2+0.05),"+5kg",IF(I64&gt;($D$2+0.02),"+2.5kg",IF(I64&gt;=($D$2-0.05),"保持",IF(I64&gt;=($D$2-0.08),"-2.5kg","-5kg")))))</f>
        <v/>
      </c>
      <c r="Q64" s="9" t="n"/>
      <c r="R64" s="12" t="n"/>
      <c r="S64" s="12" t="n"/>
      <c r="T64" s="12" t="n"/>
    </row>
    <row r="65">
      <c r="A65" s="12" t="n">
        <v>5</v>
      </c>
      <c r="B65" s="9" t="n"/>
      <c r="C65" s="9" t="n"/>
      <c r="D65" s="9" t="n"/>
      <c r="E65" s="9" t="n"/>
      <c r="F65" s="9" t="n"/>
      <c r="G65" s="9" t="n"/>
      <c r="H65" s="9" t="n"/>
      <c r="I65" s="10">
        <f>IFERROR(INDEX(C65:H65,MATCH(TRUE,INDEX(C65:H65&lt;&gt;"",0),0)),"")</f>
        <v/>
      </c>
      <c r="J65" s="10">
        <f>IFERROR(MIN(IF(C65:H65&lt;&gt;"",C65:H65)),"")</f>
        <v/>
      </c>
      <c r="K65" s="10">
        <f>IFERROR(MATCH(I65,C65:H65,0),"")</f>
        <v/>
      </c>
      <c r="L65" s="10">
        <f>IF(OR(I65="",J65=""),"",ROUND((I65-J65)/I65*100,1))</f>
        <v/>
      </c>
      <c r="M65" s="10">
        <f>IF(L65="","",IF(L65&gt;=10,"是","否"))</f>
        <v/>
      </c>
      <c r="N65" s="10">
        <f>IF(J65="","",IF(J65&lt;0.15,"是","否"))</f>
        <v/>
      </c>
      <c r="O65" s="10">
        <f>IF(I65="","",IF(J65&lt;0.15,"SAFETY_STOP",IF(L65&gt;=10,"VL_THRESHOLD","PLANNED_END")))</f>
        <v/>
      </c>
      <c r="P65" s="10">
        <f>IF(I65="","",IF(I65&gt;($D$2+0.05),"+5kg",IF(I65&gt;($D$2+0.02),"+2.5kg",IF(I65&gt;=($D$2-0.05),"保持",IF(I65&gt;=($D$2-0.08),"-2.5kg","-5kg")))))</f>
        <v/>
      </c>
      <c r="Q65" s="9" t="n"/>
      <c r="R65" s="12" t="n"/>
      <c r="S65" s="12" t="n"/>
      <c r="T65" s="12" t="n"/>
    </row>
    <row r="66">
      <c r="A66" s="12" t="n">
        <v>6</v>
      </c>
      <c r="B66" s="9" t="n"/>
      <c r="C66" s="9" t="n"/>
      <c r="D66" s="9" t="n"/>
      <c r="E66" s="9" t="n"/>
      <c r="F66" s="9" t="n"/>
      <c r="G66" s="9" t="n"/>
      <c r="H66" s="9" t="n"/>
      <c r="I66" s="10">
        <f>IFERROR(INDEX(C66:H66,MATCH(TRUE,INDEX(C66:H66&lt;&gt;"",0),0)),"")</f>
        <v/>
      </c>
      <c r="J66" s="10">
        <f>IFERROR(MIN(IF(C66:H66&lt;&gt;"",C66:H66)),"")</f>
        <v/>
      </c>
      <c r="K66" s="10">
        <f>IFERROR(MATCH(I66,C66:H66,0),"")</f>
        <v/>
      </c>
      <c r="L66" s="10">
        <f>IF(OR(I66="",J66=""),"",ROUND((I66-J66)/I66*100,1))</f>
        <v/>
      </c>
      <c r="M66" s="10">
        <f>IF(L66="","",IF(L66&gt;=10,"是","否"))</f>
        <v/>
      </c>
      <c r="N66" s="10">
        <f>IF(J66="","",IF(J66&lt;0.15,"是","否"))</f>
        <v/>
      </c>
      <c r="O66" s="10">
        <f>IF(I66="","",IF(J66&lt;0.15,"SAFETY_STOP",IF(L66&gt;=10,"VL_THRESHOLD","PLANNED_END")))</f>
        <v/>
      </c>
      <c r="P66" s="10">
        <f>IF(I66="","",IF(I66&gt;($D$2+0.05),"+5kg",IF(I66&gt;($D$2+0.02),"+2.5kg",IF(I66&gt;=($D$2-0.05),"保持",IF(I66&gt;=($D$2-0.08),"-2.5kg","-5kg")))))</f>
        <v/>
      </c>
      <c r="Q66" s="9" t="n"/>
      <c r="R66" s="12" t="n"/>
      <c r="S66" s="12" t="n"/>
      <c r="T66" s="12" t="n"/>
    </row>
    <row r="67">
      <c r="A67" s="8" t="inlineStr">
        <is>
          <t>辅助动作</t>
        </is>
      </c>
      <c r="B67" s="8" t="inlineStr">
        <is>
          <t>动作名称</t>
        </is>
      </c>
      <c r="C67" s="8" t="inlineStr">
        <is>
          <t>负荷kg</t>
        </is>
      </c>
      <c r="D67" s="8" t="inlineStr">
        <is>
          <t>完成(组×次)</t>
        </is>
      </c>
    </row>
    <row r="68">
      <c r="A68" s="9" t="inlineStr"/>
      <c r="B68" s="9" t="n"/>
      <c r="C68" s="9" t="n"/>
      <c r="D68" s="9" t="n"/>
    </row>
    <row r="69">
      <c r="A69" s="8" t="inlineStr">
        <is>
          <t>训练后</t>
        </is>
      </c>
      <c r="B69" s="8" t="inlineStr">
        <is>
          <t>开始时间</t>
        </is>
      </c>
      <c r="C69" s="8" t="inlineStr">
        <is>
          <t>结束时间</t>
        </is>
      </c>
      <c r="D69" s="8" t="inlineStr">
        <is>
          <t>总时长min</t>
        </is>
      </c>
      <c r="E69" s="8" t="inlineStr">
        <is>
          <t>sRPE</t>
        </is>
      </c>
      <c r="F69" s="8" t="inlineStr">
        <is>
          <t>session_load</t>
        </is>
      </c>
      <c r="G69" s="8" t="inlineStr">
        <is>
          <t>有无不适</t>
        </is>
      </c>
      <c r="H69" s="8" t="inlineStr">
        <is>
          <t>备注</t>
        </is>
      </c>
      <c r="I69" s="8" t="inlineStr">
        <is>
          <t>研究员签名</t>
        </is>
      </c>
    </row>
    <row r="70">
      <c r="A70" s="13" t="inlineStr"/>
      <c r="B70" s="13" t="n"/>
      <c r="C70" s="13" t="n"/>
      <c r="D70" s="10">
        <f>IF(OR(B70="",C70=""),"",(C70-B70)*1440)</f>
        <v/>
      </c>
      <c r="E70" s="13" t="n"/>
      <c r="F70" s="10">
        <f>IF(OR(D70="",E70=""),"",D70*E70)</f>
        <v/>
      </c>
      <c r="G70" s="13" t="n"/>
      <c r="H70" s="13" t="n"/>
      <c r="I70" s="13" t="n"/>
    </row>
    <row r="72">
      <c r="A72" s="5" t="inlineStr">
        <is>
          <t>── P015 陈先栋 ──────────────────────────────────────────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7" t="n"/>
    </row>
    <row r="73">
      <c r="A73" s="8" t="inlineStr">
        <is>
          <t>编号</t>
        </is>
      </c>
      <c r="B73" s="8" t="inlineStr">
        <is>
          <t>姓名</t>
        </is>
      </c>
      <c r="C73" s="8" t="inlineStr">
        <is>
          <t>身高</t>
        </is>
      </c>
      <c r="D73" s="8" t="inlineStr">
        <is>
          <t>1RM</t>
        </is>
      </c>
      <c r="E73" s="8" t="inlineStr">
        <is>
          <t>睡眠</t>
        </is>
      </c>
      <c r="F73" s="8" t="inlineStr">
        <is>
          <t>压力</t>
        </is>
      </c>
      <c r="G73" s="8" t="inlineStr">
        <is>
          <t>疲劳</t>
        </is>
      </c>
      <c r="H73" s="8" t="inlineStr">
        <is>
          <t>酸痛</t>
        </is>
      </c>
      <c r="I73" s="8" t="inlineStr">
        <is>
          <t>Hooper总</t>
        </is>
      </c>
      <c r="J73" s="8" t="inlineStr">
        <is>
          <t>CMJ1</t>
        </is>
      </c>
      <c r="K73" s="8" t="inlineStr">
        <is>
          <t>CMJ2</t>
        </is>
      </c>
      <c r="L73" s="8" t="inlineStr">
        <is>
          <t>CMJ3</t>
        </is>
      </c>
      <c r="M73" s="8" t="inlineStr">
        <is>
          <t>CMJ均值</t>
        </is>
      </c>
      <c r="N73" s="8" t="inlineStr">
        <is>
          <t>&lt;95%?</t>
        </is>
      </c>
      <c r="O73" s="8" t="inlineStr">
        <is>
          <t>减组?</t>
        </is>
      </c>
      <c r="P73" s="8" t="inlineStr">
        <is>
          <t>实做组数</t>
        </is>
      </c>
      <c r="Q73" s="8" t="inlineStr">
        <is>
          <t>LVP_a</t>
        </is>
      </c>
      <c r="R73" s="8" t="inlineStr">
        <is>
          <t>LVP_b</t>
        </is>
      </c>
      <c r="S73" s="8" t="inlineStr">
        <is>
          <t>等级</t>
        </is>
      </c>
      <c r="T73" s="8" t="inlineStr">
        <is>
          <t>预测起始</t>
        </is>
      </c>
    </row>
    <row r="74">
      <c r="A74" s="9" t="inlineStr">
        <is>
          <t>P015</t>
        </is>
      </c>
      <c r="B74" s="9" t="inlineStr">
        <is>
          <t>陈先栋</t>
        </is>
      </c>
      <c r="C74" s="9" t="n">
        <v>175</v>
      </c>
      <c r="D74" s="9" t="n">
        <v>135</v>
      </c>
      <c r="E74" s="9" t="n"/>
      <c r="F74" s="9" t="n"/>
      <c r="G74" s="9" t="n"/>
      <c r="H74" s="9" t="n"/>
      <c r="I74" s="10">
        <f>IFERROR(SUM(E74:H74),"")</f>
        <v/>
      </c>
      <c r="J74" s="9" t="n"/>
      <c r="K74" s="9" t="n"/>
      <c r="L74" s="9" t="n"/>
      <c r="M74" s="10">
        <f>IFERROR(AVERAGE(J74:L74),"")</f>
        <v/>
      </c>
      <c r="N74" s="10">
        <f>IF(M74="","",IF(M74&lt;54.25,"是⚠","否"))</f>
        <v/>
      </c>
      <c r="O74" s="10">
        <f>IF(M74="","",IF(M74&lt;54.25,"减1组","正常"))</f>
        <v/>
      </c>
      <c r="P74" s="10">
        <f>IF(M74="","",IF(M74&lt;54.25,3-1,3))</f>
        <v/>
      </c>
      <c r="Q74" s="9" t="n">
        <v>1.77</v>
      </c>
      <c r="R74" s="9" t="n">
        <v>-0.01025</v>
      </c>
      <c r="S74" s="9" t="inlineStr">
        <is>
          <t>C</t>
        </is>
      </c>
      <c r="T74" s="10">
        <f>IFERROR(ROUND((0.75-1.77)/-0.01025,0.5),"")</f>
        <v/>
      </c>
    </row>
    <row r="75">
      <c r="A75" s="8" t="inlineStr">
        <is>
          <t>热身校准</t>
        </is>
      </c>
      <c r="B75" s="8" t="inlineStr">
        <is>
          <t>LVP_a</t>
        </is>
      </c>
      <c r="C75" s="8" t="inlineStr">
        <is>
          <t>LVP_b</t>
        </is>
      </c>
      <c r="D75" s="8" t="inlineStr">
        <is>
          <t>50%热身kg</t>
        </is>
      </c>
      <c r="E75" s="8" t="inlineStr">
        <is>
          <t>70%热身kg</t>
        </is>
      </c>
      <c r="F75" s="8" t="inlineStr">
        <is>
          <t>热身负荷kg</t>
        </is>
      </c>
      <c r="G75" s="8" t="inlineStr">
        <is>
          <t>实测MCV</t>
        </is>
      </c>
      <c r="H75" s="8" t="inlineStr">
        <is>
          <t>预测MCV</t>
        </is>
      </c>
      <c r="I75" s="8" t="inlineStr">
        <is>
          <t>Δv</t>
        </is>
      </c>
      <c r="J75" s="8" t="inlineStr">
        <is>
          <t>调整量kg</t>
        </is>
      </c>
      <c r="K75" s="8" t="inlineStr">
        <is>
          <t>校准后第1组kg</t>
        </is>
      </c>
    </row>
    <row r="76">
      <c r="A76" s="11" t="inlineStr"/>
      <c r="B76" s="11" t="n">
        <v>1.77</v>
      </c>
      <c r="C76" s="11" t="n">
        <v>-0.01025</v>
      </c>
      <c r="D76" s="10">
        <f>IFERROR(ROUND(T74*0.5,2.5),"")</f>
        <v/>
      </c>
      <c r="E76" s="10">
        <f>IFERROR(ROUND(T74*0.7,2.5),"")</f>
        <v/>
      </c>
      <c r="F76" s="10">
        <f>D76</f>
        <v/>
      </c>
      <c r="G76" s="9" t="n"/>
      <c r="H76" s="10">
        <f>IF(F76="","",B76+C76*F76)</f>
        <v/>
      </c>
      <c r="I76" s="10">
        <f>IF(OR(G76="",H76=""),"",G76-H76)</f>
        <v/>
      </c>
      <c r="J76" s="10">
        <f>IF(I76="","",IF(I76&gt;0.08,5,IF(I76&gt;0.04,2.5,IF(I76&gt;=-0.04,0,IF(I76&gt;=-0.08,-2.5,-5)))))</f>
        <v/>
      </c>
      <c r="K76" s="10">
        <f>IFERROR(ROUND(T74+J76,2.5),"")</f>
        <v/>
      </c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</row>
    <row r="77">
      <c r="A77" s="8" t="inlineStr">
        <is>
          <t>组次</t>
        </is>
      </c>
      <c r="B77" s="8" t="inlineStr">
        <is>
          <t>负荷kg</t>
        </is>
      </c>
      <c r="C77" s="8" t="inlineStr">
        <is>
          <t>rep1</t>
        </is>
      </c>
      <c r="D77" s="8" t="inlineStr">
        <is>
          <t>rep2</t>
        </is>
      </c>
      <c r="E77" s="8" t="inlineStr">
        <is>
          <t>rep3</t>
        </is>
      </c>
      <c r="F77" s="8" t="inlineStr">
        <is>
          <t>rep4</t>
        </is>
      </c>
      <c r="G77" s="8" t="inlineStr">
        <is>
          <t>rep5</t>
        </is>
      </c>
      <c r="H77" s="8" t="inlineStr">
        <is>
          <t>rep6</t>
        </is>
      </c>
      <c r="I77" s="8" t="inlineStr">
        <is>
          <t>首rep</t>
        </is>
      </c>
      <c r="J77" s="8" t="inlineStr">
        <is>
          <t>最低速</t>
        </is>
      </c>
      <c r="K77" s="8" t="inlineStr">
        <is>
          <t>最低rep#</t>
        </is>
      </c>
      <c r="L77" s="8" t="inlineStr">
        <is>
          <t>VL%</t>
        </is>
      </c>
      <c r="M77" s="8" t="inlineStr">
        <is>
          <t>VL达标?</t>
        </is>
      </c>
      <c r="N77" s="8" t="inlineStr">
        <is>
          <t>安全停止?</t>
        </is>
      </c>
      <c r="O77" s="8" t="inlineStr">
        <is>
          <t>停组原因</t>
        </is>
      </c>
      <c r="P77" s="8" t="inlineStr">
        <is>
          <t>下组建议</t>
        </is>
      </c>
      <c r="Q77" s="8" t="inlineStr">
        <is>
          <t>实做次数</t>
        </is>
      </c>
    </row>
    <row r="78">
      <c r="A78" s="12" t="n">
        <v>1</v>
      </c>
      <c r="B78" s="10">
        <f>IF(K76="","",K76)</f>
        <v/>
      </c>
      <c r="C78" s="9" t="n"/>
      <c r="D78" s="9" t="n"/>
      <c r="E78" s="9" t="n"/>
      <c r="F78" s="9" t="n"/>
      <c r="G78" s="9" t="n"/>
      <c r="H78" s="9" t="n"/>
      <c r="I78" s="10">
        <f>IFERROR(INDEX(C78:H78,MATCH(TRUE,INDEX(C78:H78&lt;&gt;"",0),0)),"")</f>
        <v/>
      </c>
      <c r="J78" s="10">
        <f>IFERROR(MIN(IF(C78:H78&lt;&gt;"",C78:H78)),"")</f>
        <v/>
      </c>
      <c r="K78" s="10">
        <f>IFERROR(MATCH(I78,C78:H78,0),"")</f>
        <v/>
      </c>
      <c r="L78" s="10">
        <f>IF(OR(I78="",J78=""),"",ROUND((I78-J78)/I78*100,1))</f>
        <v/>
      </c>
      <c r="M78" s="10">
        <f>IF(L78="","",IF(L78&gt;=10,"是","否"))</f>
        <v/>
      </c>
      <c r="N78" s="10">
        <f>IF(J78="","",IF(J78&lt;0.15,"是","否"))</f>
        <v/>
      </c>
      <c r="O78" s="10">
        <f>IF(I78="","",IF(J78&lt;0.15,"SAFETY_STOP",IF(L78&gt;=10,"VL_THRESHOLD","PLANNED_END")))</f>
        <v/>
      </c>
      <c r="P78" s="10">
        <f>IF(I78="","",IF(I78&gt;($D$2+0.05),"+5kg",IF(I78&gt;($D$2+0.02),"+2.5kg",IF(I78&gt;=($D$2-0.05),"保持",IF(I78&gt;=($D$2-0.08),"-2.5kg","-5kg")))))</f>
        <v/>
      </c>
      <c r="Q78" s="9" t="n"/>
      <c r="R78" s="12" t="n"/>
      <c r="S78" s="12" t="n"/>
      <c r="T78" s="12" t="n"/>
    </row>
    <row r="79">
      <c r="A79" s="12" t="n">
        <v>2</v>
      </c>
      <c r="B79" s="9" t="n"/>
      <c r="C79" s="9" t="n"/>
      <c r="D79" s="9" t="n"/>
      <c r="E79" s="9" t="n"/>
      <c r="F79" s="9" t="n"/>
      <c r="G79" s="9" t="n"/>
      <c r="H79" s="9" t="n"/>
      <c r="I79" s="10">
        <f>IFERROR(INDEX(C79:H79,MATCH(TRUE,INDEX(C79:H79&lt;&gt;"",0),0)),"")</f>
        <v/>
      </c>
      <c r="J79" s="10">
        <f>IFERROR(MIN(IF(C79:H79&lt;&gt;"",C79:H79)),"")</f>
        <v/>
      </c>
      <c r="K79" s="10">
        <f>IFERROR(MATCH(I79,C79:H79,0),"")</f>
        <v/>
      </c>
      <c r="L79" s="10">
        <f>IF(OR(I79="",J79=""),"",ROUND((I79-J79)/I79*100,1))</f>
        <v/>
      </c>
      <c r="M79" s="10">
        <f>IF(L79="","",IF(L79&gt;=10,"是","否"))</f>
        <v/>
      </c>
      <c r="N79" s="10">
        <f>IF(J79="","",IF(J79&lt;0.15,"是","否"))</f>
        <v/>
      </c>
      <c r="O79" s="10">
        <f>IF(I79="","",IF(J79&lt;0.15,"SAFETY_STOP",IF(L79&gt;=10,"VL_THRESHOLD","PLANNED_END")))</f>
        <v/>
      </c>
      <c r="P79" s="10">
        <f>IF(I79="","",IF(I79&gt;($D$2+0.05),"+5kg",IF(I79&gt;($D$2+0.02),"+2.5kg",IF(I79&gt;=($D$2-0.05),"保持",IF(I79&gt;=($D$2-0.08),"-2.5kg","-5kg")))))</f>
        <v/>
      </c>
      <c r="Q79" s="9" t="n"/>
      <c r="R79" s="12" t="n"/>
      <c r="S79" s="12" t="n"/>
      <c r="T79" s="12" t="n"/>
    </row>
    <row r="80">
      <c r="A80" s="12" t="n">
        <v>3</v>
      </c>
      <c r="B80" s="9" t="n"/>
      <c r="C80" s="9" t="n"/>
      <c r="D80" s="9" t="n"/>
      <c r="E80" s="9" t="n"/>
      <c r="F80" s="9" t="n"/>
      <c r="G80" s="9" t="n"/>
      <c r="H80" s="9" t="n"/>
      <c r="I80" s="10">
        <f>IFERROR(INDEX(C80:H80,MATCH(TRUE,INDEX(C80:H80&lt;&gt;"",0),0)),"")</f>
        <v/>
      </c>
      <c r="J80" s="10">
        <f>IFERROR(MIN(IF(C80:H80&lt;&gt;"",C80:H80)),"")</f>
        <v/>
      </c>
      <c r="K80" s="10">
        <f>IFERROR(MATCH(I80,C80:H80,0),"")</f>
        <v/>
      </c>
      <c r="L80" s="10">
        <f>IF(OR(I80="",J80=""),"",ROUND((I80-J80)/I80*100,1))</f>
        <v/>
      </c>
      <c r="M80" s="10">
        <f>IF(L80="","",IF(L80&gt;=10,"是","否"))</f>
        <v/>
      </c>
      <c r="N80" s="10">
        <f>IF(J80="","",IF(J80&lt;0.15,"是","否"))</f>
        <v/>
      </c>
      <c r="O80" s="10">
        <f>IF(I80="","",IF(J80&lt;0.15,"SAFETY_STOP",IF(L80&gt;=10,"VL_THRESHOLD","PLANNED_END")))</f>
        <v/>
      </c>
      <c r="P80" s="10">
        <f>IF(I80="","",IF(I80&gt;($D$2+0.05),"+5kg",IF(I80&gt;($D$2+0.02),"+2.5kg",IF(I80&gt;=($D$2-0.05),"保持",IF(I80&gt;=($D$2-0.08),"-2.5kg","-5kg")))))</f>
        <v/>
      </c>
      <c r="Q80" s="9" t="n"/>
      <c r="R80" s="12" t="n"/>
      <c r="S80" s="12" t="n"/>
      <c r="T80" s="12" t="n"/>
    </row>
    <row r="81">
      <c r="A81" s="12" t="n">
        <v>4</v>
      </c>
      <c r="B81" s="9" t="n"/>
      <c r="C81" s="9" t="n"/>
      <c r="D81" s="9" t="n"/>
      <c r="E81" s="9" t="n"/>
      <c r="F81" s="9" t="n"/>
      <c r="G81" s="9" t="n"/>
      <c r="H81" s="9" t="n"/>
      <c r="I81" s="10">
        <f>IFERROR(INDEX(C81:H81,MATCH(TRUE,INDEX(C81:H81&lt;&gt;"",0),0)),"")</f>
        <v/>
      </c>
      <c r="J81" s="10">
        <f>IFERROR(MIN(IF(C81:H81&lt;&gt;"",C81:H81)),"")</f>
        <v/>
      </c>
      <c r="K81" s="10">
        <f>IFERROR(MATCH(I81,C81:H81,0),"")</f>
        <v/>
      </c>
      <c r="L81" s="10">
        <f>IF(OR(I81="",J81=""),"",ROUND((I81-J81)/I81*100,1))</f>
        <v/>
      </c>
      <c r="M81" s="10">
        <f>IF(L81="","",IF(L81&gt;=10,"是","否"))</f>
        <v/>
      </c>
      <c r="N81" s="10">
        <f>IF(J81="","",IF(J81&lt;0.15,"是","否"))</f>
        <v/>
      </c>
      <c r="O81" s="10">
        <f>IF(I81="","",IF(J81&lt;0.15,"SAFETY_STOP",IF(L81&gt;=10,"VL_THRESHOLD","PLANNED_END")))</f>
        <v/>
      </c>
      <c r="P81" s="10">
        <f>IF(I81="","",IF(I81&gt;($D$2+0.05),"+5kg",IF(I81&gt;($D$2+0.02),"+2.5kg",IF(I81&gt;=($D$2-0.05),"保持",IF(I81&gt;=($D$2-0.08),"-2.5kg","-5kg")))))</f>
        <v/>
      </c>
      <c r="Q81" s="9" t="n"/>
      <c r="R81" s="12" t="n"/>
      <c r="S81" s="12" t="n"/>
      <c r="T81" s="12" t="n"/>
    </row>
    <row r="82">
      <c r="A82" s="12" t="n">
        <v>5</v>
      </c>
      <c r="B82" s="9" t="n"/>
      <c r="C82" s="9" t="n"/>
      <c r="D82" s="9" t="n"/>
      <c r="E82" s="9" t="n"/>
      <c r="F82" s="9" t="n"/>
      <c r="G82" s="9" t="n"/>
      <c r="H82" s="9" t="n"/>
      <c r="I82" s="10">
        <f>IFERROR(INDEX(C82:H82,MATCH(TRUE,INDEX(C82:H82&lt;&gt;"",0),0)),"")</f>
        <v/>
      </c>
      <c r="J82" s="10">
        <f>IFERROR(MIN(IF(C82:H82&lt;&gt;"",C82:H82)),"")</f>
        <v/>
      </c>
      <c r="K82" s="10">
        <f>IFERROR(MATCH(I82,C82:H82,0),"")</f>
        <v/>
      </c>
      <c r="L82" s="10">
        <f>IF(OR(I82="",J82=""),"",ROUND((I82-J82)/I82*100,1))</f>
        <v/>
      </c>
      <c r="M82" s="10">
        <f>IF(L82="","",IF(L82&gt;=10,"是","否"))</f>
        <v/>
      </c>
      <c r="N82" s="10">
        <f>IF(J82="","",IF(J82&lt;0.15,"是","否"))</f>
        <v/>
      </c>
      <c r="O82" s="10">
        <f>IF(I82="","",IF(J82&lt;0.15,"SAFETY_STOP",IF(L82&gt;=10,"VL_THRESHOLD","PLANNED_END")))</f>
        <v/>
      </c>
      <c r="P82" s="10">
        <f>IF(I82="","",IF(I82&gt;($D$2+0.05),"+5kg",IF(I82&gt;($D$2+0.02),"+2.5kg",IF(I82&gt;=($D$2-0.05),"保持",IF(I82&gt;=($D$2-0.08),"-2.5kg","-5kg")))))</f>
        <v/>
      </c>
      <c r="Q82" s="9" t="n"/>
      <c r="R82" s="12" t="n"/>
      <c r="S82" s="12" t="n"/>
      <c r="T82" s="12" t="n"/>
    </row>
    <row r="83">
      <c r="A83" s="12" t="n">
        <v>6</v>
      </c>
      <c r="B83" s="9" t="n"/>
      <c r="C83" s="9" t="n"/>
      <c r="D83" s="9" t="n"/>
      <c r="E83" s="9" t="n"/>
      <c r="F83" s="9" t="n"/>
      <c r="G83" s="9" t="n"/>
      <c r="H83" s="9" t="n"/>
      <c r="I83" s="10">
        <f>IFERROR(INDEX(C83:H83,MATCH(TRUE,INDEX(C83:H83&lt;&gt;"",0),0)),"")</f>
        <v/>
      </c>
      <c r="J83" s="10">
        <f>IFERROR(MIN(IF(C83:H83&lt;&gt;"",C83:H83)),"")</f>
        <v/>
      </c>
      <c r="K83" s="10">
        <f>IFERROR(MATCH(I83,C83:H83,0),"")</f>
        <v/>
      </c>
      <c r="L83" s="10">
        <f>IF(OR(I83="",J83=""),"",ROUND((I83-J83)/I83*100,1))</f>
        <v/>
      </c>
      <c r="M83" s="10">
        <f>IF(L83="","",IF(L83&gt;=10,"是","否"))</f>
        <v/>
      </c>
      <c r="N83" s="10">
        <f>IF(J83="","",IF(J83&lt;0.15,"是","否"))</f>
        <v/>
      </c>
      <c r="O83" s="10">
        <f>IF(I83="","",IF(J83&lt;0.15,"SAFETY_STOP",IF(L83&gt;=10,"VL_THRESHOLD","PLANNED_END")))</f>
        <v/>
      </c>
      <c r="P83" s="10">
        <f>IF(I83="","",IF(I83&gt;($D$2+0.05),"+5kg",IF(I83&gt;($D$2+0.02),"+2.5kg",IF(I83&gt;=($D$2-0.05),"保持",IF(I83&gt;=($D$2-0.08),"-2.5kg","-5kg")))))</f>
        <v/>
      </c>
      <c r="Q83" s="9" t="n"/>
      <c r="R83" s="12" t="n"/>
      <c r="S83" s="12" t="n"/>
      <c r="T83" s="12" t="n"/>
    </row>
    <row r="84">
      <c r="A84" s="8" t="inlineStr">
        <is>
          <t>辅助动作</t>
        </is>
      </c>
      <c r="B84" s="8" t="inlineStr">
        <is>
          <t>动作名称</t>
        </is>
      </c>
      <c r="C84" s="8" t="inlineStr">
        <is>
          <t>负荷kg</t>
        </is>
      </c>
      <c r="D84" s="8" t="inlineStr">
        <is>
          <t>完成(组×次)</t>
        </is>
      </c>
    </row>
    <row r="85">
      <c r="A85" s="9" t="inlineStr"/>
      <c r="B85" s="9" t="n"/>
      <c r="C85" s="9" t="n"/>
      <c r="D85" s="9" t="n"/>
    </row>
    <row r="86">
      <c r="A86" s="8" t="inlineStr">
        <is>
          <t>训练后</t>
        </is>
      </c>
      <c r="B86" s="8" t="inlineStr">
        <is>
          <t>开始时间</t>
        </is>
      </c>
      <c r="C86" s="8" t="inlineStr">
        <is>
          <t>结束时间</t>
        </is>
      </c>
      <c r="D86" s="8" t="inlineStr">
        <is>
          <t>总时长min</t>
        </is>
      </c>
      <c r="E86" s="8" t="inlineStr">
        <is>
          <t>sRPE</t>
        </is>
      </c>
      <c r="F86" s="8" t="inlineStr">
        <is>
          <t>session_load</t>
        </is>
      </c>
      <c r="G86" s="8" t="inlineStr">
        <is>
          <t>有无不适</t>
        </is>
      </c>
      <c r="H86" s="8" t="inlineStr">
        <is>
          <t>备注</t>
        </is>
      </c>
      <c r="I86" s="8" t="inlineStr">
        <is>
          <t>研究员签名</t>
        </is>
      </c>
    </row>
    <row r="87">
      <c r="A87" s="13" t="inlineStr"/>
      <c r="B87" s="13" t="n"/>
      <c r="C87" s="13" t="n"/>
      <c r="D87" s="10">
        <f>IF(OR(B87="",C87=""),"",(C87-B87)*1440)</f>
        <v/>
      </c>
      <c r="E87" s="13" t="n"/>
      <c r="F87" s="10">
        <f>IF(OR(D87="",E87=""),"",D87*E87)</f>
        <v/>
      </c>
      <c r="G87" s="13" t="n"/>
      <c r="H87" s="13" t="n"/>
      <c r="I87" s="13" t="n"/>
    </row>
    <row r="89">
      <c r="A89" s="5" t="inlineStr">
        <is>
          <t>── P011 朱怀远 ──────────────────────────────────────────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" t="n"/>
    </row>
    <row r="90">
      <c r="A90" s="8" t="inlineStr">
        <is>
          <t>编号</t>
        </is>
      </c>
      <c r="B90" s="8" t="inlineStr">
        <is>
          <t>姓名</t>
        </is>
      </c>
      <c r="C90" s="8" t="inlineStr">
        <is>
          <t>身高</t>
        </is>
      </c>
      <c r="D90" s="8" t="inlineStr">
        <is>
          <t>1RM</t>
        </is>
      </c>
      <c r="E90" s="8" t="inlineStr">
        <is>
          <t>睡眠</t>
        </is>
      </c>
      <c r="F90" s="8" t="inlineStr">
        <is>
          <t>压力</t>
        </is>
      </c>
      <c r="G90" s="8" t="inlineStr">
        <is>
          <t>疲劳</t>
        </is>
      </c>
      <c r="H90" s="8" t="inlineStr">
        <is>
          <t>酸痛</t>
        </is>
      </c>
      <c r="I90" s="8" t="inlineStr">
        <is>
          <t>Hooper总</t>
        </is>
      </c>
      <c r="J90" s="8" t="inlineStr">
        <is>
          <t>CMJ1</t>
        </is>
      </c>
      <c r="K90" s="8" t="inlineStr">
        <is>
          <t>CMJ2</t>
        </is>
      </c>
      <c r="L90" s="8" t="inlineStr">
        <is>
          <t>CMJ3</t>
        </is>
      </c>
      <c r="M90" s="8" t="inlineStr">
        <is>
          <t>CMJ均值</t>
        </is>
      </c>
      <c r="N90" s="8" t="inlineStr">
        <is>
          <t>&lt;95%?</t>
        </is>
      </c>
      <c r="O90" s="8" t="inlineStr">
        <is>
          <t>减组?</t>
        </is>
      </c>
      <c r="P90" s="8" t="inlineStr">
        <is>
          <t>实做组数</t>
        </is>
      </c>
      <c r="Q90" s="8" t="inlineStr">
        <is>
          <t>LVP_a</t>
        </is>
      </c>
      <c r="R90" s="8" t="inlineStr">
        <is>
          <t>LVP_b</t>
        </is>
      </c>
      <c r="S90" s="8" t="inlineStr">
        <is>
          <t>等级</t>
        </is>
      </c>
      <c r="T90" s="8" t="inlineStr">
        <is>
          <t>预测起始</t>
        </is>
      </c>
    </row>
    <row r="91">
      <c r="A91" s="9" t="inlineStr">
        <is>
          <t>P011</t>
        </is>
      </c>
      <c r="B91" s="9" t="inlineStr">
        <is>
          <t>朱怀远</t>
        </is>
      </c>
      <c r="C91" s="9" t="n">
        <v>165</v>
      </c>
      <c r="D91" s="9" t="n">
        <v>125</v>
      </c>
      <c r="E91" s="9" t="n"/>
      <c r="F91" s="9" t="n"/>
      <c r="G91" s="9" t="n"/>
      <c r="H91" s="9" t="n"/>
      <c r="I91" s="10">
        <f>IFERROR(SUM(E91:H91),"")</f>
        <v/>
      </c>
      <c r="J91" s="9" t="n"/>
      <c r="K91" s="9" t="n"/>
      <c r="L91" s="9" t="n"/>
      <c r="M91" s="10">
        <f>IFERROR(AVERAGE(J91:L91),"")</f>
        <v/>
      </c>
      <c r="N91" s="10">
        <f>IF(M91="","",IF(M91&lt;64.98,"是⚠","否"))</f>
        <v/>
      </c>
      <c r="O91" s="10">
        <f>IF(M91="","",IF(M91&lt;64.98,"减1组","正常"))</f>
        <v/>
      </c>
      <c r="P91" s="10">
        <f>IF(M91="","",IF(M91&lt;64.98,3-1,3))</f>
        <v/>
      </c>
      <c r="Q91" s="9" t="n">
        <v>1.2583</v>
      </c>
      <c r="R91" s="9" t="n">
        <v>-0.006125</v>
      </c>
      <c r="S91" s="9" t="inlineStr">
        <is>
          <t>D</t>
        </is>
      </c>
      <c r="T91" s="10">
        <f>IFERROR(ROUND((0.75-1.2583)/-0.006125,0.5),"")</f>
        <v/>
      </c>
    </row>
    <row r="92">
      <c r="A92" s="8" t="inlineStr">
        <is>
          <t>热身校准</t>
        </is>
      </c>
      <c r="B92" s="8" t="inlineStr">
        <is>
          <t>LVP_a</t>
        </is>
      </c>
      <c r="C92" s="8" t="inlineStr">
        <is>
          <t>LVP_b</t>
        </is>
      </c>
      <c r="D92" s="8" t="inlineStr">
        <is>
          <t>50%热身kg</t>
        </is>
      </c>
      <c r="E92" s="8" t="inlineStr">
        <is>
          <t>70%热身kg</t>
        </is>
      </c>
      <c r="F92" s="8" t="inlineStr">
        <is>
          <t>热身负荷kg</t>
        </is>
      </c>
      <c r="G92" s="8" t="inlineStr">
        <is>
          <t>实测MCV</t>
        </is>
      </c>
      <c r="H92" s="8" t="inlineStr">
        <is>
          <t>预测MCV</t>
        </is>
      </c>
      <c r="I92" s="8" t="inlineStr">
        <is>
          <t>Δv</t>
        </is>
      </c>
      <c r="J92" s="8" t="inlineStr">
        <is>
          <t>调整量kg</t>
        </is>
      </c>
      <c r="K92" s="8" t="inlineStr">
        <is>
          <t>校准后第1组kg</t>
        </is>
      </c>
    </row>
    <row r="93">
      <c r="A93" s="11" t="inlineStr"/>
      <c r="B93" s="11" t="n">
        <v>1.2583</v>
      </c>
      <c r="C93" s="11" t="n">
        <v>-0.006125</v>
      </c>
      <c r="D93" s="10">
        <f>IFERROR(ROUND(T91*0.5,2.5),"")</f>
        <v/>
      </c>
      <c r="E93" s="10">
        <f>IFERROR(ROUND(T91*0.7,2.5),"")</f>
        <v/>
      </c>
      <c r="F93" s="10">
        <f>D93</f>
        <v/>
      </c>
      <c r="G93" s="9" t="n"/>
      <c r="H93" s="10">
        <f>IF(F93="","",B93+C93*F93)</f>
        <v/>
      </c>
      <c r="I93" s="10">
        <f>IF(OR(G93="",H93=""),"",G93-H93)</f>
        <v/>
      </c>
      <c r="J93" s="10">
        <f>IF(I93="","",IF(I93&gt;0.08,5,IF(I93&gt;0.04,2.5,IF(I93&gt;=-0.04,0,IF(I93&gt;=-0.08,-2.5,-5)))))</f>
        <v/>
      </c>
      <c r="K93" s="10">
        <f>IFERROR(ROUND(T91+J93,2.5),"")</f>
        <v/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</row>
    <row r="94">
      <c r="A94" s="8" t="inlineStr">
        <is>
          <t>组次</t>
        </is>
      </c>
      <c r="B94" s="8" t="inlineStr">
        <is>
          <t>负荷kg</t>
        </is>
      </c>
      <c r="C94" s="8" t="inlineStr">
        <is>
          <t>rep1</t>
        </is>
      </c>
      <c r="D94" s="8" t="inlineStr">
        <is>
          <t>rep2</t>
        </is>
      </c>
      <c r="E94" s="8" t="inlineStr">
        <is>
          <t>rep3</t>
        </is>
      </c>
      <c r="F94" s="8" t="inlineStr">
        <is>
          <t>rep4</t>
        </is>
      </c>
      <c r="G94" s="8" t="inlineStr">
        <is>
          <t>rep5</t>
        </is>
      </c>
      <c r="H94" s="8" t="inlineStr">
        <is>
          <t>rep6</t>
        </is>
      </c>
      <c r="I94" s="8" t="inlineStr">
        <is>
          <t>首rep</t>
        </is>
      </c>
      <c r="J94" s="8" t="inlineStr">
        <is>
          <t>最低速</t>
        </is>
      </c>
      <c r="K94" s="8" t="inlineStr">
        <is>
          <t>最低rep#</t>
        </is>
      </c>
      <c r="L94" s="8" t="inlineStr">
        <is>
          <t>VL%</t>
        </is>
      </c>
      <c r="M94" s="8" t="inlineStr">
        <is>
          <t>VL达标?</t>
        </is>
      </c>
      <c r="N94" s="8" t="inlineStr">
        <is>
          <t>安全停止?</t>
        </is>
      </c>
      <c r="O94" s="8" t="inlineStr">
        <is>
          <t>停组原因</t>
        </is>
      </c>
      <c r="P94" s="8" t="inlineStr">
        <is>
          <t>下组建议</t>
        </is>
      </c>
      <c r="Q94" s="8" t="inlineStr">
        <is>
          <t>实做次数</t>
        </is>
      </c>
    </row>
    <row r="95">
      <c r="A95" s="12" t="n">
        <v>1</v>
      </c>
      <c r="B95" s="10">
        <f>IF(K93="","",K93)</f>
        <v/>
      </c>
      <c r="C95" s="9" t="n"/>
      <c r="D95" s="9" t="n"/>
      <c r="E95" s="9" t="n"/>
      <c r="F95" s="9" t="n"/>
      <c r="G95" s="9" t="n"/>
      <c r="H95" s="9" t="n"/>
      <c r="I95" s="10">
        <f>IFERROR(INDEX(C95:H95,MATCH(TRUE,INDEX(C95:H95&lt;&gt;"",0),0)),"")</f>
        <v/>
      </c>
      <c r="J95" s="10">
        <f>IFERROR(MIN(IF(C95:H95&lt;&gt;"",C95:H95)),"")</f>
        <v/>
      </c>
      <c r="K95" s="10">
        <f>IFERROR(MATCH(I95,C95:H95,0),"")</f>
        <v/>
      </c>
      <c r="L95" s="10">
        <f>IF(OR(I95="",J95=""),"",ROUND((I95-J95)/I95*100,1))</f>
        <v/>
      </c>
      <c r="M95" s="10">
        <f>IF(L95="","",IF(L95&gt;=10,"是","否"))</f>
        <v/>
      </c>
      <c r="N95" s="10">
        <f>IF(J95="","",IF(J95&lt;0.15,"是","否"))</f>
        <v/>
      </c>
      <c r="O95" s="10">
        <f>IF(I95="","",IF(J95&lt;0.15,"SAFETY_STOP",IF(L95&gt;=10,"VL_THRESHOLD","PLANNED_END")))</f>
        <v/>
      </c>
      <c r="P95" s="10">
        <f>IF(I95="","",IF(I95&gt;($D$2+0.05),"+5kg",IF(I95&gt;($D$2+0.02),"+2.5kg",IF(I95&gt;=($D$2-0.05),"保持",IF(I95&gt;=($D$2-0.08),"-2.5kg","-5kg")))))</f>
        <v/>
      </c>
      <c r="Q95" s="9" t="n"/>
      <c r="R95" s="12" t="n"/>
      <c r="S95" s="12" t="n"/>
      <c r="T95" s="12" t="n"/>
    </row>
    <row r="96">
      <c r="A96" s="12" t="n">
        <v>2</v>
      </c>
      <c r="B96" s="9" t="n"/>
      <c r="C96" s="9" t="n"/>
      <c r="D96" s="9" t="n"/>
      <c r="E96" s="9" t="n"/>
      <c r="F96" s="9" t="n"/>
      <c r="G96" s="9" t="n"/>
      <c r="H96" s="9" t="n"/>
      <c r="I96" s="10">
        <f>IFERROR(INDEX(C96:H96,MATCH(TRUE,INDEX(C96:H96&lt;&gt;"",0),0)),"")</f>
        <v/>
      </c>
      <c r="J96" s="10">
        <f>IFERROR(MIN(IF(C96:H96&lt;&gt;"",C96:H96)),"")</f>
        <v/>
      </c>
      <c r="K96" s="10">
        <f>IFERROR(MATCH(I96,C96:H96,0),"")</f>
        <v/>
      </c>
      <c r="L96" s="10">
        <f>IF(OR(I96="",J96=""),"",ROUND((I96-J96)/I96*100,1))</f>
        <v/>
      </c>
      <c r="M96" s="10">
        <f>IF(L96="","",IF(L96&gt;=10,"是","否"))</f>
        <v/>
      </c>
      <c r="N96" s="10">
        <f>IF(J96="","",IF(J96&lt;0.15,"是","否"))</f>
        <v/>
      </c>
      <c r="O96" s="10">
        <f>IF(I96="","",IF(J96&lt;0.15,"SAFETY_STOP",IF(L96&gt;=10,"VL_THRESHOLD","PLANNED_END")))</f>
        <v/>
      </c>
      <c r="P96" s="10">
        <f>IF(I96="","",IF(I96&gt;($D$2+0.05),"+5kg",IF(I96&gt;($D$2+0.02),"+2.5kg",IF(I96&gt;=($D$2-0.05),"保持",IF(I96&gt;=($D$2-0.08),"-2.5kg","-5kg")))))</f>
        <v/>
      </c>
      <c r="Q96" s="9" t="n"/>
      <c r="R96" s="12" t="n"/>
      <c r="S96" s="12" t="n"/>
      <c r="T96" s="12" t="n"/>
    </row>
    <row r="97">
      <c r="A97" s="12" t="n">
        <v>3</v>
      </c>
      <c r="B97" s="9" t="n"/>
      <c r="C97" s="9" t="n"/>
      <c r="D97" s="9" t="n"/>
      <c r="E97" s="9" t="n"/>
      <c r="F97" s="9" t="n"/>
      <c r="G97" s="9" t="n"/>
      <c r="H97" s="9" t="n"/>
      <c r="I97" s="10">
        <f>IFERROR(INDEX(C97:H97,MATCH(TRUE,INDEX(C97:H97&lt;&gt;"",0),0)),"")</f>
        <v/>
      </c>
      <c r="J97" s="10">
        <f>IFERROR(MIN(IF(C97:H97&lt;&gt;"",C97:H97)),"")</f>
        <v/>
      </c>
      <c r="K97" s="10">
        <f>IFERROR(MATCH(I97,C97:H97,0),"")</f>
        <v/>
      </c>
      <c r="L97" s="10">
        <f>IF(OR(I97="",J97=""),"",ROUND((I97-J97)/I97*100,1))</f>
        <v/>
      </c>
      <c r="M97" s="10">
        <f>IF(L97="","",IF(L97&gt;=10,"是","否"))</f>
        <v/>
      </c>
      <c r="N97" s="10">
        <f>IF(J97="","",IF(J97&lt;0.15,"是","否"))</f>
        <v/>
      </c>
      <c r="O97" s="10">
        <f>IF(I97="","",IF(J97&lt;0.15,"SAFETY_STOP",IF(L97&gt;=10,"VL_THRESHOLD","PLANNED_END")))</f>
        <v/>
      </c>
      <c r="P97" s="10">
        <f>IF(I97="","",IF(I97&gt;($D$2+0.05),"+5kg",IF(I97&gt;($D$2+0.02),"+2.5kg",IF(I97&gt;=($D$2-0.05),"保持",IF(I97&gt;=($D$2-0.08),"-2.5kg","-5kg")))))</f>
        <v/>
      </c>
      <c r="Q97" s="9" t="n"/>
      <c r="R97" s="12" t="n"/>
      <c r="S97" s="12" t="n"/>
      <c r="T97" s="12" t="n"/>
    </row>
    <row r="98">
      <c r="A98" s="12" t="n">
        <v>4</v>
      </c>
      <c r="B98" s="9" t="n"/>
      <c r="C98" s="9" t="n"/>
      <c r="D98" s="9" t="n"/>
      <c r="E98" s="9" t="n"/>
      <c r="F98" s="9" t="n"/>
      <c r="G98" s="9" t="n"/>
      <c r="H98" s="9" t="n"/>
      <c r="I98" s="10">
        <f>IFERROR(INDEX(C98:H98,MATCH(TRUE,INDEX(C98:H98&lt;&gt;"",0),0)),"")</f>
        <v/>
      </c>
      <c r="J98" s="10">
        <f>IFERROR(MIN(IF(C98:H98&lt;&gt;"",C98:H98)),"")</f>
        <v/>
      </c>
      <c r="K98" s="10">
        <f>IFERROR(MATCH(I98,C98:H98,0),"")</f>
        <v/>
      </c>
      <c r="L98" s="10">
        <f>IF(OR(I98="",J98=""),"",ROUND((I98-J98)/I98*100,1))</f>
        <v/>
      </c>
      <c r="M98" s="10">
        <f>IF(L98="","",IF(L98&gt;=10,"是","否"))</f>
        <v/>
      </c>
      <c r="N98" s="10">
        <f>IF(J98="","",IF(J98&lt;0.15,"是","否"))</f>
        <v/>
      </c>
      <c r="O98" s="10">
        <f>IF(I98="","",IF(J98&lt;0.15,"SAFETY_STOP",IF(L98&gt;=10,"VL_THRESHOLD","PLANNED_END")))</f>
        <v/>
      </c>
      <c r="P98" s="10">
        <f>IF(I98="","",IF(I98&gt;($D$2+0.05),"+5kg",IF(I98&gt;($D$2+0.02),"+2.5kg",IF(I98&gt;=($D$2-0.05),"保持",IF(I98&gt;=($D$2-0.08),"-2.5kg","-5kg")))))</f>
        <v/>
      </c>
      <c r="Q98" s="9" t="n"/>
      <c r="R98" s="12" t="n"/>
      <c r="S98" s="12" t="n"/>
      <c r="T98" s="12" t="n"/>
    </row>
    <row r="99">
      <c r="A99" s="12" t="n">
        <v>5</v>
      </c>
      <c r="B99" s="9" t="n"/>
      <c r="C99" s="9" t="n"/>
      <c r="D99" s="9" t="n"/>
      <c r="E99" s="9" t="n"/>
      <c r="F99" s="9" t="n"/>
      <c r="G99" s="9" t="n"/>
      <c r="H99" s="9" t="n"/>
      <c r="I99" s="10">
        <f>IFERROR(INDEX(C99:H99,MATCH(TRUE,INDEX(C99:H99&lt;&gt;"",0),0)),"")</f>
        <v/>
      </c>
      <c r="J99" s="10">
        <f>IFERROR(MIN(IF(C99:H99&lt;&gt;"",C99:H99)),"")</f>
        <v/>
      </c>
      <c r="K99" s="10">
        <f>IFERROR(MATCH(I99,C99:H99,0),"")</f>
        <v/>
      </c>
      <c r="L99" s="10">
        <f>IF(OR(I99="",J99=""),"",ROUND((I99-J99)/I99*100,1))</f>
        <v/>
      </c>
      <c r="M99" s="10">
        <f>IF(L99="","",IF(L99&gt;=10,"是","否"))</f>
        <v/>
      </c>
      <c r="N99" s="10">
        <f>IF(J99="","",IF(J99&lt;0.15,"是","否"))</f>
        <v/>
      </c>
      <c r="O99" s="10">
        <f>IF(I99="","",IF(J99&lt;0.15,"SAFETY_STOP",IF(L99&gt;=10,"VL_THRESHOLD","PLANNED_END")))</f>
        <v/>
      </c>
      <c r="P99" s="10">
        <f>IF(I99="","",IF(I99&gt;($D$2+0.05),"+5kg",IF(I99&gt;($D$2+0.02),"+2.5kg",IF(I99&gt;=($D$2-0.05),"保持",IF(I99&gt;=($D$2-0.08),"-2.5kg","-5kg")))))</f>
        <v/>
      </c>
      <c r="Q99" s="9" t="n"/>
      <c r="R99" s="12" t="n"/>
      <c r="S99" s="12" t="n"/>
      <c r="T99" s="12" t="n"/>
    </row>
    <row r="100">
      <c r="A100" s="12" t="n">
        <v>6</v>
      </c>
      <c r="B100" s="9" t="n"/>
      <c r="C100" s="9" t="n"/>
      <c r="D100" s="9" t="n"/>
      <c r="E100" s="9" t="n"/>
      <c r="F100" s="9" t="n"/>
      <c r="G100" s="9" t="n"/>
      <c r="H100" s="9" t="n"/>
      <c r="I100" s="10">
        <f>IFERROR(INDEX(C100:H100,MATCH(TRUE,INDEX(C100:H100&lt;&gt;"",0),0)),"")</f>
        <v/>
      </c>
      <c r="J100" s="10">
        <f>IFERROR(MIN(IF(C100:H100&lt;&gt;"",C100:H100)),"")</f>
        <v/>
      </c>
      <c r="K100" s="10">
        <f>IFERROR(MATCH(I100,C100:H100,0),"")</f>
        <v/>
      </c>
      <c r="L100" s="10">
        <f>IF(OR(I100="",J100=""),"",ROUND((I100-J100)/I100*100,1))</f>
        <v/>
      </c>
      <c r="M100" s="10">
        <f>IF(L100="","",IF(L100&gt;=10,"是","否"))</f>
        <v/>
      </c>
      <c r="N100" s="10">
        <f>IF(J100="","",IF(J100&lt;0.15,"是","否"))</f>
        <v/>
      </c>
      <c r="O100" s="10">
        <f>IF(I100="","",IF(J100&lt;0.15,"SAFETY_STOP",IF(L100&gt;=10,"VL_THRESHOLD","PLANNED_END")))</f>
        <v/>
      </c>
      <c r="P100" s="10">
        <f>IF(I100="","",IF(I100&gt;($D$2+0.05),"+5kg",IF(I100&gt;($D$2+0.02),"+2.5kg",IF(I100&gt;=($D$2-0.05),"保持",IF(I100&gt;=($D$2-0.08),"-2.5kg","-5kg")))))</f>
        <v/>
      </c>
      <c r="Q100" s="9" t="n"/>
      <c r="R100" s="12" t="n"/>
      <c r="S100" s="12" t="n"/>
      <c r="T100" s="12" t="n"/>
    </row>
    <row r="101">
      <c r="A101" s="8" t="inlineStr">
        <is>
          <t>辅助动作</t>
        </is>
      </c>
      <c r="B101" s="8" t="inlineStr">
        <is>
          <t>动作名称</t>
        </is>
      </c>
      <c r="C101" s="8" t="inlineStr">
        <is>
          <t>负荷kg</t>
        </is>
      </c>
      <c r="D101" s="8" t="inlineStr">
        <is>
          <t>完成(组×次)</t>
        </is>
      </c>
    </row>
    <row r="102">
      <c r="A102" s="9" t="inlineStr"/>
      <c r="B102" s="9" t="n"/>
      <c r="C102" s="9" t="n"/>
      <c r="D102" s="9" t="n"/>
    </row>
    <row r="103">
      <c r="A103" s="8" t="inlineStr">
        <is>
          <t>训练后</t>
        </is>
      </c>
      <c r="B103" s="8" t="inlineStr">
        <is>
          <t>开始时间</t>
        </is>
      </c>
      <c r="C103" s="8" t="inlineStr">
        <is>
          <t>结束时间</t>
        </is>
      </c>
      <c r="D103" s="8" t="inlineStr">
        <is>
          <t>总时长min</t>
        </is>
      </c>
      <c r="E103" s="8" t="inlineStr">
        <is>
          <t>sRPE</t>
        </is>
      </c>
      <c r="F103" s="8" t="inlineStr">
        <is>
          <t>session_load</t>
        </is>
      </c>
      <c r="G103" s="8" t="inlineStr">
        <is>
          <t>有无不适</t>
        </is>
      </c>
      <c r="H103" s="8" t="inlineStr">
        <is>
          <t>备注</t>
        </is>
      </c>
      <c r="I103" s="8" t="inlineStr">
        <is>
          <t>研究员签名</t>
        </is>
      </c>
    </row>
    <row r="104">
      <c r="A104" s="13" t="inlineStr"/>
      <c r="B104" s="13" t="n"/>
      <c r="C104" s="13" t="n"/>
      <c r="D104" s="10">
        <f>IF(OR(B104="",C104=""),"",(C104-B104)*1440)</f>
        <v/>
      </c>
      <c r="E104" s="13" t="n"/>
      <c r="F104" s="10">
        <f>IF(OR(D104="",E104=""),"",D104*E104)</f>
        <v/>
      </c>
      <c r="G104" s="13" t="n"/>
      <c r="H104" s="13" t="n"/>
      <c r="I104" s="13" t="n"/>
    </row>
    <row r="106">
      <c r="A106" s="5" t="inlineStr">
        <is>
          <t>── P016 杜遥 ──────────────────────────────────────────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7" t="n"/>
    </row>
    <row r="107">
      <c r="A107" s="8" t="inlineStr">
        <is>
          <t>编号</t>
        </is>
      </c>
      <c r="B107" s="8" t="inlineStr">
        <is>
          <t>姓名</t>
        </is>
      </c>
      <c r="C107" s="8" t="inlineStr">
        <is>
          <t>身高</t>
        </is>
      </c>
      <c r="D107" s="8" t="inlineStr">
        <is>
          <t>1RM</t>
        </is>
      </c>
      <c r="E107" s="8" t="inlineStr">
        <is>
          <t>睡眠</t>
        </is>
      </c>
      <c r="F107" s="8" t="inlineStr">
        <is>
          <t>压力</t>
        </is>
      </c>
      <c r="G107" s="8" t="inlineStr">
        <is>
          <t>疲劳</t>
        </is>
      </c>
      <c r="H107" s="8" t="inlineStr">
        <is>
          <t>酸痛</t>
        </is>
      </c>
      <c r="I107" s="8" t="inlineStr">
        <is>
          <t>Hooper总</t>
        </is>
      </c>
      <c r="J107" s="8" t="inlineStr">
        <is>
          <t>CMJ1</t>
        </is>
      </c>
      <c r="K107" s="8" t="inlineStr">
        <is>
          <t>CMJ2</t>
        </is>
      </c>
      <c r="L107" s="8" t="inlineStr">
        <is>
          <t>CMJ3</t>
        </is>
      </c>
      <c r="M107" s="8" t="inlineStr">
        <is>
          <t>CMJ均值</t>
        </is>
      </c>
      <c r="N107" s="8" t="inlineStr">
        <is>
          <t>&lt;95%?</t>
        </is>
      </c>
      <c r="O107" s="8" t="inlineStr">
        <is>
          <t>减组?</t>
        </is>
      </c>
      <c r="P107" s="8" t="inlineStr">
        <is>
          <t>实做组数</t>
        </is>
      </c>
      <c r="Q107" s="8" t="inlineStr">
        <is>
          <t>LVP_a</t>
        </is>
      </c>
      <c r="R107" s="8" t="inlineStr">
        <is>
          <t>LVP_b</t>
        </is>
      </c>
      <c r="S107" s="8" t="inlineStr">
        <is>
          <t>等级</t>
        </is>
      </c>
      <c r="T107" s="8" t="inlineStr">
        <is>
          <t>预测起始</t>
        </is>
      </c>
    </row>
    <row r="108">
      <c r="A108" s="9" t="inlineStr">
        <is>
          <t>P016</t>
        </is>
      </c>
      <c r="B108" s="9" t="inlineStr">
        <is>
          <t>杜遥</t>
        </is>
      </c>
      <c r="C108" s="9" t="n">
        <v>180</v>
      </c>
      <c r="D108" s="9" t="n">
        <v>135</v>
      </c>
      <c r="E108" s="9" t="n"/>
      <c r="F108" s="9" t="n"/>
      <c r="G108" s="9" t="n"/>
      <c r="H108" s="9" t="n"/>
      <c r="I108" s="10">
        <f>IFERROR(SUM(E108:H108),"")</f>
        <v/>
      </c>
      <c r="J108" s="9" t="n"/>
      <c r="K108" s="9" t="n"/>
      <c r="L108" s="9" t="n"/>
      <c r="M108" s="10">
        <f>IFERROR(AVERAGE(J108:L108),"")</f>
        <v/>
      </c>
      <c r="N108" s="10">
        <f>IF(M108="","",IF(M108&lt;49.75,"是⚠","否"))</f>
        <v/>
      </c>
      <c r="O108" s="10">
        <f>IF(M108="","",IF(M108&lt;49.75,"减1组","正常"))</f>
        <v/>
      </c>
      <c r="P108" s="10">
        <f>IF(M108="","",IF(M108&lt;49.75,3-1,3))</f>
        <v/>
      </c>
      <c r="Q108" s="9" t="n">
        <v>1.54</v>
      </c>
      <c r="R108" s="9" t="n">
        <v>-0.008500000000000001</v>
      </c>
      <c r="S108" s="9" t="inlineStr">
        <is>
          <t>B</t>
        </is>
      </c>
      <c r="T108" s="10">
        <f>IFERROR(ROUND((0.75-1.54)/-0.0085,0.5),"")</f>
        <v/>
      </c>
    </row>
    <row r="109">
      <c r="A109" s="8" t="inlineStr">
        <is>
          <t>热身校准</t>
        </is>
      </c>
      <c r="B109" s="8" t="inlineStr">
        <is>
          <t>LVP_a</t>
        </is>
      </c>
      <c r="C109" s="8" t="inlineStr">
        <is>
          <t>LVP_b</t>
        </is>
      </c>
      <c r="D109" s="8" t="inlineStr">
        <is>
          <t>50%热身kg</t>
        </is>
      </c>
      <c r="E109" s="8" t="inlineStr">
        <is>
          <t>70%热身kg</t>
        </is>
      </c>
      <c r="F109" s="8" t="inlineStr">
        <is>
          <t>热身负荷kg</t>
        </is>
      </c>
      <c r="G109" s="8" t="inlineStr">
        <is>
          <t>实测MCV</t>
        </is>
      </c>
      <c r="H109" s="8" t="inlineStr">
        <is>
          <t>预测MCV</t>
        </is>
      </c>
      <c r="I109" s="8" t="inlineStr">
        <is>
          <t>Δv</t>
        </is>
      </c>
      <c r="J109" s="8" t="inlineStr">
        <is>
          <t>调整量kg</t>
        </is>
      </c>
      <c r="K109" s="8" t="inlineStr">
        <is>
          <t>校准后第1组kg</t>
        </is>
      </c>
    </row>
    <row r="110">
      <c r="A110" s="11" t="inlineStr"/>
      <c r="B110" s="11" t="n">
        <v>1.54</v>
      </c>
      <c r="C110" s="11" t="n">
        <v>-0.008500000000000001</v>
      </c>
      <c r="D110" s="10">
        <f>IFERROR(ROUND(T108*0.5,2.5),"")</f>
        <v/>
      </c>
      <c r="E110" s="10">
        <f>IFERROR(ROUND(T108*0.7,2.5),"")</f>
        <v/>
      </c>
      <c r="F110" s="10">
        <f>D110</f>
        <v/>
      </c>
      <c r="G110" s="9" t="n"/>
      <c r="H110" s="10">
        <f>IF(F110="","",B110+C110*F110)</f>
        <v/>
      </c>
      <c r="I110" s="10">
        <f>IF(OR(G110="",H110=""),"",G110-H110)</f>
        <v/>
      </c>
      <c r="J110" s="10">
        <f>IF(I110="","",IF(I110&gt;0.08,5,IF(I110&gt;0.04,2.5,IF(I110&gt;=-0.04,0,IF(I110&gt;=-0.08,-2.5,-5)))))</f>
        <v/>
      </c>
      <c r="K110" s="10">
        <f>IFERROR(ROUND(T108+J110,2.5),"")</f>
        <v/>
      </c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s="8" t="inlineStr">
        <is>
          <t>组次</t>
        </is>
      </c>
      <c r="B111" s="8" t="inlineStr">
        <is>
          <t>负荷kg</t>
        </is>
      </c>
      <c r="C111" s="8" t="inlineStr">
        <is>
          <t>rep1</t>
        </is>
      </c>
      <c r="D111" s="8" t="inlineStr">
        <is>
          <t>rep2</t>
        </is>
      </c>
      <c r="E111" s="8" t="inlineStr">
        <is>
          <t>rep3</t>
        </is>
      </c>
      <c r="F111" s="8" t="inlineStr">
        <is>
          <t>rep4</t>
        </is>
      </c>
      <c r="G111" s="8" t="inlineStr">
        <is>
          <t>rep5</t>
        </is>
      </c>
      <c r="H111" s="8" t="inlineStr">
        <is>
          <t>rep6</t>
        </is>
      </c>
      <c r="I111" s="8" t="inlineStr">
        <is>
          <t>首rep</t>
        </is>
      </c>
      <c r="J111" s="8" t="inlineStr">
        <is>
          <t>最低速</t>
        </is>
      </c>
      <c r="K111" s="8" t="inlineStr">
        <is>
          <t>最低rep#</t>
        </is>
      </c>
      <c r="L111" s="8" t="inlineStr">
        <is>
          <t>VL%</t>
        </is>
      </c>
      <c r="M111" s="8" t="inlineStr">
        <is>
          <t>VL达标?</t>
        </is>
      </c>
      <c r="N111" s="8" t="inlineStr">
        <is>
          <t>安全停止?</t>
        </is>
      </c>
      <c r="O111" s="8" t="inlineStr">
        <is>
          <t>停组原因</t>
        </is>
      </c>
      <c r="P111" s="8" t="inlineStr">
        <is>
          <t>下组建议</t>
        </is>
      </c>
      <c r="Q111" s="8" t="inlineStr">
        <is>
          <t>实做次数</t>
        </is>
      </c>
    </row>
    <row r="112">
      <c r="A112" s="12" t="n">
        <v>1</v>
      </c>
      <c r="B112" s="10">
        <f>IF(K110="","",K110)</f>
        <v/>
      </c>
      <c r="C112" s="9" t="n"/>
      <c r="D112" s="9" t="n"/>
      <c r="E112" s="9" t="n"/>
      <c r="F112" s="9" t="n"/>
      <c r="G112" s="9" t="n"/>
      <c r="H112" s="9" t="n"/>
      <c r="I112" s="10">
        <f>IFERROR(INDEX(C112:H112,MATCH(TRUE,INDEX(C112:H112&lt;&gt;"",0),0)),"")</f>
        <v/>
      </c>
      <c r="J112" s="10">
        <f>IFERROR(MIN(IF(C112:H112&lt;&gt;"",C112:H112)),"")</f>
        <v/>
      </c>
      <c r="K112" s="10">
        <f>IFERROR(MATCH(I112,C112:H112,0),"")</f>
        <v/>
      </c>
      <c r="L112" s="10">
        <f>IF(OR(I112="",J112=""),"",ROUND((I112-J112)/I112*100,1))</f>
        <v/>
      </c>
      <c r="M112" s="10">
        <f>IF(L112="","",IF(L112&gt;=10,"是","否"))</f>
        <v/>
      </c>
      <c r="N112" s="10">
        <f>IF(J112="","",IF(J112&lt;0.15,"是","否"))</f>
        <v/>
      </c>
      <c r="O112" s="10">
        <f>IF(I112="","",IF(J112&lt;0.15,"SAFETY_STOP",IF(L112&gt;=10,"VL_THRESHOLD","PLANNED_END")))</f>
        <v/>
      </c>
      <c r="P112" s="10">
        <f>IF(I112="","",IF(I112&gt;($D$2+0.05),"+5kg",IF(I112&gt;($D$2+0.02),"+2.5kg",IF(I112&gt;=($D$2-0.05),"保持",IF(I112&gt;=($D$2-0.08),"-2.5kg","-5kg")))))</f>
        <v/>
      </c>
      <c r="Q112" s="9" t="n"/>
      <c r="R112" s="12" t="n"/>
      <c r="S112" s="12" t="n"/>
      <c r="T112" s="12" t="n"/>
    </row>
    <row r="113">
      <c r="A113" s="12" t="n">
        <v>2</v>
      </c>
      <c r="B113" s="9" t="n"/>
      <c r="C113" s="9" t="n"/>
      <c r="D113" s="9" t="n"/>
      <c r="E113" s="9" t="n"/>
      <c r="F113" s="9" t="n"/>
      <c r="G113" s="9" t="n"/>
      <c r="H113" s="9" t="n"/>
      <c r="I113" s="10">
        <f>IFERROR(INDEX(C113:H113,MATCH(TRUE,INDEX(C113:H113&lt;&gt;"",0),0)),"")</f>
        <v/>
      </c>
      <c r="J113" s="10">
        <f>IFERROR(MIN(IF(C113:H113&lt;&gt;"",C113:H113)),"")</f>
        <v/>
      </c>
      <c r="K113" s="10">
        <f>IFERROR(MATCH(I113,C113:H113,0),"")</f>
        <v/>
      </c>
      <c r="L113" s="10">
        <f>IF(OR(I113="",J113=""),"",ROUND((I113-J113)/I113*100,1))</f>
        <v/>
      </c>
      <c r="M113" s="10">
        <f>IF(L113="","",IF(L113&gt;=10,"是","否"))</f>
        <v/>
      </c>
      <c r="N113" s="10">
        <f>IF(J113="","",IF(J113&lt;0.15,"是","否"))</f>
        <v/>
      </c>
      <c r="O113" s="10">
        <f>IF(I113="","",IF(J113&lt;0.15,"SAFETY_STOP",IF(L113&gt;=10,"VL_THRESHOLD","PLANNED_END")))</f>
        <v/>
      </c>
      <c r="P113" s="10">
        <f>IF(I113="","",IF(I113&gt;($D$2+0.05),"+5kg",IF(I113&gt;($D$2+0.02),"+2.5kg",IF(I113&gt;=($D$2-0.05),"保持",IF(I113&gt;=($D$2-0.08),"-2.5kg","-5kg")))))</f>
        <v/>
      </c>
      <c r="Q113" s="9" t="n"/>
      <c r="R113" s="12" t="n"/>
      <c r="S113" s="12" t="n"/>
      <c r="T113" s="12" t="n"/>
    </row>
    <row r="114">
      <c r="A114" s="12" t="n">
        <v>3</v>
      </c>
      <c r="B114" s="9" t="n"/>
      <c r="C114" s="9" t="n"/>
      <c r="D114" s="9" t="n"/>
      <c r="E114" s="9" t="n"/>
      <c r="F114" s="9" t="n"/>
      <c r="G114" s="9" t="n"/>
      <c r="H114" s="9" t="n"/>
      <c r="I114" s="10">
        <f>IFERROR(INDEX(C114:H114,MATCH(TRUE,INDEX(C114:H114&lt;&gt;"",0),0)),"")</f>
        <v/>
      </c>
      <c r="J114" s="10">
        <f>IFERROR(MIN(IF(C114:H114&lt;&gt;"",C114:H114)),"")</f>
        <v/>
      </c>
      <c r="K114" s="10">
        <f>IFERROR(MATCH(I114,C114:H114,0),"")</f>
        <v/>
      </c>
      <c r="L114" s="10">
        <f>IF(OR(I114="",J114=""),"",ROUND((I114-J114)/I114*100,1))</f>
        <v/>
      </c>
      <c r="M114" s="10">
        <f>IF(L114="","",IF(L114&gt;=10,"是","否"))</f>
        <v/>
      </c>
      <c r="N114" s="10">
        <f>IF(J114="","",IF(J114&lt;0.15,"是","否"))</f>
        <v/>
      </c>
      <c r="O114" s="10">
        <f>IF(I114="","",IF(J114&lt;0.15,"SAFETY_STOP",IF(L114&gt;=10,"VL_THRESHOLD","PLANNED_END")))</f>
        <v/>
      </c>
      <c r="P114" s="10">
        <f>IF(I114="","",IF(I114&gt;($D$2+0.05),"+5kg",IF(I114&gt;($D$2+0.02),"+2.5kg",IF(I114&gt;=($D$2-0.05),"保持",IF(I114&gt;=($D$2-0.08),"-2.5kg","-5kg")))))</f>
        <v/>
      </c>
      <c r="Q114" s="9" t="n"/>
      <c r="R114" s="12" t="n"/>
      <c r="S114" s="12" t="n"/>
      <c r="T114" s="12" t="n"/>
    </row>
    <row r="115">
      <c r="A115" s="12" t="n">
        <v>4</v>
      </c>
      <c r="B115" s="9" t="n"/>
      <c r="C115" s="9" t="n"/>
      <c r="D115" s="9" t="n"/>
      <c r="E115" s="9" t="n"/>
      <c r="F115" s="9" t="n"/>
      <c r="G115" s="9" t="n"/>
      <c r="H115" s="9" t="n"/>
      <c r="I115" s="10">
        <f>IFERROR(INDEX(C115:H115,MATCH(TRUE,INDEX(C115:H115&lt;&gt;"",0),0)),"")</f>
        <v/>
      </c>
      <c r="J115" s="10">
        <f>IFERROR(MIN(IF(C115:H115&lt;&gt;"",C115:H115)),"")</f>
        <v/>
      </c>
      <c r="K115" s="10">
        <f>IFERROR(MATCH(I115,C115:H115,0),"")</f>
        <v/>
      </c>
      <c r="L115" s="10">
        <f>IF(OR(I115="",J115=""),"",ROUND((I115-J115)/I115*100,1))</f>
        <v/>
      </c>
      <c r="M115" s="10">
        <f>IF(L115="","",IF(L115&gt;=10,"是","否"))</f>
        <v/>
      </c>
      <c r="N115" s="10">
        <f>IF(J115="","",IF(J115&lt;0.15,"是","否"))</f>
        <v/>
      </c>
      <c r="O115" s="10">
        <f>IF(I115="","",IF(J115&lt;0.15,"SAFETY_STOP",IF(L115&gt;=10,"VL_THRESHOLD","PLANNED_END")))</f>
        <v/>
      </c>
      <c r="P115" s="10">
        <f>IF(I115="","",IF(I115&gt;($D$2+0.05),"+5kg",IF(I115&gt;($D$2+0.02),"+2.5kg",IF(I115&gt;=($D$2-0.05),"保持",IF(I115&gt;=($D$2-0.08),"-2.5kg","-5kg")))))</f>
        <v/>
      </c>
      <c r="Q115" s="9" t="n"/>
      <c r="R115" s="12" t="n"/>
      <c r="S115" s="12" t="n"/>
      <c r="T115" s="12" t="n"/>
    </row>
    <row r="116">
      <c r="A116" s="12" t="n">
        <v>5</v>
      </c>
      <c r="B116" s="9" t="n"/>
      <c r="C116" s="9" t="n"/>
      <c r="D116" s="9" t="n"/>
      <c r="E116" s="9" t="n"/>
      <c r="F116" s="9" t="n"/>
      <c r="G116" s="9" t="n"/>
      <c r="H116" s="9" t="n"/>
      <c r="I116" s="10">
        <f>IFERROR(INDEX(C116:H116,MATCH(TRUE,INDEX(C116:H116&lt;&gt;"",0),0)),"")</f>
        <v/>
      </c>
      <c r="J116" s="10">
        <f>IFERROR(MIN(IF(C116:H116&lt;&gt;"",C116:H116)),"")</f>
        <v/>
      </c>
      <c r="K116" s="10">
        <f>IFERROR(MATCH(I116,C116:H116,0),"")</f>
        <v/>
      </c>
      <c r="L116" s="10">
        <f>IF(OR(I116="",J116=""),"",ROUND((I116-J116)/I116*100,1))</f>
        <v/>
      </c>
      <c r="M116" s="10">
        <f>IF(L116="","",IF(L116&gt;=10,"是","否"))</f>
        <v/>
      </c>
      <c r="N116" s="10">
        <f>IF(J116="","",IF(J116&lt;0.15,"是","否"))</f>
        <v/>
      </c>
      <c r="O116" s="10">
        <f>IF(I116="","",IF(J116&lt;0.15,"SAFETY_STOP",IF(L116&gt;=10,"VL_THRESHOLD","PLANNED_END")))</f>
        <v/>
      </c>
      <c r="P116" s="10">
        <f>IF(I116="","",IF(I116&gt;($D$2+0.05),"+5kg",IF(I116&gt;($D$2+0.02),"+2.5kg",IF(I116&gt;=($D$2-0.05),"保持",IF(I116&gt;=($D$2-0.08),"-2.5kg","-5kg")))))</f>
        <v/>
      </c>
      <c r="Q116" s="9" t="n"/>
      <c r="R116" s="12" t="n"/>
      <c r="S116" s="12" t="n"/>
      <c r="T116" s="12" t="n"/>
    </row>
    <row r="117">
      <c r="A117" s="12" t="n">
        <v>6</v>
      </c>
      <c r="B117" s="9" t="n"/>
      <c r="C117" s="9" t="n"/>
      <c r="D117" s="9" t="n"/>
      <c r="E117" s="9" t="n"/>
      <c r="F117" s="9" t="n"/>
      <c r="G117" s="9" t="n"/>
      <c r="H117" s="9" t="n"/>
      <c r="I117" s="10">
        <f>IFERROR(INDEX(C117:H117,MATCH(TRUE,INDEX(C117:H117&lt;&gt;"",0),0)),"")</f>
        <v/>
      </c>
      <c r="J117" s="10">
        <f>IFERROR(MIN(IF(C117:H117&lt;&gt;"",C117:H117)),"")</f>
        <v/>
      </c>
      <c r="K117" s="10">
        <f>IFERROR(MATCH(I117,C117:H117,0),"")</f>
        <v/>
      </c>
      <c r="L117" s="10">
        <f>IF(OR(I117="",J117=""),"",ROUND((I117-J117)/I117*100,1))</f>
        <v/>
      </c>
      <c r="M117" s="10">
        <f>IF(L117="","",IF(L117&gt;=10,"是","否"))</f>
        <v/>
      </c>
      <c r="N117" s="10">
        <f>IF(J117="","",IF(J117&lt;0.15,"是","否"))</f>
        <v/>
      </c>
      <c r="O117" s="10">
        <f>IF(I117="","",IF(J117&lt;0.15,"SAFETY_STOP",IF(L117&gt;=10,"VL_THRESHOLD","PLANNED_END")))</f>
        <v/>
      </c>
      <c r="P117" s="10">
        <f>IF(I117="","",IF(I117&gt;($D$2+0.05),"+5kg",IF(I117&gt;($D$2+0.02),"+2.5kg",IF(I117&gt;=($D$2-0.05),"保持",IF(I117&gt;=($D$2-0.08),"-2.5kg","-5kg")))))</f>
        <v/>
      </c>
      <c r="Q117" s="9" t="n"/>
      <c r="R117" s="12" t="n"/>
      <c r="S117" s="12" t="n"/>
      <c r="T117" s="12" t="n"/>
    </row>
    <row r="118">
      <c r="A118" s="8" t="inlineStr">
        <is>
          <t>辅助动作</t>
        </is>
      </c>
      <c r="B118" s="8" t="inlineStr">
        <is>
          <t>动作名称</t>
        </is>
      </c>
      <c r="C118" s="8" t="inlineStr">
        <is>
          <t>负荷kg</t>
        </is>
      </c>
      <c r="D118" s="8" t="inlineStr">
        <is>
          <t>完成(组×次)</t>
        </is>
      </c>
    </row>
    <row r="119">
      <c r="A119" s="9" t="inlineStr"/>
      <c r="B119" s="9" t="n"/>
      <c r="C119" s="9" t="n"/>
      <c r="D119" s="9" t="n"/>
    </row>
    <row r="120">
      <c r="A120" s="8" t="inlineStr">
        <is>
          <t>训练后</t>
        </is>
      </c>
      <c r="B120" s="8" t="inlineStr">
        <is>
          <t>开始时间</t>
        </is>
      </c>
      <c r="C120" s="8" t="inlineStr">
        <is>
          <t>结束时间</t>
        </is>
      </c>
      <c r="D120" s="8" t="inlineStr">
        <is>
          <t>总时长min</t>
        </is>
      </c>
      <c r="E120" s="8" t="inlineStr">
        <is>
          <t>sRPE</t>
        </is>
      </c>
      <c r="F120" s="8" t="inlineStr">
        <is>
          <t>session_load</t>
        </is>
      </c>
      <c r="G120" s="8" t="inlineStr">
        <is>
          <t>有无不适</t>
        </is>
      </c>
      <c r="H120" s="8" t="inlineStr">
        <is>
          <t>备注</t>
        </is>
      </c>
      <c r="I120" s="8" t="inlineStr">
        <is>
          <t>研究员签名</t>
        </is>
      </c>
    </row>
    <row r="121">
      <c r="A121" s="13" t="inlineStr"/>
      <c r="B121" s="13" t="n"/>
      <c r="C121" s="13" t="n"/>
      <c r="D121" s="10">
        <f>IF(OR(B121="",C121=""),"",(C121-B121)*1440)</f>
        <v/>
      </c>
      <c r="E121" s="13" t="n"/>
      <c r="F121" s="10">
        <f>IF(OR(D121="",E121=""),"",D121*E121)</f>
        <v/>
      </c>
      <c r="G121" s="13" t="n"/>
      <c r="H121" s="13" t="n"/>
      <c r="I121" s="13" t="n"/>
    </row>
    <row r="123">
      <c r="A123" s="5" t="inlineStr">
        <is>
          <t>── P025 范芳忠 ──────────────────────────────────────────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7" t="n"/>
    </row>
    <row r="124">
      <c r="A124" s="8" t="inlineStr">
        <is>
          <t>编号</t>
        </is>
      </c>
      <c r="B124" s="8" t="inlineStr">
        <is>
          <t>姓名</t>
        </is>
      </c>
      <c r="C124" s="8" t="inlineStr">
        <is>
          <t>身高</t>
        </is>
      </c>
      <c r="D124" s="8" t="inlineStr">
        <is>
          <t>1RM</t>
        </is>
      </c>
      <c r="E124" s="8" t="inlineStr">
        <is>
          <t>睡眠</t>
        </is>
      </c>
      <c r="F124" s="8" t="inlineStr">
        <is>
          <t>压力</t>
        </is>
      </c>
      <c r="G124" s="8" t="inlineStr">
        <is>
          <t>疲劳</t>
        </is>
      </c>
      <c r="H124" s="8" t="inlineStr">
        <is>
          <t>酸痛</t>
        </is>
      </c>
      <c r="I124" s="8" t="inlineStr">
        <is>
          <t>Hooper总</t>
        </is>
      </c>
      <c r="J124" s="8" t="inlineStr">
        <is>
          <t>CMJ1</t>
        </is>
      </c>
      <c r="K124" s="8" t="inlineStr">
        <is>
          <t>CMJ2</t>
        </is>
      </c>
      <c r="L124" s="8" t="inlineStr">
        <is>
          <t>CMJ3</t>
        </is>
      </c>
      <c r="M124" s="8" t="inlineStr">
        <is>
          <t>CMJ均值</t>
        </is>
      </c>
      <c r="N124" s="8" t="inlineStr">
        <is>
          <t>&lt;95%?</t>
        </is>
      </c>
      <c r="O124" s="8" t="inlineStr">
        <is>
          <t>减组?</t>
        </is>
      </c>
      <c r="P124" s="8" t="inlineStr">
        <is>
          <t>实做组数</t>
        </is>
      </c>
      <c r="Q124" s="8" t="inlineStr">
        <is>
          <t>LVP_a</t>
        </is>
      </c>
      <c r="R124" s="8" t="inlineStr">
        <is>
          <t>LVP_b</t>
        </is>
      </c>
      <c r="S124" s="8" t="inlineStr">
        <is>
          <t>等级</t>
        </is>
      </c>
      <c r="T124" s="8" t="inlineStr">
        <is>
          <t>预测起始</t>
        </is>
      </c>
    </row>
    <row r="125">
      <c r="A125" s="9" t="inlineStr">
        <is>
          <t>P025</t>
        </is>
      </c>
      <c r="B125" s="9" t="inlineStr">
        <is>
          <t>范芳忠</t>
        </is>
      </c>
      <c r="C125" s="9" t="n">
        <v>178</v>
      </c>
      <c r="D125" s="9" t="n">
        <v>135</v>
      </c>
      <c r="E125" s="9" t="n"/>
      <c r="F125" s="9" t="n"/>
      <c r="G125" s="9" t="n"/>
      <c r="H125" s="9" t="n"/>
      <c r="I125" s="10">
        <f>IFERROR(SUM(E125:H125),"")</f>
        <v/>
      </c>
      <c r="J125" s="9" t="n"/>
      <c r="K125" s="9" t="n"/>
      <c r="L125" s="9" t="n"/>
      <c r="M125" s="10">
        <f>IFERROR(AVERAGE(J125:L125),"")</f>
        <v/>
      </c>
      <c r="N125" s="10">
        <f>IF(M125="","",IF(M125&lt;58.43,"是⚠","否"))</f>
        <v/>
      </c>
      <c r="O125" s="10">
        <f>IF(M125="","",IF(M125&lt;58.43,"减1组","正常"))</f>
        <v/>
      </c>
      <c r="P125" s="10">
        <f>IF(M125="","",IF(M125&lt;58.43,3-1,3))</f>
        <v/>
      </c>
      <c r="Q125" s="9" t="n">
        <v>1.77</v>
      </c>
      <c r="R125" s="9" t="n">
        <v>-0.0105</v>
      </c>
      <c r="S125" s="9" t="inlineStr">
        <is>
          <t>A</t>
        </is>
      </c>
      <c r="T125" s="10">
        <f>IFERROR(ROUND((0.75-1.77)/-0.0105,0.5),"")</f>
        <v/>
      </c>
    </row>
    <row r="126">
      <c r="A126" s="8" t="inlineStr">
        <is>
          <t>热身校准</t>
        </is>
      </c>
      <c r="B126" s="8" t="inlineStr">
        <is>
          <t>LVP_a</t>
        </is>
      </c>
      <c r="C126" s="8" t="inlineStr">
        <is>
          <t>LVP_b</t>
        </is>
      </c>
      <c r="D126" s="8" t="inlineStr">
        <is>
          <t>50%热身kg</t>
        </is>
      </c>
      <c r="E126" s="8" t="inlineStr">
        <is>
          <t>70%热身kg</t>
        </is>
      </c>
      <c r="F126" s="8" t="inlineStr">
        <is>
          <t>热身负荷kg</t>
        </is>
      </c>
      <c r="G126" s="8" t="inlineStr">
        <is>
          <t>实测MCV</t>
        </is>
      </c>
      <c r="H126" s="8" t="inlineStr">
        <is>
          <t>预测MCV</t>
        </is>
      </c>
      <c r="I126" s="8" t="inlineStr">
        <is>
          <t>Δv</t>
        </is>
      </c>
      <c r="J126" s="8" t="inlineStr">
        <is>
          <t>调整量kg</t>
        </is>
      </c>
      <c r="K126" s="8" t="inlineStr">
        <is>
          <t>校准后第1组kg</t>
        </is>
      </c>
    </row>
    <row r="127">
      <c r="A127" s="11" t="inlineStr"/>
      <c r="B127" s="11" t="n">
        <v>1.77</v>
      </c>
      <c r="C127" s="11" t="n">
        <v>-0.0105</v>
      </c>
      <c r="D127" s="10">
        <f>IFERROR(ROUND(T125*0.5,2.5),"")</f>
        <v/>
      </c>
      <c r="E127" s="10">
        <f>IFERROR(ROUND(T125*0.7,2.5),"")</f>
        <v/>
      </c>
      <c r="F127" s="10">
        <f>D127</f>
        <v/>
      </c>
      <c r="G127" s="9" t="n"/>
      <c r="H127" s="10">
        <f>IF(F127="","",B127+C127*F127)</f>
        <v/>
      </c>
      <c r="I127" s="10">
        <f>IF(OR(G127="",H127=""),"",G127-H127)</f>
        <v/>
      </c>
      <c r="J127" s="10">
        <f>IF(I127="","",IF(I127&gt;0.08,5,IF(I127&gt;0.04,2.5,IF(I127&gt;=-0.04,0,IF(I127&gt;=-0.08,-2.5,-5)))))</f>
        <v/>
      </c>
      <c r="K127" s="10">
        <f>IFERROR(ROUND(T125+J127,2.5),"")</f>
        <v/>
      </c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</row>
    <row r="128">
      <c r="A128" s="8" t="inlineStr">
        <is>
          <t>组次</t>
        </is>
      </c>
      <c r="B128" s="8" t="inlineStr">
        <is>
          <t>负荷kg</t>
        </is>
      </c>
      <c r="C128" s="8" t="inlineStr">
        <is>
          <t>rep1</t>
        </is>
      </c>
      <c r="D128" s="8" t="inlineStr">
        <is>
          <t>rep2</t>
        </is>
      </c>
      <c r="E128" s="8" t="inlineStr">
        <is>
          <t>rep3</t>
        </is>
      </c>
      <c r="F128" s="8" t="inlineStr">
        <is>
          <t>rep4</t>
        </is>
      </c>
      <c r="G128" s="8" t="inlineStr">
        <is>
          <t>rep5</t>
        </is>
      </c>
      <c r="H128" s="8" t="inlineStr">
        <is>
          <t>rep6</t>
        </is>
      </c>
      <c r="I128" s="8" t="inlineStr">
        <is>
          <t>首rep</t>
        </is>
      </c>
      <c r="J128" s="8" t="inlineStr">
        <is>
          <t>最低速</t>
        </is>
      </c>
      <c r="K128" s="8" t="inlineStr">
        <is>
          <t>最低rep#</t>
        </is>
      </c>
      <c r="L128" s="8" t="inlineStr">
        <is>
          <t>VL%</t>
        </is>
      </c>
      <c r="M128" s="8" t="inlineStr">
        <is>
          <t>VL达标?</t>
        </is>
      </c>
      <c r="N128" s="8" t="inlineStr">
        <is>
          <t>安全停止?</t>
        </is>
      </c>
      <c r="O128" s="8" t="inlineStr">
        <is>
          <t>停组原因</t>
        </is>
      </c>
      <c r="P128" s="8" t="inlineStr">
        <is>
          <t>下组建议</t>
        </is>
      </c>
      <c r="Q128" s="8" t="inlineStr">
        <is>
          <t>实做次数</t>
        </is>
      </c>
    </row>
    <row r="129">
      <c r="A129" s="12" t="n">
        <v>1</v>
      </c>
      <c r="B129" s="10">
        <f>IF(K127="","",K127)</f>
        <v/>
      </c>
      <c r="C129" s="9" t="n"/>
      <c r="D129" s="9" t="n"/>
      <c r="E129" s="9" t="n"/>
      <c r="F129" s="9" t="n"/>
      <c r="G129" s="9" t="n"/>
      <c r="H129" s="9" t="n"/>
      <c r="I129" s="10">
        <f>IFERROR(INDEX(C129:H129,MATCH(TRUE,INDEX(C129:H129&lt;&gt;"",0),0)),"")</f>
        <v/>
      </c>
      <c r="J129" s="10">
        <f>IFERROR(MIN(IF(C129:H129&lt;&gt;"",C129:H129)),"")</f>
        <v/>
      </c>
      <c r="K129" s="10">
        <f>IFERROR(MATCH(I129,C129:H129,0),"")</f>
        <v/>
      </c>
      <c r="L129" s="10">
        <f>IF(OR(I129="",J129=""),"",ROUND((I129-J129)/I129*100,1))</f>
        <v/>
      </c>
      <c r="M129" s="10">
        <f>IF(L129="","",IF(L129&gt;=10,"是","否"))</f>
        <v/>
      </c>
      <c r="N129" s="10">
        <f>IF(J129="","",IF(J129&lt;0.15,"是","否"))</f>
        <v/>
      </c>
      <c r="O129" s="10">
        <f>IF(I129="","",IF(J129&lt;0.15,"SAFETY_STOP",IF(L129&gt;=10,"VL_THRESHOLD","PLANNED_END")))</f>
        <v/>
      </c>
      <c r="P129" s="10">
        <f>IF(I129="","",IF(I129&gt;($D$2+0.05),"+5kg",IF(I129&gt;($D$2+0.02),"+2.5kg",IF(I129&gt;=($D$2-0.05),"保持",IF(I129&gt;=($D$2-0.08),"-2.5kg","-5kg")))))</f>
        <v/>
      </c>
      <c r="Q129" s="9" t="n"/>
      <c r="R129" s="12" t="n"/>
      <c r="S129" s="12" t="n"/>
      <c r="T129" s="12" t="n"/>
    </row>
    <row r="130">
      <c r="A130" s="12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10">
        <f>IFERROR(INDEX(C130:H130,MATCH(TRUE,INDEX(C130:H130&lt;&gt;"",0),0)),"")</f>
        <v/>
      </c>
      <c r="J130" s="10">
        <f>IFERROR(MIN(IF(C130:H130&lt;&gt;"",C130:H130)),"")</f>
        <v/>
      </c>
      <c r="K130" s="10">
        <f>IFERROR(MATCH(I130,C130:H130,0),"")</f>
        <v/>
      </c>
      <c r="L130" s="10">
        <f>IF(OR(I130="",J130=""),"",ROUND((I130-J130)/I130*100,1))</f>
        <v/>
      </c>
      <c r="M130" s="10">
        <f>IF(L130="","",IF(L130&gt;=10,"是","否"))</f>
        <v/>
      </c>
      <c r="N130" s="10">
        <f>IF(J130="","",IF(J130&lt;0.15,"是","否"))</f>
        <v/>
      </c>
      <c r="O130" s="10">
        <f>IF(I130="","",IF(J130&lt;0.15,"SAFETY_STOP",IF(L130&gt;=10,"VL_THRESHOLD","PLANNED_END")))</f>
        <v/>
      </c>
      <c r="P130" s="10">
        <f>IF(I130="","",IF(I130&gt;($D$2+0.05),"+5kg",IF(I130&gt;($D$2+0.02),"+2.5kg",IF(I130&gt;=($D$2-0.05),"保持",IF(I130&gt;=($D$2-0.08),"-2.5kg","-5kg")))))</f>
        <v/>
      </c>
      <c r="Q130" s="9" t="n"/>
      <c r="R130" s="12" t="n"/>
      <c r="S130" s="12" t="n"/>
      <c r="T130" s="12" t="n"/>
    </row>
    <row r="131">
      <c r="A131" s="12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10">
        <f>IFERROR(INDEX(C131:H131,MATCH(TRUE,INDEX(C131:H131&lt;&gt;"",0),0)),"")</f>
        <v/>
      </c>
      <c r="J131" s="10">
        <f>IFERROR(MIN(IF(C131:H131&lt;&gt;"",C131:H131)),"")</f>
        <v/>
      </c>
      <c r="K131" s="10">
        <f>IFERROR(MATCH(I131,C131:H131,0),"")</f>
        <v/>
      </c>
      <c r="L131" s="10">
        <f>IF(OR(I131="",J131=""),"",ROUND((I131-J131)/I131*100,1))</f>
        <v/>
      </c>
      <c r="M131" s="10">
        <f>IF(L131="","",IF(L131&gt;=10,"是","否"))</f>
        <v/>
      </c>
      <c r="N131" s="10">
        <f>IF(J131="","",IF(J131&lt;0.15,"是","否"))</f>
        <v/>
      </c>
      <c r="O131" s="10">
        <f>IF(I131="","",IF(J131&lt;0.15,"SAFETY_STOP",IF(L131&gt;=10,"VL_THRESHOLD","PLANNED_END")))</f>
        <v/>
      </c>
      <c r="P131" s="10">
        <f>IF(I131="","",IF(I131&gt;($D$2+0.05),"+5kg",IF(I131&gt;($D$2+0.02),"+2.5kg",IF(I131&gt;=($D$2-0.05),"保持",IF(I131&gt;=($D$2-0.08),"-2.5kg","-5kg")))))</f>
        <v/>
      </c>
      <c r="Q131" s="9" t="n"/>
      <c r="R131" s="12" t="n"/>
      <c r="S131" s="12" t="n"/>
      <c r="T131" s="12" t="n"/>
    </row>
    <row r="132">
      <c r="A132" s="12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10">
        <f>IFERROR(INDEX(C132:H132,MATCH(TRUE,INDEX(C132:H132&lt;&gt;"",0),0)),"")</f>
        <v/>
      </c>
      <c r="J132" s="10">
        <f>IFERROR(MIN(IF(C132:H132&lt;&gt;"",C132:H132)),"")</f>
        <v/>
      </c>
      <c r="K132" s="10">
        <f>IFERROR(MATCH(I132,C132:H132,0),"")</f>
        <v/>
      </c>
      <c r="L132" s="10">
        <f>IF(OR(I132="",J132=""),"",ROUND((I132-J132)/I132*100,1))</f>
        <v/>
      </c>
      <c r="M132" s="10">
        <f>IF(L132="","",IF(L132&gt;=10,"是","否"))</f>
        <v/>
      </c>
      <c r="N132" s="10">
        <f>IF(J132="","",IF(J132&lt;0.15,"是","否"))</f>
        <v/>
      </c>
      <c r="O132" s="10">
        <f>IF(I132="","",IF(J132&lt;0.15,"SAFETY_STOP",IF(L132&gt;=10,"VL_THRESHOLD","PLANNED_END")))</f>
        <v/>
      </c>
      <c r="P132" s="10">
        <f>IF(I132="","",IF(I132&gt;($D$2+0.05),"+5kg",IF(I132&gt;($D$2+0.02),"+2.5kg",IF(I132&gt;=($D$2-0.05),"保持",IF(I132&gt;=($D$2-0.08),"-2.5kg","-5kg")))))</f>
        <v/>
      </c>
      <c r="Q132" s="9" t="n"/>
      <c r="R132" s="12" t="n"/>
      <c r="S132" s="12" t="n"/>
      <c r="T132" s="12" t="n"/>
    </row>
    <row r="133">
      <c r="A133" s="12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10">
        <f>IFERROR(INDEX(C133:H133,MATCH(TRUE,INDEX(C133:H133&lt;&gt;"",0),0)),"")</f>
        <v/>
      </c>
      <c r="J133" s="10">
        <f>IFERROR(MIN(IF(C133:H133&lt;&gt;"",C133:H133)),"")</f>
        <v/>
      </c>
      <c r="K133" s="10">
        <f>IFERROR(MATCH(I133,C133:H133,0),"")</f>
        <v/>
      </c>
      <c r="L133" s="10">
        <f>IF(OR(I133="",J133=""),"",ROUND((I133-J133)/I133*100,1))</f>
        <v/>
      </c>
      <c r="M133" s="10">
        <f>IF(L133="","",IF(L133&gt;=10,"是","否"))</f>
        <v/>
      </c>
      <c r="N133" s="10">
        <f>IF(J133="","",IF(J133&lt;0.15,"是","否"))</f>
        <v/>
      </c>
      <c r="O133" s="10">
        <f>IF(I133="","",IF(J133&lt;0.15,"SAFETY_STOP",IF(L133&gt;=10,"VL_THRESHOLD","PLANNED_END")))</f>
        <v/>
      </c>
      <c r="P133" s="10">
        <f>IF(I133="","",IF(I133&gt;($D$2+0.05),"+5kg",IF(I133&gt;($D$2+0.02),"+2.5kg",IF(I133&gt;=($D$2-0.05),"保持",IF(I133&gt;=($D$2-0.08),"-2.5kg","-5kg")))))</f>
        <v/>
      </c>
      <c r="Q133" s="9" t="n"/>
      <c r="R133" s="12" t="n"/>
      <c r="S133" s="12" t="n"/>
      <c r="T133" s="12" t="n"/>
    </row>
    <row r="134">
      <c r="A134" s="12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10">
        <f>IFERROR(INDEX(C134:H134,MATCH(TRUE,INDEX(C134:H134&lt;&gt;"",0),0)),"")</f>
        <v/>
      </c>
      <c r="J134" s="10">
        <f>IFERROR(MIN(IF(C134:H134&lt;&gt;"",C134:H134)),"")</f>
        <v/>
      </c>
      <c r="K134" s="10">
        <f>IFERROR(MATCH(I134,C134:H134,0),"")</f>
        <v/>
      </c>
      <c r="L134" s="10">
        <f>IF(OR(I134="",J134=""),"",ROUND((I134-J134)/I134*100,1))</f>
        <v/>
      </c>
      <c r="M134" s="10">
        <f>IF(L134="","",IF(L134&gt;=10,"是","否"))</f>
        <v/>
      </c>
      <c r="N134" s="10">
        <f>IF(J134="","",IF(J134&lt;0.15,"是","否"))</f>
        <v/>
      </c>
      <c r="O134" s="10">
        <f>IF(I134="","",IF(J134&lt;0.15,"SAFETY_STOP",IF(L134&gt;=10,"VL_THRESHOLD","PLANNED_END")))</f>
        <v/>
      </c>
      <c r="P134" s="10">
        <f>IF(I134="","",IF(I134&gt;($D$2+0.05),"+5kg",IF(I134&gt;($D$2+0.02),"+2.5kg",IF(I134&gt;=($D$2-0.05),"保持",IF(I134&gt;=($D$2-0.08),"-2.5kg","-5kg")))))</f>
        <v/>
      </c>
      <c r="Q134" s="9" t="n"/>
      <c r="R134" s="12" t="n"/>
      <c r="S134" s="12" t="n"/>
      <c r="T134" s="12" t="n"/>
    </row>
    <row r="135">
      <c r="A135" s="8" t="inlineStr">
        <is>
          <t>辅助动作</t>
        </is>
      </c>
      <c r="B135" s="8" t="inlineStr">
        <is>
          <t>动作名称</t>
        </is>
      </c>
      <c r="C135" s="8" t="inlineStr">
        <is>
          <t>负荷kg</t>
        </is>
      </c>
      <c r="D135" s="8" t="inlineStr">
        <is>
          <t>完成(组×次)</t>
        </is>
      </c>
    </row>
    <row r="136">
      <c r="A136" s="9" t="inlineStr"/>
      <c r="B136" s="9" t="n"/>
      <c r="C136" s="9" t="n"/>
      <c r="D136" s="9" t="n"/>
    </row>
    <row r="137">
      <c r="A137" s="8" t="inlineStr">
        <is>
          <t>训练后</t>
        </is>
      </c>
      <c r="B137" s="8" t="inlineStr">
        <is>
          <t>开始时间</t>
        </is>
      </c>
      <c r="C137" s="8" t="inlineStr">
        <is>
          <t>结束时间</t>
        </is>
      </c>
      <c r="D137" s="8" t="inlineStr">
        <is>
          <t>总时长min</t>
        </is>
      </c>
      <c r="E137" s="8" t="inlineStr">
        <is>
          <t>sRPE</t>
        </is>
      </c>
      <c r="F137" s="8" t="inlineStr">
        <is>
          <t>session_load</t>
        </is>
      </c>
      <c r="G137" s="8" t="inlineStr">
        <is>
          <t>有无不适</t>
        </is>
      </c>
      <c r="H137" s="8" t="inlineStr">
        <is>
          <t>备注</t>
        </is>
      </c>
      <c r="I137" s="8" t="inlineStr">
        <is>
          <t>研究员签名</t>
        </is>
      </c>
    </row>
    <row r="138">
      <c r="A138" s="13" t="inlineStr"/>
      <c r="B138" s="13" t="n"/>
      <c r="C138" s="13" t="n"/>
      <c r="D138" s="10">
        <f>IF(OR(B138="",C138=""),"",(C138-B138)*1440)</f>
        <v/>
      </c>
      <c r="E138" s="13" t="n"/>
      <c r="F138" s="10">
        <f>IF(OR(D138="",E138=""),"",D138*E138)</f>
        <v/>
      </c>
      <c r="G138" s="13" t="n"/>
      <c r="H138" s="13" t="n"/>
      <c r="I138" s="13" t="n"/>
    </row>
    <row r="140">
      <c r="A140" s="5" t="inlineStr">
        <is>
          <t>── P018 孟维宇 ──────────────────────────────────────────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7" t="n"/>
    </row>
    <row r="141">
      <c r="A141" s="8" t="inlineStr">
        <is>
          <t>编号</t>
        </is>
      </c>
      <c r="B141" s="8" t="inlineStr">
        <is>
          <t>姓名</t>
        </is>
      </c>
      <c r="C141" s="8" t="inlineStr">
        <is>
          <t>身高</t>
        </is>
      </c>
      <c r="D141" s="8" t="inlineStr">
        <is>
          <t>1RM</t>
        </is>
      </c>
      <c r="E141" s="8" t="inlineStr">
        <is>
          <t>睡眠</t>
        </is>
      </c>
      <c r="F141" s="8" t="inlineStr">
        <is>
          <t>压力</t>
        </is>
      </c>
      <c r="G141" s="8" t="inlineStr">
        <is>
          <t>疲劳</t>
        </is>
      </c>
      <c r="H141" s="8" t="inlineStr">
        <is>
          <t>酸痛</t>
        </is>
      </c>
      <c r="I141" s="8" t="inlineStr">
        <is>
          <t>Hooper总</t>
        </is>
      </c>
      <c r="J141" s="8" t="inlineStr">
        <is>
          <t>CMJ1</t>
        </is>
      </c>
      <c r="K141" s="8" t="inlineStr">
        <is>
          <t>CMJ2</t>
        </is>
      </c>
      <c r="L141" s="8" t="inlineStr">
        <is>
          <t>CMJ3</t>
        </is>
      </c>
      <c r="M141" s="8" t="inlineStr">
        <is>
          <t>CMJ均值</t>
        </is>
      </c>
      <c r="N141" s="8" t="inlineStr">
        <is>
          <t>&lt;95%?</t>
        </is>
      </c>
      <c r="O141" s="8" t="inlineStr">
        <is>
          <t>减组?</t>
        </is>
      </c>
      <c r="P141" s="8" t="inlineStr">
        <is>
          <t>实做组数</t>
        </is>
      </c>
      <c r="Q141" s="8" t="inlineStr">
        <is>
          <t>LVP_a</t>
        </is>
      </c>
      <c r="R141" s="8" t="inlineStr">
        <is>
          <t>LVP_b</t>
        </is>
      </c>
      <c r="S141" s="8" t="inlineStr">
        <is>
          <t>等级</t>
        </is>
      </c>
      <c r="T141" s="8" t="inlineStr">
        <is>
          <t>预测起始</t>
        </is>
      </c>
    </row>
    <row r="142">
      <c r="A142" s="9" t="inlineStr">
        <is>
          <t>P018</t>
        </is>
      </c>
      <c r="B142" s="9" t="inlineStr">
        <is>
          <t>孟维宇</t>
        </is>
      </c>
      <c r="C142" s="9" t="n">
        <v>173</v>
      </c>
      <c r="D142" s="9" t="n">
        <v>122.5</v>
      </c>
      <c r="E142" s="9" t="n"/>
      <c r="F142" s="9" t="n"/>
      <c r="G142" s="9" t="n"/>
      <c r="H142" s="9" t="n"/>
      <c r="I142" s="10">
        <f>IFERROR(SUM(E142:H142),"")</f>
        <v/>
      </c>
      <c r="J142" s="9" t="n"/>
      <c r="K142" s="9" t="n"/>
      <c r="L142" s="9" t="n"/>
      <c r="M142" s="10">
        <f>IFERROR(AVERAGE(J142:L142),"")</f>
        <v/>
      </c>
      <c r="N142" s="10">
        <f>IF(M142="","",IF(M142&lt;52.6,"是⚠","否"))</f>
        <v/>
      </c>
      <c r="O142" s="10">
        <f>IF(M142="","",IF(M142&lt;52.6,"减1组","正常"))</f>
        <v/>
      </c>
      <c r="P142" s="10">
        <f>IF(M142="","",IF(M142&lt;52.6,3-1,3))</f>
        <v/>
      </c>
      <c r="Q142" s="9" t="n">
        <v>1.71</v>
      </c>
      <c r="R142" s="9" t="n">
        <v>-0.0105</v>
      </c>
      <c r="S142" s="9" t="inlineStr">
        <is>
          <t>B</t>
        </is>
      </c>
      <c r="T142" s="10">
        <f>IFERROR(ROUND((0.75-1.71)/-0.0105,0.5),"")</f>
        <v/>
      </c>
    </row>
    <row r="143">
      <c r="A143" s="8" t="inlineStr">
        <is>
          <t>热身校准</t>
        </is>
      </c>
      <c r="B143" s="8" t="inlineStr">
        <is>
          <t>LVP_a</t>
        </is>
      </c>
      <c r="C143" s="8" t="inlineStr">
        <is>
          <t>LVP_b</t>
        </is>
      </c>
      <c r="D143" s="8" t="inlineStr">
        <is>
          <t>50%热身kg</t>
        </is>
      </c>
      <c r="E143" s="8" t="inlineStr">
        <is>
          <t>70%热身kg</t>
        </is>
      </c>
      <c r="F143" s="8" t="inlineStr">
        <is>
          <t>热身负荷kg</t>
        </is>
      </c>
      <c r="G143" s="8" t="inlineStr">
        <is>
          <t>实测MCV</t>
        </is>
      </c>
      <c r="H143" s="8" t="inlineStr">
        <is>
          <t>预测MCV</t>
        </is>
      </c>
      <c r="I143" s="8" t="inlineStr">
        <is>
          <t>Δv</t>
        </is>
      </c>
      <c r="J143" s="8" t="inlineStr">
        <is>
          <t>调整量kg</t>
        </is>
      </c>
      <c r="K143" s="8" t="inlineStr">
        <is>
          <t>校准后第1组kg</t>
        </is>
      </c>
    </row>
    <row r="144">
      <c r="A144" s="11" t="inlineStr"/>
      <c r="B144" s="11" t="n">
        <v>1.71</v>
      </c>
      <c r="C144" s="11" t="n">
        <v>-0.0105</v>
      </c>
      <c r="D144" s="10">
        <f>IFERROR(ROUND(T142*0.5,2.5),"")</f>
        <v/>
      </c>
      <c r="E144" s="10">
        <f>IFERROR(ROUND(T142*0.7,2.5),"")</f>
        <v/>
      </c>
      <c r="F144" s="10">
        <f>D144</f>
        <v/>
      </c>
      <c r="G144" s="9" t="n"/>
      <c r="H144" s="10">
        <f>IF(F144="","",B144+C144*F144)</f>
        <v/>
      </c>
      <c r="I144" s="10">
        <f>IF(OR(G144="",H144=""),"",G144-H144)</f>
        <v/>
      </c>
      <c r="J144" s="10">
        <f>IF(I144="","",IF(I144&gt;0.08,5,IF(I144&gt;0.04,2.5,IF(I144&gt;=-0.04,0,IF(I144&gt;=-0.08,-2.5,-5)))))</f>
        <v/>
      </c>
      <c r="K144" s="10">
        <f>IFERROR(ROUND(T142+J144,2.5),"")</f>
        <v/>
      </c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</row>
    <row r="145">
      <c r="A145" s="8" t="inlineStr">
        <is>
          <t>组次</t>
        </is>
      </c>
      <c r="B145" s="8" t="inlineStr">
        <is>
          <t>负荷kg</t>
        </is>
      </c>
      <c r="C145" s="8" t="inlineStr">
        <is>
          <t>rep1</t>
        </is>
      </c>
      <c r="D145" s="8" t="inlineStr">
        <is>
          <t>rep2</t>
        </is>
      </c>
      <c r="E145" s="8" t="inlineStr">
        <is>
          <t>rep3</t>
        </is>
      </c>
      <c r="F145" s="8" t="inlineStr">
        <is>
          <t>rep4</t>
        </is>
      </c>
      <c r="G145" s="8" t="inlineStr">
        <is>
          <t>rep5</t>
        </is>
      </c>
      <c r="H145" s="8" t="inlineStr">
        <is>
          <t>rep6</t>
        </is>
      </c>
      <c r="I145" s="8" t="inlineStr">
        <is>
          <t>首rep</t>
        </is>
      </c>
      <c r="J145" s="8" t="inlineStr">
        <is>
          <t>最低速</t>
        </is>
      </c>
      <c r="K145" s="8" t="inlineStr">
        <is>
          <t>最低rep#</t>
        </is>
      </c>
      <c r="L145" s="8" t="inlineStr">
        <is>
          <t>VL%</t>
        </is>
      </c>
      <c r="M145" s="8" t="inlineStr">
        <is>
          <t>VL达标?</t>
        </is>
      </c>
      <c r="N145" s="8" t="inlineStr">
        <is>
          <t>安全停止?</t>
        </is>
      </c>
      <c r="O145" s="8" t="inlineStr">
        <is>
          <t>停组原因</t>
        </is>
      </c>
      <c r="P145" s="8" t="inlineStr">
        <is>
          <t>下组建议</t>
        </is>
      </c>
      <c r="Q145" s="8" t="inlineStr">
        <is>
          <t>实做次数</t>
        </is>
      </c>
    </row>
    <row r="146">
      <c r="A146" s="12" t="n">
        <v>1</v>
      </c>
      <c r="B146" s="10">
        <f>IF(K144="","",K144)</f>
        <v/>
      </c>
      <c r="C146" s="9" t="n"/>
      <c r="D146" s="9" t="n"/>
      <c r="E146" s="9" t="n"/>
      <c r="F146" s="9" t="n"/>
      <c r="G146" s="9" t="n"/>
      <c r="H146" s="9" t="n"/>
      <c r="I146" s="10">
        <f>IFERROR(INDEX(C146:H146,MATCH(TRUE,INDEX(C146:H146&lt;&gt;"",0),0)),"")</f>
        <v/>
      </c>
      <c r="J146" s="10">
        <f>IFERROR(MIN(IF(C146:H146&lt;&gt;"",C146:H146)),"")</f>
        <v/>
      </c>
      <c r="K146" s="10">
        <f>IFERROR(MATCH(I146,C146:H146,0),"")</f>
        <v/>
      </c>
      <c r="L146" s="10">
        <f>IF(OR(I146="",J146=""),"",ROUND((I146-J146)/I146*100,1))</f>
        <v/>
      </c>
      <c r="M146" s="10">
        <f>IF(L146="","",IF(L146&gt;=10,"是","否"))</f>
        <v/>
      </c>
      <c r="N146" s="10">
        <f>IF(J146="","",IF(J146&lt;0.15,"是","否"))</f>
        <v/>
      </c>
      <c r="O146" s="10">
        <f>IF(I146="","",IF(J146&lt;0.15,"SAFETY_STOP",IF(L146&gt;=10,"VL_THRESHOLD","PLANNED_END")))</f>
        <v/>
      </c>
      <c r="P146" s="10">
        <f>IF(I146="","",IF(I146&gt;($D$2+0.05),"+5kg",IF(I146&gt;($D$2+0.02),"+2.5kg",IF(I146&gt;=($D$2-0.05),"保持",IF(I146&gt;=($D$2-0.08),"-2.5kg","-5kg")))))</f>
        <v/>
      </c>
      <c r="Q146" s="9" t="n"/>
      <c r="R146" s="12" t="n"/>
      <c r="S146" s="12" t="n"/>
      <c r="T146" s="12" t="n"/>
    </row>
    <row r="147">
      <c r="A147" s="12" t="n">
        <v>2</v>
      </c>
      <c r="B147" s="9" t="n"/>
      <c r="C147" s="9" t="n"/>
      <c r="D147" s="9" t="n"/>
      <c r="E147" s="9" t="n"/>
      <c r="F147" s="9" t="n"/>
      <c r="G147" s="9" t="n"/>
      <c r="H147" s="9" t="n"/>
      <c r="I147" s="10">
        <f>IFERROR(INDEX(C147:H147,MATCH(TRUE,INDEX(C147:H147&lt;&gt;"",0),0)),"")</f>
        <v/>
      </c>
      <c r="J147" s="10">
        <f>IFERROR(MIN(IF(C147:H147&lt;&gt;"",C147:H147)),"")</f>
        <v/>
      </c>
      <c r="K147" s="10">
        <f>IFERROR(MATCH(I147,C147:H147,0),"")</f>
        <v/>
      </c>
      <c r="L147" s="10">
        <f>IF(OR(I147="",J147=""),"",ROUND((I147-J147)/I147*100,1))</f>
        <v/>
      </c>
      <c r="M147" s="10">
        <f>IF(L147="","",IF(L147&gt;=10,"是","否"))</f>
        <v/>
      </c>
      <c r="N147" s="10">
        <f>IF(J147="","",IF(J147&lt;0.15,"是","否"))</f>
        <v/>
      </c>
      <c r="O147" s="10">
        <f>IF(I147="","",IF(J147&lt;0.15,"SAFETY_STOP",IF(L147&gt;=10,"VL_THRESHOLD","PLANNED_END")))</f>
        <v/>
      </c>
      <c r="P147" s="10">
        <f>IF(I147="","",IF(I147&gt;($D$2+0.05),"+5kg",IF(I147&gt;($D$2+0.02),"+2.5kg",IF(I147&gt;=($D$2-0.05),"保持",IF(I147&gt;=($D$2-0.08),"-2.5kg","-5kg")))))</f>
        <v/>
      </c>
      <c r="Q147" s="9" t="n"/>
      <c r="R147" s="12" t="n"/>
      <c r="S147" s="12" t="n"/>
      <c r="T147" s="12" t="n"/>
    </row>
    <row r="148">
      <c r="A148" s="12" t="n">
        <v>3</v>
      </c>
      <c r="B148" s="9" t="n"/>
      <c r="C148" s="9" t="n"/>
      <c r="D148" s="9" t="n"/>
      <c r="E148" s="9" t="n"/>
      <c r="F148" s="9" t="n"/>
      <c r="G148" s="9" t="n"/>
      <c r="H148" s="9" t="n"/>
      <c r="I148" s="10">
        <f>IFERROR(INDEX(C148:H148,MATCH(TRUE,INDEX(C148:H148&lt;&gt;"",0),0)),"")</f>
        <v/>
      </c>
      <c r="J148" s="10">
        <f>IFERROR(MIN(IF(C148:H148&lt;&gt;"",C148:H148)),"")</f>
        <v/>
      </c>
      <c r="K148" s="10">
        <f>IFERROR(MATCH(I148,C148:H148,0),"")</f>
        <v/>
      </c>
      <c r="L148" s="10">
        <f>IF(OR(I148="",J148=""),"",ROUND((I148-J148)/I148*100,1))</f>
        <v/>
      </c>
      <c r="M148" s="10">
        <f>IF(L148="","",IF(L148&gt;=10,"是","否"))</f>
        <v/>
      </c>
      <c r="N148" s="10">
        <f>IF(J148="","",IF(J148&lt;0.15,"是","否"))</f>
        <v/>
      </c>
      <c r="O148" s="10">
        <f>IF(I148="","",IF(J148&lt;0.15,"SAFETY_STOP",IF(L148&gt;=10,"VL_THRESHOLD","PLANNED_END")))</f>
        <v/>
      </c>
      <c r="P148" s="10">
        <f>IF(I148="","",IF(I148&gt;($D$2+0.05),"+5kg",IF(I148&gt;($D$2+0.02),"+2.5kg",IF(I148&gt;=($D$2-0.05),"保持",IF(I148&gt;=($D$2-0.08),"-2.5kg","-5kg")))))</f>
        <v/>
      </c>
      <c r="Q148" s="9" t="n"/>
      <c r="R148" s="12" t="n"/>
      <c r="S148" s="12" t="n"/>
      <c r="T148" s="12" t="n"/>
    </row>
    <row r="149">
      <c r="A149" s="12" t="n">
        <v>4</v>
      </c>
      <c r="B149" s="9" t="n"/>
      <c r="C149" s="9" t="n"/>
      <c r="D149" s="9" t="n"/>
      <c r="E149" s="9" t="n"/>
      <c r="F149" s="9" t="n"/>
      <c r="G149" s="9" t="n"/>
      <c r="H149" s="9" t="n"/>
      <c r="I149" s="10">
        <f>IFERROR(INDEX(C149:H149,MATCH(TRUE,INDEX(C149:H149&lt;&gt;"",0),0)),"")</f>
        <v/>
      </c>
      <c r="J149" s="10">
        <f>IFERROR(MIN(IF(C149:H149&lt;&gt;"",C149:H149)),"")</f>
        <v/>
      </c>
      <c r="K149" s="10">
        <f>IFERROR(MATCH(I149,C149:H149,0),"")</f>
        <v/>
      </c>
      <c r="L149" s="10">
        <f>IF(OR(I149="",J149=""),"",ROUND((I149-J149)/I149*100,1))</f>
        <v/>
      </c>
      <c r="M149" s="10">
        <f>IF(L149="","",IF(L149&gt;=10,"是","否"))</f>
        <v/>
      </c>
      <c r="N149" s="10">
        <f>IF(J149="","",IF(J149&lt;0.15,"是","否"))</f>
        <v/>
      </c>
      <c r="O149" s="10">
        <f>IF(I149="","",IF(J149&lt;0.15,"SAFETY_STOP",IF(L149&gt;=10,"VL_THRESHOLD","PLANNED_END")))</f>
        <v/>
      </c>
      <c r="P149" s="10">
        <f>IF(I149="","",IF(I149&gt;($D$2+0.05),"+5kg",IF(I149&gt;($D$2+0.02),"+2.5kg",IF(I149&gt;=($D$2-0.05),"保持",IF(I149&gt;=($D$2-0.08),"-2.5kg","-5kg")))))</f>
        <v/>
      </c>
      <c r="Q149" s="9" t="n"/>
      <c r="R149" s="12" t="n"/>
      <c r="S149" s="12" t="n"/>
      <c r="T149" s="12" t="n"/>
    </row>
    <row r="150">
      <c r="A150" s="12" t="n">
        <v>5</v>
      </c>
      <c r="B150" s="9" t="n"/>
      <c r="C150" s="9" t="n"/>
      <c r="D150" s="9" t="n"/>
      <c r="E150" s="9" t="n"/>
      <c r="F150" s="9" t="n"/>
      <c r="G150" s="9" t="n"/>
      <c r="H150" s="9" t="n"/>
      <c r="I150" s="10">
        <f>IFERROR(INDEX(C150:H150,MATCH(TRUE,INDEX(C150:H150&lt;&gt;"",0),0)),"")</f>
        <v/>
      </c>
      <c r="J150" s="10">
        <f>IFERROR(MIN(IF(C150:H150&lt;&gt;"",C150:H150)),"")</f>
        <v/>
      </c>
      <c r="K150" s="10">
        <f>IFERROR(MATCH(I150,C150:H150,0),"")</f>
        <v/>
      </c>
      <c r="L150" s="10">
        <f>IF(OR(I150="",J150=""),"",ROUND((I150-J150)/I150*100,1))</f>
        <v/>
      </c>
      <c r="M150" s="10">
        <f>IF(L150="","",IF(L150&gt;=10,"是","否"))</f>
        <v/>
      </c>
      <c r="N150" s="10">
        <f>IF(J150="","",IF(J150&lt;0.15,"是","否"))</f>
        <v/>
      </c>
      <c r="O150" s="10">
        <f>IF(I150="","",IF(J150&lt;0.15,"SAFETY_STOP",IF(L150&gt;=10,"VL_THRESHOLD","PLANNED_END")))</f>
        <v/>
      </c>
      <c r="P150" s="10">
        <f>IF(I150="","",IF(I150&gt;($D$2+0.05),"+5kg",IF(I150&gt;($D$2+0.02),"+2.5kg",IF(I150&gt;=($D$2-0.05),"保持",IF(I150&gt;=($D$2-0.08),"-2.5kg","-5kg")))))</f>
        <v/>
      </c>
      <c r="Q150" s="9" t="n"/>
      <c r="R150" s="12" t="n"/>
      <c r="S150" s="12" t="n"/>
      <c r="T150" s="12" t="n"/>
    </row>
    <row r="151">
      <c r="A151" s="12" t="n">
        <v>6</v>
      </c>
      <c r="B151" s="9" t="n"/>
      <c r="C151" s="9" t="n"/>
      <c r="D151" s="9" t="n"/>
      <c r="E151" s="9" t="n"/>
      <c r="F151" s="9" t="n"/>
      <c r="G151" s="9" t="n"/>
      <c r="H151" s="9" t="n"/>
      <c r="I151" s="10">
        <f>IFERROR(INDEX(C151:H151,MATCH(TRUE,INDEX(C151:H151&lt;&gt;"",0),0)),"")</f>
        <v/>
      </c>
      <c r="J151" s="10">
        <f>IFERROR(MIN(IF(C151:H151&lt;&gt;"",C151:H151)),"")</f>
        <v/>
      </c>
      <c r="K151" s="10">
        <f>IFERROR(MATCH(I151,C151:H151,0),"")</f>
        <v/>
      </c>
      <c r="L151" s="10">
        <f>IF(OR(I151="",J151=""),"",ROUND((I151-J151)/I151*100,1))</f>
        <v/>
      </c>
      <c r="M151" s="10">
        <f>IF(L151="","",IF(L151&gt;=10,"是","否"))</f>
        <v/>
      </c>
      <c r="N151" s="10">
        <f>IF(J151="","",IF(J151&lt;0.15,"是","否"))</f>
        <v/>
      </c>
      <c r="O151" s="10">
        <f>IF(I151="","",IF(J151&lt;0.15,"SAFETY_STOP",IF(L151&gt;=10,"VL_THRESHOLD","PLANNED_END")))</f>
        <v/>
      </c>
      <c r="P151" s="10">
        <f>IF(I151="","",IF(I151&gt;($D$2+0.05),"+5kg",IF(I151&gt;($D$2+0.02),"+2.5kg",IF(I151&gt;=($D$2-0.05),"保持",IF(I151&gt;=($D$2-0.08),"-2.5kg","-5kg")))))</f>
        <v/>
      </c>
      <c r="Q151" s="9" t="n"/>
      <c r="R151" s="12" t="n"/>
      <c r="S151" s="12" t="n"/>
      <c r="T151" s="12" t="n"/>
    </row>
    <row r="152">
      <c r="A152" s="8" t="inlineStr">
        <is>
          <t>辅助动作</t>
        </is>
      </c>
      <c r="B152" s="8" t="inlineStr">
        <is>
          <t>动作名称</t>
        </is>
      </c>
      <c r="C152" s="8" t="inlineStr">
        <is>
          <t>负荷kg</t>
        </is>
      </c>
      <c r="D152" s="8" t="inlineStr">
        <is>
          <t>完成(组×次)</t>
        </is>
      </c>
    </row>
    <row r="153">
      <c r="A153" s="9" t="inlineStr"/>
      <c r="B153" s="9" t="n"/>
      <c r="C153" s="9" t="n"/>
      <c r="D153" s="9" t="n"/>
    </row>
    <row r="154">
      <c r="A154" s="8" t="inlineStr">
        <is>
          <t>训练后</t>
        </is>
      </c>
      <c r="B154" s="8" t="inlineStr">
        <is>
          <t>开始时间</t>
        </is>
      </c>
      <c r="C154" s="8" t="inlineStr">
        <is>
          <t>结束时间</t>
        </is>
      </c>
      <c r="D154" s="8" t="inlineStr">
        <is>
          <t>总时长min</t>
        </is>
      </c>
      <c r="E154" s="8" t="inlineStr">
        <is>
          <t>sRPE</t>
        </is>
      </c>
      <c r="F154" s="8" t="inlineStr">
        <is>
          <t>session_load</t>
        </is>
      </c>
      <c r="G154" s="8" t="inlineStr">
        <is>
          <t>有无不适</t>
        </is>
      </c>
      <c r="H154" s="8" t="inlineStr">
        <is>
          <t>备注</t>
        </is>
      </c>
      <c r="I154" s="8" t="inlineStr">
        <is>
          <t>研究员签名</t>
        </is>
      </c>
    </row>
    <row r="155">
      <c r="A155" s="13" t="inlineStr"/>
      <c r="B155" s="13" t="n"/>
      <c r="C155" s="13" t="n"/>
      <c r="D155" s="10">
        <f>IF(OR(B155="",C155=""),"",(C155-B155)*1440)</f>
        <v/>
      </c>
      <c r="E155" s="13" t="n"/>
      <c r="F155" s="10">
        <f>IF(OR(D155="",E155=""),"",D155*E155)</f>
        <v/>
      </c>
      <c r="G155" s="13" t="n"/>
      <c r="H155" s="13" t="n"/>
      <c r="I155" s="13" t="n"/>
    </row>
    <row r="157">
      <c r="A157" s="5" t="inlineStr">
        <is>
          <t>── P026 古翔宇 ──────────────────────────────────────────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7" t="n"/>
    </row>
    <row r="158">
      <c r="A158" s="8" t="inlineStr">
        <is>
          <t>编号</t>
        </is>
      </c>
      <c r="B158" s="8" t="inlineStr">
        <is>
          <t>姓名</t>
        </is>
      </c>
      <c r="C158" s="8" t="inlineStr">
        <is>
          <t>身高</t>
        </is>
      </c>
      <c r="D158" s="8" t="inlineStr">
        <is>
          <t>1RM</t>
        </is>
      </c>
      <c r="E158" s="8" t="inlineStr">
        <is>
          <t>睡眠</t>
        </is>
      </c>
      <c r="F158" s="8" t="inlineStr">
        <is>
          <t>压力</t>
        </is>
      </c>
      <c r="G158" s="8" t="inlineStr">
        <is>
          <t>疲劳</t>
        </is>
      </c>
      <c r="H158" s="8" t="inlineStr">
        <is>
          <t>酸痛</t>
        </is>
      </c>
      <c r="I158" s="8" t="inlineStr">
        <is>
          <t>Hooper总</t>
        </is>
      </c>
      <c r="J158" s="8" t="inlineStr">
        <is>
          <t>CMJ1</t>
        </is>
      </c>
      <c r="K158" s="8" t="inlineStr">
        <is>
          <t>CMJ2</t>
        </is>
      </c>
      <c r="L158" s="8" t="inlineStr">
        <is>
          <t>CMJ3</t>
        </is>
      </c>
      <c r="M158" s="8" t="inlineStr">
        <is>
          <t>CMJ均值</t>
        </is>
      </c>
      <c r="N158" s="8" t="inlineStr">
        <is>
          <t>&lt;95%?</t>
        </is>
      </c>
      <c r="O158" s="8" t="inlineStr">
        <is>
          <t>减组?</t>
        </is>
      </c>
      <c r="P158" s="8" t="inlineStr">
        <is>
          <t>实做组数</t>
        </is>
      </c>
      <c r="Q158" s="8" t="inlineStr">
        <is>
          <t>LVP_a</t>
        </is>
      </c>
      <c r="R158" s="8" t="inlineStr">
        <is>
          <t>LVP_b</t>
        </is>
      </c>
      <c r="S158" s="8" t="inlineStr">
        <is>
          <t>等级</t>
        </is>
      </c>
      <c r="T158" s="8" t="inlineStr">
        <is>
          <t>预测起始</t>
        </is>
      </c>
    </row>
    <row r="159">
      <c r="A159" s="9" t="inlineStr">
        <is>
          <t>P026</t>
        </is>
      </c>
      <c r="B159" s="9" t="inlineStr">
        <is>
          <t>古翔宇</t>
        </is>
      </c>
      <c r="C159" s="9" t="n">
        <v>180</v>
      </c>
      <c r="D159" s="9" t="n">
        <v>135</v>
      </c>
      <c r="E159" s="9" t="n"/>
      <c r="F159" s="9" t="n"/>
      <c r="G159" s="9" t="n"/>
      <c r="H159" s="9" t="n"/>
      <c r="I159" s="10">
        <f>IFERROR(SUM(E159:H159),"")</f>
        <v/>
      </c>
      <c r="J159" s="9" t="n"/>
      <c r="K159" s="9" t="n"/>
      <c r="L159" s="9" t="n"/>
      <c r="M159" s="10">
        <f>IFERROR(AVERAGE(J159:L159),"")</f>
        <v/>
      </c>
      <c r="N159" s="10">
        <f>IF(M159="","",IF(M159&lt;45.51,"是⚠","否"))</f>
        <v/>
      </c>
      <c r="O159" s="10">
        <f>IF(M159="","",IF(M159&lt;45.51,"减1组","正常"))</f>
        <v/>
      </c>
      <c r="P159" s="10">
        <f>IF(M159="","",IF(M159&lt;45.51,3-1,3))</f>
        <v/>
      </c>
      <c r="Q159" s="9" t="n">
        <v>1.64</v>
      </c>
      <c r="R159" s="9" t="n">
        <v>-0.00975</v>
      </c>
      <c r="S159" s="9" t="inlineStr">
        <is>
          <t>A</t>
        </is>
      </c>
      <c r="T159" s="10">
        <f>IFERROR(ROUND((0.75-1.64)/-0.00975,0.5),"")</f>
        <v/>
      </c>
    </row>
    <row r="160">
      <c r="A160" s="8" t="inlineStr">
        <is>
          <t>热身校准</t>
        </is>
      </c>
      <c r="B160" s="8" t="inlineStr">
        <is>
          <t>LVP_a</t>
        </is>
      </c>
      <c r="C160" s="8" t="inlineStr">
        <is>
          <t>LVP_b</t>
        </is>
      </c>
      <c r="D160" s="8" t="inlineStr">
        <is>
          <t>50%热身kg</t>
        </is>
      </c>
      <c r="E160" s="8" t="inlineStr">
        <is>
          <t>70%热身kg</t>
        </is>
      </c>
      <c r="F160" s="8" t="inlineStr">
        <is>
          <t>热身负荷kg</t>
        </is>
      </c>
      <c r="G160" s="8" t="inlineStr">
        <is>
          <t>实测MCV</t>
        </is>
      </c>
      <c r="H160" s="8" t="inlineStr">
        <is>
          <t>预测MCV</t>
        </is>
      </c>
      <c r="I160" s="8" t="inlineStr">
        <is>
          <t>Δv</t>
        </is>
      </c>
      <c r="J160" s="8" t="inlineStr">
        <is>
          <t>调整量kg</t>
        </is>
      </c>
      <c r="K160" s="8" t="inlineStr">
        <is>
          <t>校准后第1组kg</t>
        </is>
      </c>
    </row>
    <row r="161">
      <c r="A161" s="11" t="inlineStr"/>
      <c r="B161" s="11" t="n">
        <v>1.64</v>
      </c>
      <c r="C161" s="11" t="n">
        <v>-0.00975</v>
      </c>
      <c r="D161" s="10">
        <f>IFERROR(ROUND(T159*0.5,2.5),"")</f>
        <v/>
      </c>
      <c r="E161" s="10">
        <f>IFERROR(ROUND(T159*0.7,2.5),"")</f>
        <v/>
      </c>
      <c r="F161" s="10">
        <f>D161</f>
        <v/>
      </c>
      <c r="G161" s="9" t="n"/>
      <c r="H161" s="10">
        <f>IF(F161="","",B161+C161*F161)</f>
        <v/>
      </c>
      <c r="I161" s="10">
        <f>IF(OR(G161="",H161=""),"",G161-H161)</f>
        <v/>
      </c>
      <c r="J161" s="10">
        <f>IF(I161="","",IF(I161&gt;0.08,5,IF(I161&gt;0.04,2.5,IF(I161&gt;=-0.04,0,IF(I161&gt;=-0.08,-2.5,-5)))))</f>
        <v/>
      </c>
      <c r="K161" s="10">
        <f>IFERROR(ROUND(T159+J161,2.5),"")</f>
        <v/>
      </c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</row>
    <row r="162">
      <c r="A162" s="8" t="inlineStr">
        <is>
          <t>组次</t>
        </is>
      </c>
      <c r="B162" s="8" t="inlineStr">
        <is>
          <t>负荷kg</t>
        </is>
      </c>
      <c r="C162" s="8" t="inlineStr">
        <is>
          <t>rep1</t>
        </is>
      </c>
      <c r="D162" s="8" t="inlineStr">
        <is>
          <t>rep2</t>
        </is>
      </c>
      <c r="E162" s="8" t="inlineStr">
        <is>
          <t>rep3</t>
        </is>
      </c>
      <c r="F162" s="8" t="inlineStr">
        <is>
          <t>rep4</t>
        </is>
      </c>
      <c r="G162" s="8" t="inlineStr">
        <is>
          <t>rep5</t>
        </is>
      </c>
      <c r="H162" s="8" t="inlineStr">
        <is>
          <t>rep6</t>
        </is>
      </c>
      <c r="I162" s="8" t="inlineStr">
        <is>
          <t>首rep</t>
        </is>
      </c>
      <c r="J162" s="8" t="inlineStr">
        <is>
          <t>最低速</t>
        </is>
      </c>
      <c r="K162" s="8" t="inlineStr">
        <is>
          <t>最低rep#</t>
        </is>
      </c>
      <c r="L162" s="8" t="inlineStr">
        <is>
          <t>VL%</t>
        </is>
      </c>
      <c r="M162" s="8" t="inlineStr">
        <is>
          <t>VL达标?</t>
        </is>
      </c>
      <c r="N162" s="8" t="inlineStr">
        <is>
          <t>安全停止?</t>
        </is>
      </c>
      <c r="O162" s="8" t="inlineStr">
        <is>
          <t>停组原因</t>
        </is>
      </c>
      <c r="P162" s="8" t="inlineStr">
        <is>
          <t>下组建议</t>
        </is>
      </c>
      <c r="Q162" s="8" t="inlineStr">
        <is>
          <t>实做次数</t>
        </is>
      </c>
    </row>
    <row r="163">
      <c r="A163" s="12" t="n">
        <v>1</v>
      </c>
      <c r="B163" s="10">
        <f>IF(K161="","",K161)</f>
        <v/>
      </c>
      <c r="C163" s="9" t="n"/>
      <c r="D163" s="9" t="n"/>
      <c r="E163" s="9" t="n"/>
      <c r="F163" s="9" t="n"/>
      <c r="G163" s="9" t="n"/>
      <c r="H163" s="9" t="n"/>
      <c r="I163" s="10">
        <f>IFERROR(INDEX(C163:H163,MATCH(TRUE,INDEX(C163:H163&lt;&gt;"",0),0)),"")</f>
        <v/>
      </c>
      <c r="J163" s="10">
        <f>IFERROR(MIN(IF(C163:H163&lt;&gt;"",C163:H163)),"")</f>
        <v/>
      </c>
      <c r="K163" s="10">
        <f>IFERROR(MATCH(I163,C163:H163,0),"")</f>
        <v/>
      </c>
      <c r="L163" s="10">
        <f>IF(OR(I163="",J163=""),"",ROUND((I163-J163)/I163*100,1))</f>
        <v/>
      </c>
      <c r="M163" s="10">
        <f>IF(L163="","",IF(L163&gt;=10,"是","否"))</f>
        <v/>
      </c>
      <c r="N163" s="10">
        <f>IF(J163="","",IF(J163&lt;0.15,"是","否"))</f>
        <v/>
      </c>
      <c r="O163" s="10">
        <f>IF(I163="","",IF(J163&lt;0.15,"SAFETY_STOP",IF(L163&gt;=10,"VL_THRESHOLD","PLANNED_END")))</f>
        <v/>
      </c>
      <c r="P163" s="10">
        <f>IF(I163="","",IF(I163&gt;($D$2+0.05),"+5kg",IF(I163&gt;($D$2+0.02),"+2.5kg",IF(I163&gt;=($D$2-0.05),"保持",IF(I163&gt;=($D$2-0.08),"-2.5kg","-5kg")))))</f>
        <v/>
      </c>
      <c r="Q163" s="9" t="n"/>
      <c r="R163" s="12" t="n"/>
      <c r="S163" s="12" t="n"/>
      <c r="T163" s="12" t="n"/>
    </row>
    <row r="164">
      <c r="A164" s="12" t="n">
        <v>2</v>
      </c>
      <c r="B164" s="9" t="n"/>
      <c r="C164" s="9" t="n"/>
      <c r="D164" s="9" t="n"/>
      <c r="E164" s="9" t="n"/>
      <c r="F164" s="9" t="n"/>
      <c r="G164" s="9" t="n"/>
      <c r="H164" s="9" t="n"/>
      <c r="I164" s="10">
        <f>IFERROR(INDEX(C164:H164,MATCH(TRUE,INDEX(C164:H164&lt;&gt;"",0),0)),"")</f>
        <v/>
      </c>
      <c r="J164" s="10">
        <f>IFERROR(MIN(IF(C164:H164&lt;&gt;"",C164:H164)),"")</f>
        <v/>
      </c>
      <c r="K164" s="10">
        <f>IFERROR(MATCH(I164,C164:H164,0),"")</f>
        <v/>
      </c>
      <c r="L164" s="10">
        <f>IF(OR(I164="",J164=""),"",ROUND((I164-J164)/I164*100,1))</f>
        <v/>
      </c>
      <c r="M164" s="10">
        <f>IF(L164="","",IF(L164&gt;=10,"是","否"))</f>
        <v/>
      </c>
      <c r="N164" s="10">
        <f>IF(J164="","",IF(J164&lt;0.15,"是","否"))</f>
        <v/>
      </c>
      <c r="O164" s="10">
        <f>IF(I164="","",IF(J164&lt;0.15,"SAFETY_STOP",IF(L164&gt;=10,"VL_THRESHOLD","PLANNED_END")))</f>
        <v/>
      </c>
      <c r="P164" s="10">
        <f>IF(I164="","",IF(I164&gt;($D$2+0.05),"+5kg",IF(I164&gt;($D$2+0.02),"+2.5kg",IF(I164&gt;=($D$2-0.05),"保持",IF(I164&gt;=($D$2-0.08),"-2.5kg","-5kg")))))</f>
        <v/>
      </c>
      <c r="Q164" s="9" t="n"/>
      <c r="R164" s="12" t="n"/>
      <c r="S164" s="12" t="n"/>
      <c r="T164" s="12" t="n"/>
    </row>
    <row r="165">
      <c r="A165" s="12" t="n">
        <v>3</v>
      </c>
      <c r="B165" s="9" t="n"/>
      <c r="C165" s="9" t="n"/>
      <c r="D165" s="9" t="n"/>
      <c r="E165" s="9" t="n"/>
      <c r="F165" s="9" t="n"/>
      <c r="G165" s="9" t="n"/>
      <c r="H165" s="9" t="n"/>
      <c r="I165" s="10">
        <f>IFERROR(INDEX(C165:H165,MATCH(TRUE,INDEX(C165:H165&lt;&gt;"",0),0)),"")</f>
        <v/>
      </c>
      <c r="J165" s="10">
        <f>IFERROR(MIN(IF(C165:H165&lt;&gt;"",C165:H165)),"")</f>
        <v/>
      </c>
      <c r="K165" s="10">
        <f>IFERROR(MATCH(I165,C165:H165,0),"")</f>
        <v/>
      </c>
      <c r="L165" s="10">
        <f>IF(OR(I165="",J165=""),"",ROUND((I165-J165)/I165*100,1))</f>
        <v/>
      </c>
      <c r="M165" s="10">
        <f>IF(L165="","",IF(L165&gt;=10,"是","否"))</f>
        <v/>
      </c>
      <c r="N165" s="10">
        <f>IF(J165="","",IF(J165&lt;0.15,"是","否"))</f>
        <v/>
      </c>
      <c r="O165" s="10">
        <f>IF(I165="","",IF(J165&lt;0.15,"SAFETY_STOP",IF(L165&gt;=10,"VL_THRESHOLD","PLANNED_END")))</f>
        <v/>
      </c>
      <c r="P165" s="10">
        <f>IF(I165="","",IF(I165&gt;($D$2+0.05),"+5kg",IF(I165&gt;($D$2+0.02),"+2.5kg",IF(I165&gt;=($D$2-0.05),"保持",IF(I165&gt;=($D$2-0.08),"-2.5kg","-5kg")))))</f>
        <v/>
      </c>
      <c r="Q165" s="9" t="n"/>
      <c r="R165" s="12" t="n"/>
      <c r="S165" s="12" t="n"/>
      <c r="T165" s="12" t="n"/>
    </row>
    <row r="166">
      <c r="A166" s="12" t="n">
        <v>4</v>
      </c>
      <c r="B166" s="9" t="n"/>
      <c r="C166" s="9" t="n"/>
      <c r="D166" s="9" t="n"/>
      <c r="E166" s="9" t="n"/>
      <c r="F166" s="9" t="n"/>
      <c r="G166" s="9" t="n"/>
      <c r="H166" s="9" t="n"/>
      <c r="I166" s="10">
        <f>IFERROR(INDEX(C166:H166,MATCH(TRUE,INDEX(C166:H166&lt;&gt;"",0),0)),"")</f>
        <v/>
      </c>
      <c r="J166" s="10">
        <f>IFERROR(MIN(IF(C166:H166&lt;&gt;"",C166:H166)),"")</f>
        <v/>
      </c>
      <c r="K166" s="10">
        <f>IFERROR(MATCH(I166,C166:H166,0),"")</f>
        <v/>
      </c>
      <c r="L166" s="10">
        <f>IF(OR(I166="",J166=""),"",ROUND((I166-J166)/I166*100,1))</f>
        <v/>
      </c>
      <c r="M166" s="10">
        <f>IF(L166="","",IF(L166&gt;=10,"是","否"))</f>
        <v/>
      </c>
      <c r="N166" s="10">
        <f>IF(J166="","",IF(J166&lt;0.15,"是","否"))</f>
        <v/>
      </c>
      <c r="O166" s="10">
        <f>IF(I166="","",IF(J166&lt;0.15,"SAFETY_STOP",IF(L166&gt;=10,"VL_THRESHOLD","PLANNED_END")))</f>
        <v/>
      </c>
      <c r="P166" s="10">
        <f>IF(I166="","",IF(I166&gt;($D$2+0.05),"+5kg",IF(I166&gt;($D$2+0.02),"+2.5kg",IF(I166&gt;=($D$2-0.05),"保持",IF(I166&gt;=($D$2-0.08),"-2.5kg","-5kg")))))</f>
        <v/>
      </c>
      <c r="Q166" s="9" t="n"/>
      <c r="R166" s="12" t="n"/>
      <c r="S166" s="12" t="n"/>
      <c r="T166" s="12" t="n"/>
    </row>
    <row r="167">
      <c r="A167" s="12" t="n">
        <v>5</v>
      </c>
      <c r="B167" s="9" t="n"/>
      <c r="C167" s="9" t="n"/>
      <c r="D167" s="9" t="n"/>
      <c r="E167" s="9" t="n"/>
      <c r="F167" s="9" t="n"/>
      <c r="G167" s="9" t="n"/>
      <c r="H167" s="9" t="n"/>
      <c r="I167" s="10">
        <f>IFERROR(INDEX(C167:H167,MATCH(TRUE,INDEX(C167:H167&lt;&gt;"",0),0)),"")</f>
        <v/>
      </c>
      <c r="J167" s="10">
        <f>IFERROR(MIN(IF(C167:H167&lt;&gt;"",C167:H167)),"")</f>
        <v/>
      </c>
      <c r="K167" s="10">
        <f>IFERROR(MATCH(I167,C167:H167,0),"")</f>
        <v/>
      </c>
      <c r="L167" s="10">
        <f>IF(OR(I167="",J167=""),"",ROUND((I167-J167)/I167*100,1))</f>
        <v/>
      </c>
      <c r="M167" s="10">
        <f>IF(L167="","",IF(L167&gt;=10,"是","否"))</f>
        <v/>
      </c>
      <c r="N167" s="10">
        <f>IF(J167="","",IF(J167&lt;0.15,"是","否"))</f>
        <v/>
      </c>
      <c r="O167" s="10">
        <f>IF(I167="","",IF(J167&lt;0.15,"SAFETY_STOP",IF(L167&gt;=10,"VL_THRESHOLD","PLANNED_END")))</f>
        <v/>
      </c>
      <c r="P167" s="10">
        <f>IF(I167="","",IF(I167&gt;($D$2+0.05),"+5kg",IF(I167&gt;($D$2+0.02),"+2.5kg",IF(I167&gt;=($D$2-0.05),"保持",IF(I167&gt;=($D$2-0.08),"-2.5kg","-5kg")))))</f>
        <v/>
      </c>
      <c r="Q167" s="9" t="n"/>
      <c r="R167" s="12" t="n"/>
      <c r="S167" s="12" t="n"/>
      <c r="T167" s="12" t="n"/>
    </row>
    <row r="168">
      <c r="A168" s="12" t="n">
        <v>6</v>
      </c>
      <c r="B168" s="9" t="n"/>
      <c r="C168" s="9" t="n"/>
      <c r="D168" s="9" t="n"/>
      <c r="E168" s="9" t="n"/>
      <c r="F168" s="9" t="n"/>
      <c r="G168" s="9" t="n"/>
      <c r="H168" s="9" t="n"/>
      <c r="I168" s="10">
        <f>IFERROR(INDEX(C168:H168,MATCH(TRUE,INDEX(C168:H168&lt;&gt;"",0),0)),"")</f>
        <v/>
      </c>
      <c r="J168" s="10">
        <f>IFERROR(MIN(IF(C168:H168&lt;&gt;"",C168:H168)),"")</f>
        <v/>
      </c>
      <c r="K168" s="10">
        <f>IFERROR(MATCH(I168,C168:H168,0),"")</f>
        <v/>
      </c>
      <c r="L168" s="10">
        <f>IF(OR(I168="",J168=""),"",ROUND((I168-J168)/I168*100,1))</f>
        <v/>
      </c>
      <c r="M168" s="10">
        <f>IF(L168="","",IF(L168&gt;=10,"是","否"))</f>
        <v/>
      </c>
      <c r="N168" s="10">
        <f>IF(J168="","",IF(J168&lt;0.15,"是","否"))</f>
        <v/>
      </c>
      <c r="O168" s="10">
        <f>IF(I168="","",IF(J168&lt;0.15,"SAFETY_STOP",IF(L168&gt;=10,"VL_THRESHOLD","PLANNED_END")))</f>
        <v/>
      </c>
      <c r="P168" s="10">
        <f>IF(I168="","",IF(I168&gt;($D$2+0.05),"+5kg",IF(I168&gt;($D$2+0.02),"+2.5kg",IF(I168&gt;=($D$2-0.05),"保持",IF(I168&gt;=($D$2-0.08),"-2.5kg","-5kg")))))</f>
        <v/>
      </c>
      <c r="Q168" s="9" t="n"/>
      <c r="R168" s="12" t="n"/>
      <c r="S168" s="12" t="n"/>
      <c r="T168" s="12" t="n"/>
    </row>
    <row r="169">
      <c r="A169" s="8" t="inlineStr">
        <is>
          <t>辅助动作</t>
        </is>
      </c>
      <c r="B169" s="8" t="inlineStr">
        <is>
          <t>动作名称</t>
        </is>
      </c>
      <c r="C169" s="8" t="inlineStr">
        <is>
          <t>负荷kg</t>
        </is>
      </c>
      <c r="D169" s="8" t="inlineStr">
        <is>
          <t>完成(组×次)</t>
        </is>
      </c>
    </row>
    <row r="170">
      <c r="A170" s="9" t="inlineStr"/>
      <c r="B170" s="9" t="n"/>
      <c r="C170" s="9" t="n"/>
      <c r="D170" s="9" t="n"/>
    </row>
    <row r="171">
      <c r="A171" s="8" t="inlineStr">
        <is>
          <t>训练后</t>
        </is>
      </c>
      <c r="B171" s="8" t="inlineStr">
        <is>
          <t>开始时间</t>
        </is>
      </c>
      <c r="C171" s="8" t="inlineStr">
        <is>
          <t>结束时间</t>
        </is>
      </c>
      <c r="D171" s="8" t="inlineStr">
        <is>
          <t>总时长min</t>
        </is>
      </c>
      <c r="E171" s="8" t="inlineStr">
        <is>
          <t>sRPE</t>
        </is>
      </c>
      <c r="F171" s="8" t="inlineStr">
        <is>
          <t>session_load</t>
        </is>
      </c>
      <c r="G171" s="8" t="inlineStr">
        <is>
          <t>有无不适</t>
        </is>
      </c>
      <c r="H171" s="8" t="inlineStr">
        <is>
          <t>备注</t>
        </is>
      </c>
      <c r="I171" s="8" t="inlineStr">
        <is>
          <t>研究员签名</t>
        </is>
      </c>
    </row>
    <row r="172">
      <c r="A172" s="13" t="inlineStr"/>
      <c r="B172" s="13" t="n"/>
      <c r="C172" s="13" t="n"/>
      <c r="D172" s="10">
        <f>IF(OR(B172="",C172=""),"",(C172-B172)*1440)</f>
        <v/>
      </c>
      <c r="E172" s="13" t="n"/>
      <c r="F172" s="10">
        <f>IF(OR(D172="",E172=""),"",D172*E172)</f>
        <v/>
      </c>
      <c r="G172" s="13" t="n"/>
      <c r="H172" s="13" t="n"/>
      <c r="I172" s="13" t="n"/>
    </row>
    <row r="174">
      <c r="A174" s="5" t="inlineStr">
        <is>
          <t>── P010 张锦荣 ──────────────────────────────────────────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" t="n"/>
    </row>
    <row r="175">
      <c r="A175" s="8" t="inlineStr">
        <is>
          <t>编号</t>
        </is>
      </c>
      <c r="B175" s="8" t="inlineStr">
        <is>
          <t>姓名</t>
        </is>
      </c>
      <c r="C175" s="8" t="inlineStr">
        <is>
          <t>身高</t>
        </is>
      </c>
      <c r="D175" s="8" t="inlineStr">
        <is>
          <t>1RM</t>
        </is>
      </c>
      <c r="E175" s="8" t="inlineStr">
        <is>
          <t>睡眠</t>
        </is>
      </c>
      <c r="F175" s="8" t="inlineStr">
        <is>
          <t>压力</t>
        </is>
      </c>
      <c r="G175" s="8" t="inlineStr">
        <is>
          <t>疲劳</t>
        </is>
      </c>
      <c r="H175" s="8" t="inlineStr">
        <is>
          <t>酸痛</t>
        </is>
      </c>
      <c r="I175" s="8" t="inlineStr">
        <is>
          <t>Hooper总</t>
        </is>
      </c>
      <c r="J175" s="8" t="inlineStr">
        <is>
          <t>CMJ1</t>
        </is>
      </c>
      <c r="K175" s="8" t="inlineStr">
        <is>
          <t>CMJ2</t>
        </is>
      </c>
      <c r="L175" s="8" t="inlineStr">
        <is>
          <t>CMJ3</t>
        </is>
      </c>
      <c r="M175" s="8" t="inlineStr">
        <is>
          <t>CMJ均值</t>
        </is>
      </c>
      <c r="N175" s="8" t="inlineStr">
        <is>
          <t>&lt;95%?</t>
        </is>
      </c>
      <c r="O175" s="8" t="inlineStr">
        <is>
          <t>减组?</t>
        </is>
      </c>
      <c r="P175" s="8" t="inlineStr">
        <is>
          <t>实做组数</t>
        </is>
      </c>
      <c r="Q175" s="8" t="inlineStr">
        <is>
          <t>LVP_a</t>
        </is>
      </c>
      <c r="R175" s="8" t="inlineStr">
        <is>
          <t>LVP_b</t>
        </is>
      </c>
      <c r="S175" s="8" t="inlineStr">
        <is>
          <t>等级</t>
        </is>
      </c>
      <c r="T175" s="8" t="inlineStr">
        <is>
          <t>预测起始</t>
        </is>
      </c>
    </row>
    <row r="176">
      <c r="A176" s="9" t="inlineStr">
        <is>
          <t>P010</t>
        </is>
      </c>
      <c r="B176" s="9" t="inlineStr">
        <is>
          <t>张锦荣</t>
        </is>
      </c>
      <c r="C176" s="9" t="n">
        <v>174</v>
      </c>
      <c r="D176" s="9" t="n">
        <v>120</v>
      </c>
      <c r="E176" s="9" t="n"/>
      <c r="F176" s="9" t="n"/>
      <c r="G176" s="9" t="n"/>
      <c r="H176" s="9" t="n"/>
      <c r="I176" s="10">
        <f>IFERROR(SUM(E176:H176),"")</f>
        <v/>
      </c>
      <c r="J176" s="9" t="n"/>
      <c r="K176" s="9" t="n"/>
      <c r="L176" s="9" t="n"/>
      <c r="M176" s="10">
        <f>IFERROR(AVERAGE(J176:L176),"")</f>
        <v/>
      </c>
      <c r="N176" s="10">
        <f>IF(M176="","",IF(M176&lt;50.42,"是⚠","否"))</f>
        <v/>
      </c>
      <c r="O176" s="10">
        <f>IF(M176="","",IF(M176&lt;50.42,"减1组","正常"))</f>
        <v/>
      </c>
      <c r="P176" s="10">
        <f>IF(M176="","",IF(M176&lt;50.42,3-1,3))</f>
        <v/>
      </c>
      <c r="Q176" s="9" t="n">
        <v>1.26</v>
      </c>
      <c r="R176" s="9" t="n">
        <v>-0.006</v>
      </c>
      <c r="S176" s="9" t="inlineStr">
        <is>
          <t>B</t>
        </is>
      </c>
      <c r="T176" s="10">
        <f>IFERROR(ROUND((0.75-1.26)/-0.006,0.5),"")</f>
        <v/>
      </c>
    </row>
    <row r="177">
      <c r="A177" s="8" t="inlineStr">
        <is>
          <t>热身校准</t>
        </is>
      </c>
      <c r="B177" s="8" t="inlineStr">
        <is>
          <t>LVP_a</t>
        </is>
      </c>
      <c r="C177" s="8" t="inlineStr">
        <is>
          <t>LVP_b</t>
        </is>
      </c>
      <c r="D177" s="8" t="inlineStr">
        <is>
          <t>50%热身kg</t>
        </is>
      </c>
      <c r="E177" s="8" t="inlineStr">
        <is>
          <t>70%热身kg</t>
        </is>
      </c>
      <c r="F177" s="8" t="inlineStr">
        <is>
          <t>热身负荷kg</t>
        </is>
      </c>
      <c r="G177" s="8" t="inlineStr">
        <is>
          <t>实测MCV</t>
        </is>
      </c>
      <c r="H177" s="8" t="inlineStr">
        <is>
          <t>预测MCV</t>
        </is>
      </c>
      <c r="I177" s="8" t="inlineStr">
        <is>
          <t>Δv</t>
        </is>
      </c>
      <c r="J177" s="8" t="inlineStr">
        <is>
          <t>调整量kg</t>
        </is>
      </c>
      <c r="K177" s="8" t="inlineStr">
        <is>
          <t>校准后第1组kg</t>
        </is>
      </c>
    </row>
    <row r="178">
      <c r="A178" s="11" t="inlineStr"/>
      <c r="B178" s="11" t="n">
        <v>1.26</v>
      </c>
      <c r="C178" s="11" t="n">
        <v>-0.006</v>
      </c>
      <c r="D178" s="10">
        <f>IFERROR(ROUND(T176*0.5,2.5),"")</f>
        <v/>
      </c>
      <c r="E178" s="10">
        <f>IFERROR(ROUND(T176*0.7,2.5),"")</f>
        <v/>
      </c>
      <c r="F178" s="10">
        <f>D178</f>
        <v/>
      </c>
      <c r="G178" s="9" t="n"/>
      <c r="H178" s="10">
        <f>IF(F178="","",B178+C178*F178)</f>
        <v/>
      </c>
      <c r="I178" s="10">
        <f>IF(OR(G178="",H178=""),"",G178-H178)</f>
        <v/>
      </c>
      <c r="J178" s="10">
        <f>IF(I178="","",IF(I178&gt;0.08,5,IF(I178&gt;0.04,2.5,IF(I178&gt;=-0.04,0,IF(I178&gt;=-0.08,-2.5,-5)))))</f>
        <v/>
      </c>
      <c r="K178" s="10">
        <f>IFERROR(ROUND(T176+J178,2.5),"")</f>
        <v/>
      </c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</row>
    <row r="179">
      <c r="A179" s="8" t="inlineStr">
        <is>
          <t>组次</t>
        </is>
      </c>
      <c r="B179" s="8" t="inlineStr">
        <is>
          <t>负荷kg</t>
        </is>
      </c>
      <c r="C179" s="8" t="inlineStr">
        <is>
          <t>rep1</t>
        </is>
      </c>
      <c r="D179" s="8" t="inlineStr">
        <is>
          <t>rep2</t>
        </is>
      </c>
      <c r="E179" s="8" t="inlineStr">
        <is>
          <t>rep3</t>
        </is>
      </c>
      <c r="F179" s="8" t="inlineStr">
        <is>
          <t>rep4</t>
        </is>
      </c>
      <c r="G179" s="8" t="inlineStr">
        <is>
          <t>rep5</t>
        </is>
      </c>
      <c r="H179" s="8" t="inlineStr">
        <is>
          <t>rep6</t>
        </is>
      </c>
      <c r="I179" s="8" t="inlineStr">
        <is>
          <t>首rep</t>
        </is>
      </c>
      <c r="J179" s="8" t="inlineStr">
        <is>
          <t>最低速</t>
        </is>
      </c>
      <c r="K179" s="8" t="inlineStr">
        <is>
          <t>最低rep#</t>
        </is>
      </c>
      <c r="L179" s="8" t="inlineStr">
        <is>
          <t>VL%</t>
        </is>
      </c>
      <c r="M179" s="8" t="inlineStr">
        <is>
          <t>VL达标?</t>
        </is>
      </c>
      <c r="N179" s="8" t="inlineStr">
        <is>
          <t>安全停止?</t>
        </is>
      </c>
      <c r="O179" s="8" t="inlineStr">
        <is>
          <t>停组原因</t>
        </is>
      </c>
      <c r="P179" s="8" t="inlineStr">
        <is>
          <t>下组建议</t>
        </is>
      </c>
      <c r="Q179" s="8" t="inlineStr">
        <is>
          <t>实做次数</t>
        </is>
      </c>
    </row>
    <row r="180">
      <c r="A180" s="12" t="n">
        <v>1</v>
      </c>
      <c r="B180" s="10">
        <f>IF(K178="","",K178)</f>
        <v/>
      </c>
      <c r="C180" s="9" t="n"/>
      <c r="D180" s="9" t="n"/>
      <c r="E180" s="9" t="n"/>
      <c r="F180" s="9" t="n"/>
      <c r="G180" s="9" t="n"/>
      <c r="H180" s="9" t="n"/>
      <c r="I180" s="10">
        <f>IFERROR(INDEX(C180:H180,MATCH(TRUE,INDEX(C180:H180&lt;&gt;"",0),0)),"")</f>
        <v/>
      </c>
      <c r="J180" s="10">
        <f>IFERROR(MIN(IF(C180:H180&lt;&gt;"",C180:H180)),"")</f>
        <v/>
      </c>
      <c r="K180" s="10">
        <f>IFERROR(MATCH(I180,C180:H180,0),"")</f>
        <v/>
      </c>
      <c r="L180" s="10">
        <f>IF(OR(I180="",J180=""),"",ROUND((I180-J180)/I180*100,1))</f>
        <v/>
      </c>
      <c r="M180" s="10">
        <f>IF(L180="","",IF(L180&gt;=10,"是","否"))</f>
        <v/>
      </c>
      <c r="N180" s="10">
        <f>IF(J180="","",IF(J180&lt;0.15,"是","否"))</f>
        <v/>
      </c>
      <c r="O180" s="10">
        <f>IF(I180="","",IF(J180&lt;0.15,"SAFETY_STOP",IF(L180&gt;=10,"VL_THRESHOLD","PLANNED_END")))</f>
        <v/>
      </c>
      <c r="P180" s="10">
        <f>IF(I180="","",IF(I180&gt;($D$2+0.05),"+5kg",IF(I180&gt;($D$2+0.02),"+2.5kg",IF(I180&gt;=($D$2-0.05),"保持",IF(I180&gt;=($D$2-0.08),"-2.5kg","-5kg")))))</f>
        <v/>
      </c>
      <c r="Q180" s="9" t="n"/>
      <c r="R180" s="12" t="n"/>
      <c r="S180" s="12" t="n"/>
      <c r="T180" s="12" t="n"/>
    </row>
    <row r="181">
      <c r="A181" s="12" t="n">
        <v>2</v>
      </c>
      <c r="B181" s="9" t="n"/>
      <c r="C181" s="9" t="n"/>
      <c r="D181" s="9" t="n"/>
      <c r="E181" s="9" t="n"/>
      <c r="F181" s="9" t="n"/>
      <c r="G181" s="9" t="n"/>
      <c r="H181" s="9" t="n"/>
      <c r="I181" s="10">
        <f>IFERROR(INDEX(C181:H181,MATCH(TRUE,INDEX(C181:H181&lt;&gt;"",0),0)),"")</f>
        <v/>
      </c>
      <c r="J181" s="10">
        <f>IFERROR(MIN(IF(C181:H181&lt;&gt;"",C181:H181)),"")</f>
        <v/>
      </c>
      <c r="K181" s="10">
        <f>IFERROR(MATCH(I181,C181:H181,0),"")</f>
        <v/>
      </c>
      <c r="L181" s="10">
        <f>IF(OR(I181="",J181=""),"",ROUND((I181-J181)/I181*100,1))</f>
        <v/>
      </c>
      <c r="M181" s="10">
        <f>IF(L181="","",IF(L181&gt;=10,"是","否"))</f>
        <v/>
      </c>
      <c r="N181" s="10">
        <f>IF(J181="","",IF(J181&lt;0.15,"是","否"))</f>
        <v/>
      </c>
      <c r="O181" s="10">
        <f>IF(I181="","",IF(J181&lt;0.15,"SAFETY_STOP",IF(L181&gt;=10,"VL_THRESHOLD","PLANNED_END")))</f>
        <v/>
      </c>
      <c r="P181" s="10">
        <f>IF(I181="","",IF(I181&gt;($D$2+0.05),"+5kg",IF(I181&gt;($D$2+0.02),"+2.5kg",IF(I181&gt;=($D$2-0.05),"保持",IF(I181&gt;=($D$2-0.08),"-2.5kg","-5kg")))))</f>
        <v/>
      </c>
      <c r="Q181" s="9" t="n"/>
      <c r="R181" s="12" t="n"/>
      <c r="S181" s="12" t="n"/>
      <c r="T181" s="12" t="n"/>
    </row>
    <row r="182">
      <c r="A182" s="12" t="n">
        <v>3</v>
      </c>
      <c r="B182" s="9" t="n"/>
      <c r="C182" s="9" t="n"/>
      <c r="D182" s="9" t="n"/>
      <c r="E182" s="9" t="n"/>
      <c r="F182" s="9" t="n"/>
      <c r="G182" s="9" t="n"/>
      <c r="H182" s="9" t="n"/>
      <c r="I182" s="10">
        <f>IFERROR(INDEX(C182:H182,MATCH(TRUE,INDEX(C182:H182&lt;&gt;"",0),0)),"")</f>
        <v/>
      </c>
      <c r="J182" s="10">
        <f>IFERROR(MIN(IF(C182:H182&lt;&gt;"",C182:H182)),"")</f>
        <v/>
      </c>
      <c r="K182" s="10">
        <f>IFERROR(MATCH(I182,C182:H182,0),"")</f>
        <v/>
      </c>
      <c r="L182" s="10">
        <f>IF(OR(I182="",J182=""),"",ROUND((I182-J182)/I182*100,1))</f>
        <v/>
      </c>
      <c r="M182" s="10">
        <f>IF(L182="","",IF(L182&gt;=10,"是","否"))</f>
        <v/>
      </c>
      <c r="N182" s="10">
        <f>IF(J182="","",IF(J182&lt;0.15,"是","否"))</f>
        <v/>
      </c>
      <c r="O182" s="10">
        <f>IF(I182="","",IF(J182&lt;0.15,"SAFETY_STOP",IF(L182&gt;=10,"VL_THRESHOLD","PLANNED_END")))</f>
        <v/>
      </c>
      <c r="P182" s="10">
        <f>IF(I182="","",IF(I182&gt;($D$2+0.05),"+5kg",IF(I182&gt;($D$2+0.02),"+2.5kg",IF(I182&gt;=($D$2-0.05),"保持",IF(I182&gt;=($D$2-0.08),"-2.5kg","-5kg")))))</f>
        <v/>
      </c>
      <c r="Q182" s="9" t="n"/>
      <c r="R182" s="12" t="n"/>
      <c r="S182" s="12" t="n"/>
      <c r="T182" s="12" t="n"/>
    </row>
    <row r="183">
      <c r="A183" s="12" t="n">
        <v>4</v>
      </c>
      <c r="B183" s="9" t="n"/>
      <c r="C183" s="9" t="n"/>
      <c r="D183" s="9" t="n"/>
      <c r="E183" s="9" t="n"/>
      <c r="F183" s="9" t="n"/>
      <c r="G183" s="9" t="n"/>
      <c r="H183" s="9" t="n"/>
      <c r="I183" s="10">
        <f>IFERROR(INDEX(C183:H183,MATCH(TRUE,INDEX(C183:H183&lt;&gt;"",0),0)),"")</f>
        <v/>
      </c>
      <c r="J183" s="10">
        <f>IFERROR(MIN(IF(C183:H183&lt;&gt;"",C183:H183)),"")</f>
        <v/>
      </c>
      <c r="K183" s="10">
        <f>IFERROR(MATCH(I183,C183:H183,0),"")</f>
        <v/>
      </c>
      <c r="L183" s="10">
        <f>IF(OR(I183="",J183=""),"",ROUND((I183-J183)/I183*100,1))</f>
        <v/>
      </c>
      <c r="M183" s="10">
        <f>IF(L183="","",IF(L183&gt;=10,"是","否"))</f>
        <v/>
      </c>
      <c r="N183" s="10">
        <f>IF(J183="","",IF(J183&lt;0.15,"是","否"))</f>
        <v/>
      </c>
      <c r="O183" s="10">
        <f>IF(I183="","",IF(J183&lt;0.15,"SAFETY_STOP",IF(L183&gt;=10,"VL_THRESHOLD","PLANNED_END")))</f>
        <v/>
      </c>
      <c r="P183" s="10">
        <f>IF(I183="","",IF(I183&gt;($D$2+0.05),"+5kg",IF(I183&gt;($D$2+0.02),"+2.5kg",IF(I183&gt;=($D$2-0.05),"保持",IF(I183&gt;=($D$2-0.08),"-2.5kg","-5kg")))))</f>
        <v/>
      </c>
      <c r="Q183" s="9" t="n"/>
      <c r="R183" s="12" t="n"/>
      <c r="S183" s="12" t="n"/>
      <c r="T183" s="12" t="n"/>
    </row>
    <row r="184">
      <c r="A184" s="12" t="n">
        <v>5</v>
      </c>
      <c r="B184" s="9" t="n"/>
      <c r="C184" s="9" t="n"/>
      <c r="D184" s="9" t="n"/>
      <c r="E184" s="9" t="n"/>
      <c r="F184" s="9" t="n"/>
      <c r="G184" s="9" t="n"/>
      <c r="H184" s="9" t="n"/>
      <c r="I184" s="10">
        <f>IFERROR(INDEX(C184:H184,MATCH(TRUE,INDEX(C184:H184&lt;&gt;"",0),0)),"")</f>
        <v/>
      </c>
      <c r="J184" s="10">
        <f>IFERROR(MIN(IF(C184:H184&lt;&gt;"",C184:H184)),"")</f>
        <v/>
      </c>
      <c r="K184" s="10">
        <f>IFERROR(MATCH(I184,C184:H184,0),"")</f>
        <v/>
      </c>
      <c r="L184" s="10">
        <f>IF(OR(I184="",J184=""),"",ROUND((I184-J184)/I184*100,1))</f>
        <v/>
      </c>
      <c r="M184" s="10">
        <f>IF(L184="","",IF(L184&gt;=10,"是","否"))</f>
        <v/>
      </c>
      <c r="N184" s="10">
        <f>IF(J184="","",IF(J184&lt;0.15,"是","否"))</f>
        <v/>
      </c>
      <c r="O184" s="10">
        <f>IF(I184="","",IF(J184&lt;0.15,"SAFETY_STOP",IF(L184&gt;=10,"VL_THRESHOLD","PLANNED_END")))</f>
        <v/>
      </c>
      <c r="P184" s="10">
        <f>IF(I184="","",IF(I184&gt;($D$2+0.05),"+5kg",IF(I184&gt;($D$2+0.02),"+2.5kg",IF(I184&gt;=($D$2-0.05),"保持",IF(I184&gt;=($D$2-0.08),"-2.5kg","-5kg")))))</f>
        <v/>
      </c>
      <c r="Q184" s="9" t="n"/>
      <c r="R184" s="12" t="n"/>
      <c r="S184" s="12" t="n"/>
      <c r="T184" s="12" t="n"/>
    </row>
    <row r="185">
      <c r="A185" s="12" t="n">
        <v>6</v>
      </c>
      <c r="B185" s="9" t="n"/>
      <c r="C185" s="9" t="n"/>
      <c r="D185" s="9" t="n"/>
      <c r="E185" s="9" t="n"/>
      <c r="F185" s="9" t="n"/>
      <c r="G185" s="9" t="n"/>
      <c r="H185" s="9" t="n"/>
      <c r="I185" s="10">
        <f>IFERROR(INDEX(C185:H185,MATCH(TRUE,INDEX(C185:H185&lt;&gt;"",0),0)),"")</f>
        <v/>
      </c>
      <c r="J185" s="10">
        <f>IFERROR(MIN(IF(C185:H185&lt;&gt;"",C185:H185)),"")</f>
        <v/>
      </c>
      <c r="K185" s="10">
        <f>IFERROR(MATCH(I185,C185:H185,0),"")</f>
        <v/>
      </c>
      <c r="L185" s="10">
        <f>IF(OR(I185="",J185=""),"",ROUND((I185-J185)/I185*100,1))</f>
        <v/>
      </c>
      <c r="M185" s="10">
        <f>IF(L185="","",IF(L185&gt;=10,"是","否"))</f>
        <v/>
      </c>
      <c r="N185" s="10">
        <f>IF(J185="","",IF(J185&lt;0.15,"是","否"))</f>
        <v/>
      </c>
      <c r="O185" s="10">
        <f>IF(I185="","",IF(J185&lt;0.15,"SAFETY_STOP",IF(L185&gt;=10,"VL_THRESHOLD","PLANNED_END")))</f>
        <v/>
      </c>
      <c r="P185" s="10">
        <f>IF(I185="","",IF(I185&gt;($D$2+0.05),"+5kg",IF(I185&gt;($D$2+0.02),"+2.5kg",IF(I185&gt;=($D$2-0.05),"保持",IF(I185&gt;=($D$2-0.08),"-2.5kg","-5kg")))))</f>
        <v/>
      </c>
      <c r="Q185" s="9" t="n"/>
      <c r="R185" s="12" t="n"/>
      <c r="S185" s="12" t="n"/>
      <c r="T185" s="12" t="n"/>
    </row>
    <row r="186">
      <c r="A186" s="8" t="inlineStr">
        <is>
          <t>辅助动作</t>
        </is>
      </c>
      <c r="B186" s="8" t="inlineStr">
        <is>
          <t>动作名称</t>
        </is>
      </c>
      <c r="C186" s="8" t="inlineStr">
        <is>
          <t>负荷kg</t>
        </is>
      </c>
      <c r="D186" s="8" t="inlineStr">
        <is>
          <t>完成(组×次)</t>
        </is>
      </c>
    </row>
    <row r="187">
      <c r="A187" s="9" t="inlineStr"/>
      <c r="B187" s="9" t="n"/>
      <c r="C187" s="9" t="n"/>
      <c r="D187" s="9" t="n"/>
    </row>
    <row r="188">
      <c r="A188" s="8" t="inlineStr">
        <is>
          <t>训练后</t>
        </is>
      </c>
      <c r="B188" s="8" t="inlineStr">
        <is>
          <t>开始时间</t>
        </is>
      </c>
      <c r="C188" s="8" t="inlineStr">
        <is>
          <t>结束时间</t>
        </is>
      </c>
      <c r="D188" s="8" t="inlineStr">
        <is>
          <t>总时长min</t>
        </is>
      </c>
      <c r="E188" s="8" t="inlineStr">
        <is>
          <t>sRPE</t>
        </is>
      </c>
      <c r="F188" s="8" t="inlineStr">
        <is>
          <t>session_load</t>
        </is>
      </c>
      <c r="G188" s="8" t="inlineStr">
        <is>
          <t>有无不适</t>
        </is>
      </c>
      <c r="H188" s="8" t="inlineStr">
        <is>
          <t>备注</t>
        </is>
      </c>
      <c r="I188" s="8" t="inlineStr">
        <is>
          <t>研究员签名</t>
        </is>
      </c>
    </row>
    <row r="189">
      <c r="A189" s="13" t="inlineStr"/>
      <c r="B189" s="13" t="n"/>
      <c r="C189" s="13" t="n"/>
      <c r="D189" s="10">
        <f>IF(OR(B189="",C189=""),"",(C189-B189)*1440)</f>
        <v/>
      </c>
      <c r="E189" s="13" t="n"/>
      <c r="F189" s="10">
        <f>IF(OR(D189="",E189=""),"",D189*E189)</f>
        <v/>
      </c>
      <c r="G189" s="13" t="n"/>
      <c r="H189" s="13" t="n"/>
      <c r="I189" s="13" t="n"/>
    </row>
    <row r="191">
      <c r="A191" s="5" t="inlineStr">
        <is>
          <t>── P009 王宏池 ──────────────────────────────────────────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7" t="n"/>
    </row>
    <row r="192">
      <c r="A192" s="8" t="inlineStr">
        <is>
          <t>编号</t>
        </is>
      </c>
      <c r="B192" s="8" t="inlineStr">
        <is>
          <t>姓名</t>
        </is>
      </c>
      <c r="C192" s="8" t="inlineStr">
        <is>
          <t>身高</t>
        </is>
      </c>
      <c r="D192" s="8" t="inlineStr">
        <is>
          <t>1RM</t>
        </is>
      </c>
      <c r="E192" s="8" t="inlineStr">
        <is>
          <t>睡眠</t>
        </is>
      </c>
      <c r="F192" s="8" t="inlineStr">
        <is>
          <t>压力</t>
        </is>
      </c>
      <c r="G192" s="8" t="inlineStr">
        <is>
          <t>疲劳</t>
        </is>
      </c>
      <c r="H192" s="8" t="inlineStr">
        <is>
          <t>酸痛</t>
        </is>
      </c>
      <c r="I192" s="8" t="inlineStr">
        <is>
          <t>Hooper总</t>
        </is>
      </c>
      <c r="J192" s="8" t="inlineStr">
        <is>
          <t>CMJ1</t>
        </is>
      </c>
      <c r="K192" s="8" t="inlineStr">
        <is>
          <t>CMJ2</t>
        </is>
      </c>
      <c r="L192" s="8" t="inlineStr">
        <is>
          <t>CMJ3</t>
        </is>
      </c>
      <c r="M192" s="8" t="inlineStr">
        <is>
          <t>CMJ均值</t>
        </is>
      </c>
      <c r="N192" s="8" t="inlineStr">
        <is>
          <t>&lt;95%?</t>
        </is>
      </c>
      <c r="O192" s="8" t="inlineStr">
        <is>
          <t>减组?</t>
        </is>
      </c>
      <c r="P192" s="8" t="inlineStr">
        <is>
          <t>实做组数</t>
        </is>
      </c>
      <c r="Q192" s="8" t="inlineStr">
        <is>
          <t>LVP_a</t>
        </is>
      </c>
      <c r="R192" s="8" t="inlineStr">
        <is>
          <t>LVP_b</t>
        </is>
      </c>
      <c r="S192" s="8" t="inlineStr">
        <is>
          <t>等级</t>
        </is>
      </c>
      <c r="T192" s="8" t="inlineStr">
        <is>
          <t>预测起始</t>
        </is>
      </c>
    </row>
    <row r="193">
      <c r="A193" s="9" t="inlineStr">
        <is>
          <t>P009</t>
        </is>
      </c>
      <c r="B193" s="9" t="inlineStr">
        <is>
          <t>王宏池</t>
        </is>
      </c>
      <c r="C193" s="9" t="n">
        <v>185</v>
      </c>
      <c r="D193" s="9" t="n">
        <v>135</v>
      </c>
      <c r="E193" s="9" t="n"/>
      <c r="F193" s="9" t="n"/>
      <c r="G193" s="9" t="n"/>
      <c r="H193" s="9" t="n"/>
      <c r="I193" s="10">
        <f>IFERROR(SUM(E193:H193),"")</f>
        <v/>
      </c>
      <c r="J193" s="9" t="n"/>
      <c r="K193" s="9" t="n"/>
      <c r="L193" s="9" t="n"/>
      <c r="M193" s="10">
        <f>IFERROR(AVERAGE(J193:L193),"")</f>
        <v/>
      </c>
      <c r="N193" s="10">
        <f>IF(M193="","",IF(M193&lt;54.27,"是⚠","否"))</f>
        <v/>
      </c>
      <c r="O193" s="10">
        <f>IF(M193="","",IF(M193&lt;54.27,"减1组","正常"))</f>
        <v/>
      </c>
      <c r="P193" s="10">
        <f>IF(M193="","",IF(M193&lt;54.27,3-1,3))</f>
        <v/>
      </c>
      <c r="Q193" s="9" t="n">
        <v>1.5667</v>
      </c>
      <c r="R193" s="9" t="n">
        <v>-0.008500000000000001</v>
      </c>
      <c r="S193" s="9" t="inlineStr">
        <is>
          <t>B</t>
        </is>
      </c>
      <c r="T193" s="10">
        <f>IFERROR(ROUND((0.75-1.5667)/-0.0085,0.5),"")</f>
        <v/>
      </c>
    </row>
    <row r="194">
      <c r="A194" s="8" t="inlineStr">
        <is>
          <t>热身校准</t>
        </is>
      </c>
      <c r="B194" s="8" t="inlineStr">
        <is>
          <t>LVP_a</t>
        </is>
      </c>
      <c r="C194" s="8" t="inlineStr">
        <is>
          <t>LVP_b</t>
        </is>
      </c>
      <c r="D194" s="8" t="inlineStr">
        <is>
          <t>50%热身kg</t>
        </is>
      </c>
      <c r="E194" s="8" t="inlineStr">
        <is>
          <t>70%热身kg</t>
        </is>
      </c>
      <c r="F194" s="8" t="inlineStr">
        <is>
          <t>热身负荷kg</t>
        </is>
      </c>
      <c r="G194" s="8" t="inlineStr">
        <is>
          <t>实测MCV</t>
        </is>
      </c>
      <c r="H194" s="8" t="inlineStr">
        <is>
          <t>预测MCV</t>
        </is>
      </c>
      <c r="I194" s="8" t="inlineStr">
        <is>
          <t>Δv</t>
        </is>
      </c>
      <c r="J194" s="8" t="inlineStr">
        <is>
          <t>调整量kg</t>
        </is>
      </c>
      <c r="K194" s="8" t="inlineStr">
        <is>
          <t>校准后第1组kg</t>
        </is>
      </c>
    </row>
    <row r="195">
      <c r="A195" s="11" t="inlineStr"/>
      <c r="B195" s="11" t="n">
        <v>1.5667</v>
      </c>
      <c r="C195" s="11" t="n">
        <v>-0.008500000000000001</v>
      </c>
      <c r="D195" s="10">
        <f>IFERROR(ROUND(T193*0.5,2.5),"")</f>
        <v/>
      </c>
      <c r="E195" s="10">
        <f>IFERROR(ROUND(T193*0.7,2.5),"")</f>
        <v/>
      </c>
      <c r="F195" s="10">
        <f>D195</f>
        <v/>
      </c>
      <c r="G195" s="9" t="n"/>
      <c r="H195" s="10">
        <f>IF(F195="","",B195+C195*F195)</f>
        <v/>
      </c>
      <c r="I195" s="10">
        <f>IF(OR(G195="",H195=""),"",G195-H195)</f>
        <v/>
      </c>
      <c r="J195" s="10">
        <f>IF(I195="","",IF(I195&gt;0.08,5,IF(I195&gt;0.04,2.5,IF(I195&gt;=-0.04,0,IF(I195&gt;=-0.08,-2.5,-5)))))</f>
        <v/>
      </c>
      <c r="K195" s="10">
        <f>IFERROR(ROUND(T193+J195,2.5),"")</f>
        <v/>
      </c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</row>
    <row r="196">
      <c r="A196" s="8" t="inlineStr">
        <is>
          <t>组次</t>
        </is>
      </c>
      <c r="B196" s="8" t="inlineStr">
        <is>
          <t>负荷kg</t>
        </is>
      </c>
      <c r="C196" s="8" t="inlineStr">
        <is>
          <t>rep1</t>
        </is>
      </c>
      <c r="D196" s="8" t="inlineStr">
        <is>
          <t>rep2</t>
        </is>
      </c>
      <c r="E196" s="8" t="inlineStr">
        <is>
          <t>rep3</t>
        </is>
      </c>
      <c r="F196" s="8" t="inlineStr">
        <is>
          <t>rep4</t>
        </is>
      </c>
      <c r="G196" s="8" t="inlineStr">
        <is>
          <t>rep5</t>
        </is>
      </c>
      <c r="H196" s="8" t="inlineStr">
        <is>
          <t>rep6</t>
        </is>
      </c>
      <c r="I196" s="8" t="inlineStr">
        <is>
          <t>首rep</t>
        </is>
      </c>
      <c r="J196" s="8" t="inlineStr">
        <is>
          <t>最低速</t>
        </is>
      </c>
      <c r="K196" s="8" t="inlineStr">
        <is>
          <t>最低rep#</t>
        </is>
      </c>
      <c r="L196" s="8" t="inlineStr">
        <is>
          <t>VL%</t>
        </is>
      </c>
      <c r="M196" s="8" t="inlineStr">
        <is>
          <t>VL达标?</t>
        </is>
      </c>
      <c r="N196" s="8" t="inlineStr">
        <is>
          <t>安全停止?</t>
        </is>
      </c>
      <c r="O196" s="8" t="inlineStr">
        <is>
          <t>停组原因</t>
        </is>
      </c>
      <c r="P196" s="8" t="inlineStr">
        <is>
          <t>下组建议</t>
        </is>
      </c>
      <c r="Q196" s="8" t="inlineStr">
        <is>
          <t>实做次数</t>
        </is>
      </c>
    </row>
    <row r="197">
      <c r="A197" s="12" t="n">
        <v>1</v>
      </c>
      <c r="B197" s="10">
        <f>IF(K195="","",K195)</f>
        <v/>
      </c>
      <c r="C197" s="9" t="n"/>
      <c r="D197" s="9" t="n"/>
      <c r="E197" s="9" t="n"/>
      <c r="F197" s="9" t="n"/>
      <c r="G197" s="9" t="n"/>
      <c r="H197" s="9" t="n"/>
      <c r="I197" s="10">
        <f>IFERROR(INDEX(C197:H197,MATCH(TRUE,INDEX(C197:H197&lt;&gt;"",0),0)),"")</f>
        <v/>
      </c>
      <c r="J197" s="10">
        <f>IFERROR(MIN(IF(C197:H197&lt;&gt;"",C197:H197)),"")</f>
        <v/>
      </c>
      <c r="K197" s="10">
        <f>IFERROR(MATCH(I197,C197:H197,0),"")</f>
        <v/>
      </c>
      <c r="L197" s="10">
        <f>IF(OR(I197="",J197=""),"",ROUND((I197-J197)/I197*100,1))</f>
        <v/>
      </c>
      <c r="M197" s="10">
        <f>IF(L197="","",IF(L197&gt;=10,"是","否"))</f>
        <v/>
      </c>
      <c r="N197" s="10">
        <f>IF(J197="","",IF(J197&lt;0.15,"是","否"))</f>
        <v/>
      </c>
      <c r="O197" s="10">
        <f>IF(I197="","",IF(J197&lt;0.15,"SAFETY_STOP",IF(L197&gt;=10,"VL_THRESHOLD","PLANNED_END")))</f>
        <v/>
      </c>
      <c r="P197" s="10">
        <f>IF(I197="","",IF(I197&gt;($D$2+0.05),"+5kg",IF(I197&gt;($D$2+0.02),"+2.5kg",IF(I197&gt;=($D$2-0.05),"保持",IF(I197&gt;=($D$2-0.08),"-2.5kg","-5kg")))))</f>
        <v/>
      </c>
      <c r="Q197" s="9" t="n"/>
      <c r="R197" s="12" t="n"/>
      <c r="S197" s="12" t="n"/>
      <c r="T197" s="12" t="n"/>
    </row>
    <row r="198">
      <c r="A198" s="12" t="n">
        <v>2</v>
      </c>
      <c r="B198" s="9" t="n"/>
      <c r="C198" s="9" t="n"/>
      <c r="D198" s="9" t="n"/>
      <c r="E198" s="9" t="n"/>
      <c r="F198" s="9" t="n"/>
      <c r="G198" s="9" t="n"/>
      <c r="H198" s="9" t="n"/>
      <c r="I198" s="10">
        <f>IFERROR(INDEX(C198:H198,MATCH(TRUE,INDEX(C198:H198&lt;&gt;"",0),0)),"")</f>
        <v/>
      </c>
      <c r="J198" s="10">
        <f>IFERROR(MIN(IF(C198:H198&lt;&gt;"",C198:H198)),"")</f>
        <v/>
      </c>
      <c r="K198" s="10">
        <f>IFERROR(MATCH(I198,C198:H198,0),"")</f>
        <v/>
      </c>
      <c r="L198" s="10">
        <f>IF(OR(I198="",J198=""),"",ROUND((I198-J198)/I198*100,1))</f>
        <v/>
      </c>
      <c r="M198" s="10">
        <f>IF(L198="","",IF(L198&gt;=10,"是","否"))</f>
        <v/>
      </c>
      <c r="N198" s="10">
        <f>IF(J198="","",IF(J198&lt;0.15,"是","否"))</f>
        <v/>
      </c>
      <c r="O198" s="10">
        <f>IF(I198="","",IF(J198&lt;0.15,"SAFETY_STOP",IF(L198&gt;=10,"VL_THRESHOLD","PLANNED_END")))</f>
        <v/>
      </c>
      <c r="P198" s="10">
        <f>IF(I198="","",IF(I198&gt;($D$2+0.05),"+5kg",IF(I198&gt;($D$2+0.02),"+2.5kg",IF(I198&gt;=($D$2-0.05),"保持",IF(I198&gt;=($D$2-0.08),"-2.5kg","-5kg")))))</f>
        <v/>
      </c>
      <c r="Q198" s="9" t="n"/>
      <c r="R198" s="12" t="n"/>
      <c r="S198" s="12" t="n"/>
      <c r="T198" s="12" t="n"/>
    </row>
    <row r="199">
      <c r="A199" s="12" t="n">
        <v>3</v>
      </c>
      <c r="B199" s="9" t="n"/>
      <c r="C199" s="9" t="n"/>
      <c r="D199" s="9" t="n"/>
      <c r="E199" s="9" t="n"/>
      <c r="F199" s="9" t="n"/>
      <c r="G199" s="9" t="n"/>
      <c r="H199" s="9" t="n"/>
      <c r="I199" s="10">
        <f>IFERROR(INDEX(C199:H199,MATCH(TRUE,INDEX(C199:H199&lt;&gt;"",0),0)),"")</f>
        <v/>
      </c>
      <c r="J199" s="10">
        <f>IFERROR(MIN(IF(C199:H199&lt;&gt;"",C199:H199)),"")</f>
        <v/>
      </c>
      <c r="K199" s="10">
        <f>IFERROR(MATCH(I199,C199:H199,0),"")</f>
        <v/>
      </c>
      <c r="L199" s="10">
        <f>IF(OR(I199="",J199=""),"",ROUND((I199-J199)/I199*100,1))</f>
        <v/>
      </c>
      <c r="M199" s="10">
        <f>IF(L199="","",IF(L199&gt;=10,"是","否"))</f>
        <v/>
      </c>
      <c r="N199" s="10">
        <f>IF(J199="","",IF(J199&lt;0.15,"是","否"))</f>
        <v/>
      </c>
      <c r="O199" s="10">
        <f>IF(I199="","",IF(J199&lt;0.15,"SAFETY_STOP",IF(L199&gt;=10,"VL_THRESHOLD","PLANNED_END")))</f>
        <v/>
      </c>
      <c r="P199" s="10">
        <f>IF(I199="","",IF(I199&gt;($D$2+0.05),"+5kg",IF(I199&gt;($D$2+0.02),"+2.5kg",IF(I199&gt;=($D$2-0.05),"保持",IF(I199&gt;=($D$2-0.08),"-2.5kg","-5kg")))))</f>
        <v/>
      </c>
      <c r="Q199" s="9" t="n"/>
      <c r="R199" s="12" t="n"/>
      <c r="S199" s="12" t="n"/>
      <c r="T199" s="12" t="n"/>
    </row>
    <row r="200">
      <c r="A200" s="12" t="n">
        <v>4</v>
      </c>
      <c r="B200" s="9" t="n"/>
      <c r="C200" s="9" t="n"/>
      <c r="D200" s="9" t="n"/>
      <c r="E200" s="9" t="n"/>
      <c r="F200" s="9" t="n"/>
      <c r="G200" s="9" t="n"/>
      <c r="H200" s="9" t="n"/>
      <c r="I200" s="10">
        <f>IFERROR(INDEX(C200:H200,MATCH(TRUE,INDEX(C200:H200&lt;&gt;"",0),0)),"")</f>
        <v/>
      </c>
      <c r="J200" s="10">
        <f>IFERROR(MIN(IF(C200:H200&lt;&gt;"",C200:H200)),"")</f>
        <v/>
      </c>
      <c r="K200" s="10">
        <f>IFERROR(MATCH(I200,C200:H200,0),"")</f>
        <v/>
      </c>
      <c r="L200" s="10">
        <f>IF(OR(I200="",J200=""),"",ROUND((I200-J200)/I200*100,1))</f>
        <v/>
      </c>
      <c r="M200" s="10">
        <f>IF(L200="","",IF(L200&gt;=10,"是","否"))</f>
        <v/>
      </c>
      <c r="N200" s="10">
        <f>IF(J200="","",IF(J200&lt;0.15,"是","否"))</f>
        <v/>
      </c>
      <c r="O200" s="10">
        <f>IF(I200="","",IF(J200&lt;0.15,"SAFETY_STOP",IF(L200&gt;=10,"VL_THRESHOLD","PLANNED_END")))</f>
        <v/>
      </c>
      <c r="P200" s="10">
        <f>IF(I200="","",IF(I200&gt;($D$2+0.05),"+5kg",IF(I200&gt;($D$2+0.02),"+2.5kg",IF(I200&gt;=($D$2-0.05),"保持",IF(I200&gt;=($D$2-0.08),"-2.5kg","-5kg")))))</f>
        <v/>
      </c>
      <c r="Q200" s="9" t="n"/>
      <c r="R200" s="12" t="n"/>
      <c r="S200" s="12" t="n"/>
      <c r="T200" s="12" t="n"/>
    </row>
    <row r="201">
      <c r="A201" s="12" t="n">
        <v>5</v>
      </c>
      <c r="B201" s="9" t="n"/>
      <c r="C201" s="9" t="n"/>
      <c r="D201" s="9" t="n"/>
      <c r="E201" s="9" t="n"/>
      <c r="F201" s="9" t="n"/>
      <c r="G201" s="9" t="n"/>
      <c r="H201" s="9" t="n"/>
      <c r="I201" s="10">
        <f>IFERROR(INDEX(C201:H201,MATCH(TRUE,INDEX(C201:H201&lt;&gt;"",0),0)),"")</f>
        <v/>
      </c>
      <c r="J201" s="10">
        <f>IFERROR(MIN(IF(C201:H201&lt;&gt;"",C201:H201)),"")</f>
        <v/>
      </c>
      <c r="K201" s="10">
        <f>IFERROR(MATCH(I201,C201:H201,0),"")</f>
        <v/>
      </c>
      <c r="L201" s="10">
        <f>IF(OR(I201="",J201=""),"",ROUND((I201-J201)/I201*100,1))</f>
        <v/>
      </c>
      <c r="M201" s="10">
        <f>IF(L201="","",IF(L201&gt;=10,"是","否"))</f>
        <v/>
      </c>
      <c r="N201" s="10">
        <f>IF(J201="","",IF(J201&lt;0.15,"是","否"))</f>
        <v/>
      </c>
      <c r="O201" s="10">
        <f>IF(I201="","",IF(J201&lt;0.15,"SAFETY_STOP",IF(L201&gt;=10,"VL_THRESHOLD","PLANNED_END")))</f>
        <v/>
      </c>
      <c r="P201" s="10">
        <f>IF(I201="","",IF(I201&gt;($D$2+0.05),"+5kg",IF(I201&gt;($D$2+0.02),"+2.5kg",IF(I201&gt;=($D$2-0.05),"保持",IF(I201&gt;=($D$2-0.08),"-2.5kg","-5kg")))))</f>
        <v/>
      </c>
      <c r="Q201" s="9" t="n"/>
      <c r="R201" s="12" t="n"/>
      <c r="S201" s="12" t="n"/>
      <c r="T201" s="12" t="n"/>
    </row>
    <row r="202">
      <c r="A202" s="12" t="n">
        <v>6</v>
      </c>
      <c r="B202" s="9" t="n"/>
      <c r="C202" s="9" t="n"/>
      <c r="D202" s="9" t="n"/>
      <c r="E202" s="9" t="n"/>
      <c r="F202" s="9" t="n"/>
      <c r="G202" s="9" t="n"/>
      <c r="H202" s="9" t="n"/>
      <c r="I202" s="10">
        <f>IFERROR(INDEX(C202:H202,MATCH(TRUE,INDEX(C202:H202&lt;&gt;"",0),0)),"")</f>
        <v/>
      </c>
      <c r="J202" s="10">
        <f>IFERROR(MIN(IF(C202:H202&lt;&gt;"",C202:H202)),"")</f>
        <v/>
      </c>
      <c r="K202" s="10">
        <f>IFERROR(MATCH(I202,C202:H202,0),"")</f>
        <v/>
      </c>
      <c r="L202" s="10">
        <f>IF(OR(I202="",J202=""),"",ROUND((I202-J202)/I202*100,1))</f>
        <v/>
      </c>
      <c r="M202" s="10">
        <f>IF(L202="","",IF(L202&gt;=10,"是","否"))</f>
        <v/>
      </c>
      <c r="N202" s="10">
        <f>IF(J202="","",IF(J202&lt;0.15,"是","否"))</f>
        <v/>
      </c>
      <c r="O202" s="10">
        <f>IF(I202="","",IF(J202&lt;0.15,"SAFETY_STOP",IF(L202&gt;=10,"VL_THRESHOLD","PLANNED_END")))</f>
        <v/>
      </c>
      <c r="P202" s="10">
        <f>IF(I202="","",IF(I202&gt;($D$2+0.05),"+5kg",IF(I202&gt;($D$2+0.02),"+2.5kg",IF(I202&gt;=($D$2-0.05),"保持",IF(I202&gt;=($D$2-0.08),"-2.5kg","-5kg")))))</f>
        <v/>
      </c>
      <c r="Q202" s="9" t="n"/>
      <c r="R202" s="12" t="n"/>
      <c r="S202" s="12" t="n"/>
      <c r="T202" s="12" t="n"/>
    </row>
    <row r="203">
      <c r="A203" s="8" t="inlineStr">
        <is>
          <t>辅助动作</t>
        </is>
      </c>
      <c r="B203" s="8" t="inlineStr">
        <is>
          <t>动作名称</t>
        </is>
      </c>
      <c r="C203" s="8" t="inlineStr">
        <is>
          <t>负荷kg</t>
        </is>
      </c>
      <c r="D203" s="8" t="inlineStr">
        <is>
          <t>完成(组×次)</t>
        </is>
      </c>
    </row>
    <row r="204">
      <c r="A204" s="9" t="inlineStr"/>
      <c r="B204" s="9" t="n"/>
      <c r="C204" s="9" t="n"/>
      <c r="D204" s="9" t="n"/>
    </row>
    <row r="205">
      <c r="A205" s="8" t="inlineStr">
        <is>
          <t>训练后</t>
        </is>
      </c>
      <c r="B205" s="8" t="inlineStr">
        <is>
          <t>开始时间</t>
        </is>
      </c>
      <c r="C205" s="8" t="inlineStr">
        <is>
          <t>结束时间</t>
        </is>
      </c>
      <c r="D205" s="8" t="inlineStr">
        <is>
          <t>总时长min</t>
        </is>
      </c>
      <c r="E205" s="8" t="inlineStr">
        <is>
          <t>sRPE</t>
        </is>
      </c>
      <c r="F205" s="8" t="inlineStr">
        <is>
          <t>session_load</t>
        </is>
      </c>
      <c r="G205" s="8" t="inlineStr">
        <is>
          <t>有无不适</t>
        </is>
      </c>
      <c r="H205" s="8" t="inlineStr">
        <is>
          <t>备注</t>
        </is>
      </c>
      <c r="I205" s="8" t="inlineStr">
        <is>
          <t>研究员签名</t>
        </is>
      </c>
    </row>
    <row r="206">
      <c r="A206" s="13" t="inlineStr"/>
      <c r="B206" s="13" t="n"/>
      <c r="C206" s="13" t="n"/>
      <c r="D206" s="10">
        <f>IF(OR(B206="",C206=""),"",(C206-B206)*1440)</f>
        <v/>
      </c>
      <c r="E206" s="13" t="n"/>
      <c r="F206" s="10">
        <f>IF(OR(D206="",E206=""),"",D206*E206)</f>
        <v/>
      </c>
      <c r="G206" s="13" t="n"/>
      <c r="H206" s="13" t="n"/>
      <c r="I206" s="13" t="n"/>
    </row>
  </sheetData>
  <mergeCells count="13">
    <mergeCell ref="A1:T1"/>
    <mergeCell ref="A89:T89"/>
    <mergeCell ref="A4:T4"/>
    <mergeCell ref="A106:T106"/>
    <mergeCell ref="A21:T21"/>
    <mergeCell ref="A140:T140"/>
    <mergeCell ref="A55:T55"/>
    <mergeCell ref="A38:T38"/>
    <mergeCell ref="A157:T157"/>
    <mergeCell ref="A72:T72"/>
    <mergeCell ref="A174:T174"/>
    <mergeCell ref="A191:T191"/>
    <mergeCell ref="A123:T1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2026-07-27T16:56:06Z</dcterms:created>
  <dcterms:modified xmlns:dcterms="http://purl.org/dc/terms/" xmlns:xsi="http://www.w3.org/2001/XMLSchema-instance" xsi:type="dcterms:W3CDTF">2026-07-27T16:56:07Z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{"Label":"1","ContentProducer":"001191440300708461136T1WFUO","ProduceID":"d8210d483c3d4145e4e7d16e3e18a8ce-5qVc","ReservedCode1":"{\"Type\":\" TC260PG\",\"Version\":1,\"Bindings\":[{\"Type\":\"soft\",\"AlgID\":\"sm3\",\"Value\":\"86fed380094950835744f58ee61b1651bf05fb67a6980628a81e84e80e9b096c\"},{\"Type\":\"hash\",\"AlgID\":\"sm3\",\"Value\":\"d34b44ce40203aab89e67fd3a2fe0a85726b52e5824ebe3eea79c9d759b291af\"}],\"PubSD\":[{\"Type\":\"DS\",\"AlgID\":\"sm2\",\"TBSData\":{\"Type\":\"Binding\",\"BType\":\"hash\"},\"Signature\":\"3045022100f2d5205d1dfa30269803970f19cb0b88ab0f53227e8c46b8486c18f9bf1c8aaa02205b52c4c1bb45483d299d032f45d844d8deca823fe3b51980531f50cb8de3eeb9\"},{\"Type\":\"PubKey\",\"AlgID\":\"sm2\",\"KeyValue\":\"0407f79b28a17a752b3aae4305c98b48978213832729a2571850b1310b2bc9fe8fee039ccf25ebfeac27502414d9fcef792d777183c98893d226171c2f7a3289a2\"}],\"Extension\":{\"Timestamp\":1785171442,\"KeyVersion\":\"v1-TxLeOmf7bqU223\"}}","ContentPropagator":"001191440300708461136T1WFUO","PropagateID":"d8210d483c3d4145e4e7d16e3e18a8ce-5qVc","ReservedCode2":"{\"Type\":\" TC260PG\",\"Version\":1,\"Bindings\":[{\"Type\":\"soft\",\"AlgID\":\"sm3\",\"Value\":\"86fed380094950835744f58ee61b1651bf05fb67a6980628a81e84e80e9b096c\"},{\"Type\":\"hash\",\"AlgID\":\"sm3\",\"Value\":\"d34b44ce40203aab89e67fd3a2fe0a85726b52e5824ebe3eea79c9d759b291af\"}],\"PubSD\":[{\"Type\":\"DS\",\"AlgID\":\"sm2\",\"TBSData\":{\"Type\":\"Binding\",\"BType\":\"hash\"},\"Signature\":\"3044022004c73da42487536ad251ec97a2a56ee29d5659320acd81f37850322550f4dc04022013e8c7909b5e435885b037e30ecc930417a6a30069a7d8fe10ea7db12445eb45\"},{\"Type\":\"PubKey\",\"AlgID\":\"sm2\",\"KeyValue\":\"0407f79b28a17a752b3aae4305c98b48978213832729a2571850b1310b2bc9fe8fee039ccf25ebfeac27502414d9fcef792d777183c98893d226171c2f7a3289a2\"}],\"Extension\":{\"Timestamp\":1785171442,\"KeyVersion\":\"v1-TxLeOmf7bqU223\"}}"}</vt:lpwstr>
  </property>
</Properties>
</file>