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12_李远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研究二 · 自我指导组训练卡</t>
        </is>
      </c>
    </row>
    <row r="2">
      <c r="A2" s="2" t="inlineStr">
        <is>
          <t>受试者编号：</t>
        </is>
      </c>
      <c r="B2" s="3" t="inlineStr">
        <is>
          <t>P012</t>
        </is>
      </c>
    </row>
    <row r="3">
      <c r="A3" s="2" t="inlineStr">
        <is>
          <t>姓名：</t>
        </is>
      </c>
      <c r="B3" s="3" t="inlineStr">
        <is>
          <t>李远熙</t>
        </is>
      </c>
    </row>
    <row r="4">
      <c r="A4" s="2" t="inlineStr">
        <is>
          <t>基线深蹲1RM（kg）：</t>
        </is>
      </c>
      <c r="B4" s="4" t="n">
        <v>132.5</v>
      </c>
    </row>
    <row r="5"/>
    <row r="6">
      <c r="A6" s="5" t="inlineStr">
        <is>
          <t>区域B：4周主项负荷总表（⚠️ 只改B4的1RM，下方全部自动计算）</t>
        </is>
      </c>
      <c r="B6" s="6" t="n"/>
      <c r="C6" s="6" t="n"/>
      <c r="D6" s="6" t="n"/>
      <c r="E6" s="6" t="n"/>
      <c r="F6" s="7" t="n"/>
    </row>
    <row r="7">
      <c r="A7" s="8" t="inlineStr">
        <is>
          <t>周次</t>
        </is>
      </c>
      <c r="B7" s="8" t="inlineStr">
        <is>
          <t>Day A 后蹲(kg)</t>
        </is>
      </c>
      <c r="C7" s="8" t="inlineStr">
        <is>
          <t>Day B 负重深蹲跳(kg)</t>
        </is>
      </c>
      <c r="D7" s="8" t="inlineStr">
        <is>
          <t>Day B 后蹲(kg)</t>
        </is>
      </c>
      <c r="E7" s="8" t="inlineStr">
        <is>
          <t>Day A RIR目标</t>
        </is>
      </c>
      <c r="F7" s="8" t="inlineStr">
        <is>
          <t>Day B 停组标准</t>
        </is>
      </c>
    </row>
    <row r="8">
      <c r="A8" s="9" t="inlineStr">
        <is>
          <t>第1周</t>
        </is>
      </c>
      <c r="B8" s="10">
        <f>MROUND($B$4*0.725,2.5)</f>
        <v/>
      </c>
      <c r="C8" s="10">
        <f>MAX(MROUND($B$4*0.175,2.5),20)</f>
        <v/>
      </c>
      <c r="D8" s="10">
        <f>MROUND($B$4*0.625,2.5)</f>
        <v/>
      </c>
      <c r="E8" s="11" t="inlineStr">
        <is>
          <t>2–3</t>
        </is>
      </c>
      <c r="F8" s="11" t="inlineStr">
        <is>
          <t>明显变慢即停</t>
        </is>
      </c>
    </row>
    <row r="9">
      <c r="A9" s="12" t="inlineStr">
        <is>
          <t>第2周</t>
        </is>
      </c>
      <c r="B9" s="13">
        <f>MROUND($B$4*0.775,2.5)</f>
        <v/>
      </c>
      <c r="C9" s="13">
        <f>MAX(MROUND($B$4*0.225,2.5),20)</f>
        <v/>
      </c>
      <c r="D9" s="13">
        <f>MROUND($B$4*0.675,2.5)</f>
        <v/>
      </c>
      <c r="E9" s="14" t="inlineStr">
        <is>
          <t>1–2</t>
        </is>
      </c>
      <c r="F9" s="14" t="inlineStr">
        <is>
          <t>明显变慢即停</t>
        </is>
      </c>
    </row>
    <row r="10">
      <c r="A10" s="9" t="inlineStr">
        <is>
          <t>第3周</t>
        </is>
      </c>
      <c r="B10" s="10">
        <f>MROUND($B$4*0.825,2.5)</f>
        <v/>
      </c>
      <c r="C10" s="10">
        <f>MAX(MROUND($B$4*0.275,2.5),20)</f>
        <v/>
      </c>
      <c r="D10" s="10">
        <f>MROUND($B$4*0.725,2.5)</f>
        <v/>
      </c>
      <c r="E10" s="11" t="inlineStr">
        <is>
          <t>1–2</t>
        </is>
      </c>
      <c r="F10" s="11" t="inlineStr">
        <is>
          <t>明显变慢即停</t>
        </is>
      </c>
    </row>
    <row r="11">
      <c r="A11" s="12" t="inlineStr">
        <is>
          <t>第4周</t>
        </is>
      </c>
      <c r="B11" s="13">
        <f>MROUND($B$4*0.775,2.5)</f>
        <v/>
      </c>
      <c r="C11" s="13">
        <f>MAX(MROUND($B$4*0.175,2.5),20)</f>
        <v/>
      </c>
      <c r="D11" s="13">
        <f>MROUND($B$4*0.675,2.5)</f>
        <v/>
      </c>
      <c r="E11" s="14" t="inlineStr">
        <is>
          <t>2–3</t>
        </is>
      </c>
      <c r="F11" s="14" t="inlineStr">
        <is>
          <t>明显变慢即停</t>
        </is>
      </c>
    </row>
    <row r="12"/>
    <row r="13">
      <c r="A13" s="5" t="inlineStr">
        <is>
          <t>Day A · 力量日流程</t>
        </is>
      </c>
      <c r="B13" s="6" t="n"/>
      <c r="C13" s="6" t="n"/>
      <c r="D13" s="6" t="n"/>
      <c r="E13" s="6" t="n"/>
      <c r="F13" s="7" t="n"/>
    </row>
    <row r="14">
      <c r="A14" s="8" t="inlineStr">
        <is>
          <t>顺序</t>
        </is>
      </c>
      <c r="B14" s="8" t="inlineStr">
        <is>
          <t>阶段</t>
        </is>
      </c>
      <c r="C14" s="8" t="inlineStr">
        <is>
          <t>内容</t>
        </is>
      </c>
      <c r="D14" s="8" t="inlineStr">
        <is>
          <t>要求</t>
        </is>
      </c>
      <c r="E14" s="8" t="inlineStr">
        <is>
          <t>时长/次数</t>
        </is>
      </c>
      <c r="F14" s="8" t="inlineStr">
        <is>
          <t>休息</t>
        </is>
      </c>
    </row>
    <row r="15">
      <c r="A15" s="11" t="n">
        <v>1</v>
      </c>
      <c r="B15" s="11" t="inlineStr">
        <is>
          <t>Raise</t>
        </is>
      </c>
      <c r="C15" s="15" t="inlineStr">
        <is>
          <t>功率自行车或慢跑</t>
        </is>
      </c>
      <c r="D15" s="15" t="inlineStr">
        <is>
          <t>RPE 3–4，微微出汗</t>
        </is>
      </c>
      <c r="E15" s="11" t="inlineStr">
        <is>
          <t>5 min</t>
        </is>
      </c>
      <c r="F15" s="11" t="n"/>
    </row>
    <row r="16">
      <c r="A16" s="11" t="n">
        <v>2</v>
      </c>
      <c r="B16" s="11" t="inlineStr">
        <is>
          <t>Activate</t>
        </is>
      </c>
      <c r="C16" s="15" t="inlineStr">
        <is>
          <t>弹力带侧向行走 1×10步/侧</t>
        </is>
      </c>
      <c r="D16" s="15" t="inlineStr">
        <is>
          <t>臀中肌激活</t>
        </is>
      </c>
      <c r="E16" s="11" t="inlineStr">
        <is>
          <t>—</t>
        </is>
      </c>
      <c r="F16" s="11" t="n"/>
    </row>
    <row r="17">
      <c r="A17" s="11" t="n">
        <v>3</v>
      </c>
      <c r="B17" s="11" t="inlineStr">
        <is>
          <t>Activate</t>
        </is>
      </c>
      <c r="C17" s="15" t="inlineStr">
        <is>
          <t>弹力带怪兽走 1×10步</t>
        </is>
      </c>
      <c r="D17" s="15" t="inlineStr">
        <is>
          <t>保持微蹲</t>
        </is>
      </c>
      <c r="E17" s="11" t="inlineStr">
        <is>
          <t>—</t>
        </is>
      </c>
      <c r="F17" s="11" t="n"/>
    </row>
    <row r="18">
      <c r="A18" s="11" t="n">
        <v>4</v>
      </c>
      <c r="B18" s="11" t="inlineStr">
        <is>
          <t>Mobilize</t>
        </is>
      </c>
      <c r="C18" s="15" t="inlineStr">
        <is>
          <t>复合弓箭步转体 6次/侧</t>
        </is>
      </c>
      <c r="D18" s="15" t="inlineStr">
        <is>
          <t>控制幅度</t>
        </is>
      </c>
      <c r="E18" s="11" t="inlineStr">
        <is>
          <t>—</t>
        </is>
      </c>
      <c r="F18" s="11" t="n"/>
    </row>
    <row r="19">
      <c r="A19" s="11" t="n">
        <v>5</v>
      </c>
      <c r="B19" s="11" t="inlineStr">
        <is>
          <t>Mobilize</t>
        </is>
      </c>
      <c r="C19" s="15" t="inlineStr">
        <is>
          <t>90/90髋关节旋转 6次</t>
        </is>
      </c>
      <c r="D19" s="15" t="inlineStr">
        <is>
          <t>缓慢有控制</t>
        </is>
      </c>
      <c r="E19" s="11" t="inlineStr">
        <is>
          <t>—</t>
        </is>
      </c>
      <c r="F19" s="11" t="n"/>
    </row>
    <row r="20">
      <c r="A20" s="11" t="n">
        <v>6</v>
      </c>
      <c r="B20" s="11" t="inlineStr">
        <is>
          <t>Mobilize</t>
        </is>
      </c>
      <c r="C20" s="15" t="inlineStr">
        <is>
          <t>踝关节动态活动 6次/侧</t>
        </is>
      </c>
      <c r="D20" s="15" t="inlineStr">
        <is>
          <t>膝盖超过脚尖</t>
        </is>
      </c>
      <c r="E20" s="11" t="inlineStr">
        <is>
          <t>—</t>
        </is>
      </c>
      <c r="F20" s="11" t="n"/>
    </row>
    <row r="21">
      <c r="A21" s="11" t="n">
        <v>7</v>
      </c>
      <c r="B21" s="11" t="inlineStr">
        <is>
          <t>Potentiate</t>
        </is>
      </c>
      <c r="C21" s="15" t="inlineStr">
        <is>
          <t>踝跳 2×8</t>
        </is>
      </c>
      <c r="D21" s="15" t="inlineStr">
        <is>
          <t>脚踝快速弹跳</t>
        </is>
      </c>
      <c r="E21" s="11" t="inlineStr">
        <is>
          <t>—</t>
        </is>
      </c>
      <c r="F21" s="11" t="n"/>
    </row>
    <row r="22">
      <c r="A22" s="11" t="n">
        <v>8</v>
      </c>
      <c r="B22" s="11" t="inlineStr">
        <is>
          <t>Potentiate</t>
        </is>
      </c>
      <c r="C22" s="15" t="inlineStr">
        <is>
          <t>原地次最大跳 2次</t>
        </is>
      </c>
      <c r="D22" s="15" t="inlineStr">
        <is>
          <t>约80%努力程度</t>
        </is>
      </c>
      <c r="E22" s="11" t="inlineStr">
        <is>
          <t>—</t>
        </is>
      </c>
      <c r="F22" s="11" t="n"/>
    </row>
    <row r="23">
      <c r="A23" s="5" t="inlineStr">
        <is>
          <t>Day A · 专项热身 → 主项 → 辅助</t>
        </is>
      </c>
      <c r="B23" s="6" t="n"/>
      <c r="C23" s="6" t="n"/>
      <c r="D23" s="6" t="n"/>
      <c r="E23" s="6" t="n"/>
      <c r="F23" s="7" t="n"/>
    </row>
    <row r="24">
      <c r="A24" s="8" t="inlineStr">
        <is>
          <t>内容</t>
        </is>
      </c>
      <c r="B24" s="8" t="inlineStr">
        <is>
          <t>次数</t>
        </is>
      </c>
      <c r="C24" s="8" t="inlineStr">
        <is>
          <t>要求</t>
        </is>
      </c>
      <c r="D24" s="8" t="inlineStr">
        <is>
          <t>休息</t>
        </is>
      </c>
      <c r="E24" s="8" t="inlineStr">
        <is>
          <t>引用负荷(自动)</t>
        </is>
      </c>
      <c r="F24" s="8" t="inlineStr">
        <is>
          <t>备注</t>
        </is>
      </c>
    </row>
    <row r="25">
      <c r="A25" s="11" t="inlineStr">
        <is>
          <t>空杆后蹲</t>
        </is>
      </c>
      <c r="B25" s="11" t="inlineStr">
        <is>
          <t>×5</t>
        </is>
      </c>
      <c r="C25" s="11" t="inlineStr">
        <is>
          <t>感受动作节奏</t>
        </is>
      </c>
      <c r="D25" s="11" t="inlineStr">
        <is>
          <t>60s</t>
        </is>
      </c>
      <c r="E25" s="11" t="n"/>
      <c r="F25" s="11" t="n"/>
    </row>
    <row r="26">
      <c r="A26" s="11" t="inlineStr">
        <is>
          <t>50%当日主项负荷</t>
        </is>
      </c>
      <c r="B26" s="11" t="inlineStr">
        <is>
          <t>×3</t>
        </is>
      </c>
      <c r="C26" s="11" t="inlineStr">
        <is>
          <t>逐渐加速向心</t>
        </is>
      </c>
      <c r="D26" s="11" t="inlineStr">
        <is>
          <t>60–90s</t>
        </is>
      </c>
      <c r="E26" s="11" t="n"/>
      <c r="F26" s="11" t="n"/>
    </row>
    <row r="27">
      <c r="A27" s="11" t="inlineStr">
        <is>
          <t>70%当日主项负荷</t>
        </is>
      </c>
      <c r="B27" s="11" t="inlineStr">
        <is>
          <t>×2</t>
        </is>
      </c>
      <c r="C27" s="11" t="inlineStr">
        <is>
          <t>接近正式节奏</t>
        </is>
      </c>
      <c r="D27" s="11" t="inlineStr">
        <is>
          <t>90–120s</t>
        </is>
      </c>
      <c r="E27" s="11" t="n"/>
      <c r="F27" s="11" t="n"/>
    </row>
    <row r="28">
      <c r="A28" s="16" t="inlineStr">
        <is>
          <t>周次</t>
        </is>
      </c>
      <c r="B28" s="16" t="inlineStr">
        <is>
          <t>组数×次数</t>
        </is>
      </c>
      <c r="C28" s="16" t="inlineStr">
        <is>
          <t>建议负荷(自动引用)</t>
        </is>
      </c>
      <c r="D28" s="16" t="inlineStr">
        <is>
          <t>目标RIR</t>
        </is>
      </c>
      <c r="E28" s="16" t="inlineStr">
        <is>
          <t>休息</t>
        </is>
      </c>
      <c r="F28" s="16" t="inlineStr">
        <is>
          <t>辅助动作</t>
        </is>
      </c>
    </row>
    <row r="29">
      <c r="A29" s="9" t="inlineStr">
        <is>
          <t>第1周</t>
        </is>
      </c>
      <c r="B29" s="11" t="inlineStr">
        <is>
          <t>4×4–5</t>
        </is>
      </c>
      <c r="C29" s="17">
        <f>B8</f>
        <v/>
      </c>
      <c r="D29" s="11" t="inlineStr">
        <is>
          <t>2–3</t>
        </is>
      </c>
      <c r="E29" s="11" t="inlineStr">
        <is>
          <t>3–4 min</t>
        </is>
      </c>
      <c r="F29" s="11" t="inlineStr">
        <is>
          <t>RDL 3×6</t>
        </is>
      </c>
    </row>
    <row r="30">
      <c r="A30" s="12" t="inlineStr">
        <is>
          <t>第2周</t>
        </is>
      </c>
      <c r="B30" s="14" t="inlineStr">
        <is>
          <t>5×4–5</t>
        </is>
      </c>
      <c r="C30" s="18">
        <f>B9</f>
        <v/>
      </c>
      <c r="D30" s="14" t="inlineStr">
        <is>
          <t>1–2</t>
        </is>
      </c>
      <c r="E30" s="14" t="inlineStr">
        <is>
          <t>3–4 min</t>
        </is>
      </c>
      <c r="F30" s="14" t="inlineStr">
        <is>
          <t>RDL 3×5–6</t>
        </is>
      </c>
    </row>
    <row r="31">
      <c r="A31" s="9" t="inlineStr">
        <is>
          <t>第3周</t>
        </is>
      </c>
      <c r="B31" s="11" t="inlineStr">
        <is>
          <t>5×4–5</t>
        </is>
      </c>
      <c r="C31" s="17">
        <f>B10</f>
        <v/>
      </c>
      <c r="D31" s="11" t="inlineStr">
        <is>
          <t>1–2</t>
        </is>
      </c>
      <c r="E31" s="11" t="inlineStr">
        <is>
          <t>3–4 min</t>
        </is>
      </c>
      <c r="F31" s="11" t="inlineStr">
        <is>
          <t>RDL 3×5</t>
        </is>
      </c>
    </row>
    <row r="32">
      <c r="A32" s="12" t="inlineStr">
        <is>
          <t>第4周</t>
        </is>
      </c>
      <c r="B32" s="14" t="inlineStr">
        <is>
          <t>3×4</t>
        </is>
      </c>
      <c r="C32" s="18">
        <f>B11</f>
        <v/>
      </c>
      <c r="D32" s="14" t="inlineStr">
        <is>
          <t>2–3</t>
        </is>
      </c>
      <c r="E32" s="14" t="inlineStr">
        <is>
          <t>3–4 min</t>
        </is>
      </c>
      <c r="F32" s="14" t="inlineStr">
        <is>
          <t>RDL 2×5</t>
        </is>
      </c>
    </row>
    <row r="33">
      <c r="A33" s="5" t="inlineStr">
        <is>
          <t>Day A · 增强式激活</t>
        </is>
      </c>
      <c r="B33" s="6" t="n"/>
      <c r="C33" s="6" t="n"/>
      <c r="D33" s="6" t="n"/>
      <c r="E33" s="6" t="n"/>
      <c r="F33" s="7" t="n"/>
    </row>
    <row r="34">
      <c r="A34" s="8" t="inlineStr">
        <is>
          <t>内容</t>
        </is>
      </c>
      <c r="B34" s="8" t="inlineStr">
        <is>
          <t>组数×次数</t>
        </is>
      </c>
      <c r="C34" s="8" t="inlineStr">
        <is>
          <t>要求</t>
        </is>
      </c>
      <c r="D34" s="8" t="inlineStr">
        <is>
          <t>休息</t>
        </is>
      </c>
      <c r="E34" s="8" t="n"/>
      <c r="F34" s="8" t="n"/>
    </row>
    <row r="35">
      <c r="A35" s="11" t="inlineStr">
        <is>
          <t>CMJ</t>
        </is>
      </c>
      <c r="B35" s="11" t="inlineStr">
        <is>
          <t>3×3</t>
        </is>
      </c>
      <c r="C35" s="11" t="inlineStr">
        <is>
          <t>双手叉腰，最大努力</t>
        </is>
      </c>
      <c r="D35" s="11" t="inlineStr">
        <is>
          <t>90s</t>
        </is>
      </c>
      <c r="E35" s="11" t="n"/>
      <c r="F35" s="11" t="n"/>
    </row>
    <row r="36">
      <c r="A36" s="11" t="inlineStr">
        <is>
          <t>箱跳</t>
        </is>
      </c>
      <c r="B36" s="11" t="inlineStr">
        <is>
          <t>W1:2×3 / W2:2×3 / W3:3×3 / W4:1×3</t>
        </is>
      </c>
      <c r="C36" s="11" t="inlineStr">
        <is>
          <t>落地稳定</t>
        </is>
      </c>
      <c r="D36" s="11" t="inlineStr">
        <is>
          <t>60–90s</t>
        </is>
      </c>
      <c r="E36" s="11" t="n"/>
      <c r="F36" s="11" t="n"/>
    </row>
    <row r="37">
      <c r="A37" s="5" t="inlineStr">
        <is>
          <t>Day B · 速度力量日流程</t>
        </is>
      </c>
      <c r="B37" s="6" t="n"/>
      <c r="C37" s="6" t="n"/>
      <c r="D37" s="6" t="n"/>
      <c r="E37" s="6" t="n"/>
      <c r="F37" s="7" t="n"/>
    </row>
    <row r="38">
      <c r="A38" s="8" t="inlineStr">
        <is>
          <t>顺序</t>
        </is>
      </c>
      <c r="B38" s="8" t="inlineStr">
        <is>
          <t>阶段</t>
        </is>
      </c>
      <c r="C38" s="8" t="inlineStr">
        <is>
          <t>内容</t>
        </is>
      </c>
      <c r="D38" s="8" t="inlineStr">
        <is>
          <t>要求</t>
        </is>
      </c>
      <c r="E38" s="8" t="inlineStr">
        <is>
          <t>时长/次数</t>
        </is>
      </c>
      <c r="F38" s="8" t="inlineStr">
        <is>
          <t>休息</t>
        </is>
      </c>
    </row>
    <row r="39">
      <c r="A39" s="11" t="n">
        <v>1</v>
      </c>
      <c r="B39" s="11" t="inlineStr">
        <is>
          <t>Raise</t>
        </is>
      </c>
      <c r="C39" s="15" t="inlineStr">
        <is>
          <t>慢跑+高抬腿+A-Skip</t>
        </is>
      </c>
      <c r="D39" s="15" t="inlineStr">
        <is>
          <t>强调节奏与步频</t>
        </is>
      </c>
      <c r="E39" s="11" t="inlineStr">
        <is>
          <t>5 min</t>
        </is>
      </c>
      <c r="F39" s="11" t="n"/>
    </row>
    <row r="40">
      <c r="A40" s="11" t="n">
        <v>2</v>
      </c>
      <c r="B40" s="11" t="inlineStr">
        <is>
          <t>Activate</t>
        </is>
      </c>
      <c r="C40" s="15" t="inlineStr">
        <is>
          <t>弹力带侧向行走 1×10步/侧</t>
        </is>
      </c>
      <c r="D40" s="15" t="inlineStr">
        <is>
          <t>臀中肌激活</t>
        </is>
      </c>
      <c r="E40" s="11" t="inlineStr">
        <is>
          <t>—</t>
        </is>
      </c>
      <c r="F40" s="11" t="n"/>
    </row>
    <row r="41">
      <c r="A41" s="11" t="n">
        <v>3</v>
      </c>
      <c r="B41" s="11" t="inlineStr">
        <is>
          <t>Activate</t>
        </is>
      </c>
      <c r="C41" s="15" t="inlineStr">
        <is>
          <t>单腿臀桥 1×8次/侧</t>
        </is>
      </c>
      <c r="D41" s="15" t="inlineStr">
        <is>
          <t>顶端停顿1秒</t>
        </is>
      </c>
      <c r="E41" s="11" t="inlineStr">
        <is>
          <t>—</t>
        </is>
      </c>
      <c r="F41" s="11" t="n"/>
    </row>
    <row r="42">
      <c r="A42" s="11" t="n">
        <v>4</v>
      </c>
      <c r="B42" s="11" t="inlineStr">
        <is>
          <t>Mobilize</t>
        </is>
      </c>
      <c r="C42" s="15" t="inlineStr">
        <is>
          <t>站姿抱膝行走 6次/侧</t>
        </is>
      </c>
      <c r="D42" s="15" t="inlineStr">
        <is>
          <t>挺胸保持平衡</t>
        </is>
      </c>
      <c r="E42" s="11" t="inlineStr">
        <is>
          <t>—</t>
        </is>
      </c>
      <c r="F42" s="11" t="n"/>
    </row>
    <row r="43">
      <c r="A43" s="11" t="n">
        <v>5</v>
      </c>
      <c r="B43" s="11" t="inlineStr">
        <is>
          <t>Mobilize</t>
        </is>
      </c>
      <c r="C43" s="15" t="inlineStr">
        <is>
          <t>前后摆腿 6次/侧</t>
        </is>
      </c>
      <c r="D43" s="15" t="inlineStr">
        <is>
          <t>自然摆动</t>
        </is>
      </c>
      <c r="E43" s="11" t="inlineStr">
        <is>
          <t>—</t>
        </is>
      </c>
      <c r="F43" s="11" t="n"/>
    </row>
    <row r="44">
      <c r="A44" s="11" t="n">
        <v>6</v>
      </c>
      <c r="B44" s="11" t="inlineStr">
        <is>
          <t>Mobilize</t>
        </is>
      </c>
      <c r="C44" s="15" t="inlineStr">
        <is>
          <t>世界最伟大拉伸 6次/侧</t>
        </is>
      </c>
      <c r="D44" s="15" t="inlineStr">
        <is>
          <t>缓慢有控制</t>
        </is>
      </c>
      <c r="E44" s="11" t="inlineStr">
        <is>
          <t>—</t>
        </is>
      </c>
      <c r="F44" s="11" t="n"/>
    </row>
    <row r="45">
      <c r="A45" s="11" t="n">
        <v>7</v>
      </c>
      <c r="B45" s="11" t="inlineStr">
        <is>
          <t>Potentiate</t>
        </is>
      </c>
      <c r="C45" s="15" t="inlineStr">
        <is>
          <t>踝跳 2×8</t>
        </is>
      </c>
      <c r="D45" s="15" t="inlineStr">
        <is>
          <t>脚踝快速弹跳</t>
        </is>
      </c>
      <c r="E45" s="11" t="inlineStr">
        <is>
          <t>—</t>
        </is>
      </c>
      <c r="F45" s="11" t="n"/>
    </row>
    <row r="46">
      <c r="A46" s="11" t="n">
        <v>8</v>
      </c>
      <c r="B46" s="11" t="inlineStr">
        <is>
          <t>Potentiate</t>
        </is>
      </c>
      <c r="C46" s="15" t="inlineStr">
        <is>
          <t>次最大跳跃 2次</t>
        </is>
      </c>
      <c r="D46" s="15" t="inlineStr">
        <is>
          <t>约80%努力程度</t>
        </is>
      </c>
      <c r="E46" s="11" t="inlineStr">
        <is>
          <t>—</t>
        </is>
      </c>
      <c r="F46" s="11" t="n"/>
    </row>
    <row r="47">
      <c r="A47" s="5" t="inlineStr">
        <is>
          <t>Day B · 增强式激活 → 主项 → 辅助</t>
        </is>
      </c>
      <c r="B47" s="6" t="n"/>
      <c r="C47" s="6" t="n"/>
      <c r="D47" s="6" t="n"/>
      <c r="E47" s="6" t="n"/>
      <c r="F47" s="7" t="n"/>
    </row>
    <row r="48">
      <c r="A48" s="8" t="inlineStr">
        <is>
          <t>内容</t>
        </is>
      </c>
      <c r="B48" s="8" t="inlineStr">
        <is>
          <t>组数×次数</t>
        </is>
      </c>
      <c r="C48" s="8" t="inlineStr">
        <is>
          <t>要求</t>
        </is>
      </c>
      <c r="D48" s="8" t="inlineStr">
        <is>
          <t>休息</t>
        </is>
      </c>
      <c r="E48" s="8" t="inlineStr">
        <is>
          <t>引用负荷(自动)</t>
        </is>
      </c>
      <c r="F48" s="8" t="inlineStr">
        <is>
          <t>备注</t>
        </is>
      </c>
    </row>
    <row r="49">
      <c r="A49" s="11" t="inlineStr">
        <is>
          <t>SJ</t>
        </is>
      </c>
      <c r="B49" s="11" t="inlineStr">
        <is>
          <t>3×3</t>
        </is>
      </c>
      <c r="C49" s="11" t="inlineStr">
        <is>
          <t>静止2–3秒后最大努力起跳</t>
        </is>
      </c>
      <c r="D49" s="11" t="inlineStr">
        <is>
          <t>90s</t>
        </is>
      </c>
      <c r="E49" s="11" t="n"/>
      <c r="F49" s="11" t="n"/>
    </row>
    <row r="50">
      <c r="A50" s="16" t="inlineStr">
        <is>
          <t>周次</t>
        </is>
      </c>
      <c r="B50" s="16" t="inlineStr">
        <is>
          <t>内容</t>
        </is>
      </c>
      <c r="C50" s="16" t="inlineStr">
        <is>
          <t>建议负荷(自动引用)</t>
        </is>
      </c>
      <c r="D50" s="16" t="inlineStr">
        <is>
          <t>组数×次数</t>
        </is>
      </c>
      <c r="E50" s="16" t="inlineStr">
        <is>
          <t>停组标准</t>
        </is>
      </c>
      <c r="F50" s="16" t="inlineStr">
        <is>
          <t>休息</t>
        </is>
      </c>
    </row>
    <row r="51">
      <c r="A51" s="9" t="inlineStr">
        <is>
          <t>第1周</t>
        </is>
      </c>
      <c r="B51" s="11" t="inlineStr">
        <is>
          <t>负重深蹲跳</t>
        </is>
      </c>
      <c r="C51" s="17">
        <f>C8</f>
        <v/>
      </c>
      <c r="D51" s="11" t="inlineStr">
        <is>
          <t>3×4</t>
        </is>
      </c>
      <c r="E51" s="11" t="inlineStr">
        <is>
          <t>每次尽力跳高</t>
        </is>
      </c>
      <c r="F51" s="11" t="inlineStr">
        <is>
          <t>2 min</t>
        </is>
      </c>
    </row>
    <row r="52">
      <c r="A52" s="12" t="inlineStr">
        <is>
          <t>第2周</t>
        </is>
      </c>
      <c r="B52" s="14" t="inlineStr">
        <is>
          <t>负重深蹲跳</t>
        </is>
      </c>
      <c r="C52" s="18">
        <f>C9</f>
        <v/>
      </c>
      <c r="D52" s="14" t="inlineStr">
        <is>
          <t>3×4–5</t>
        </is>
      </c>
      <c r="E52" s="14" t="inlineStr">
        <is>
          <t>落地稳定</t>
        </is>
      </c>
      <c r="F52" s="14" t="inlineStr">
        <is>
          <t>2 min</t>
        </is>
      </c>
    </row>
    <row r="53">
      <c r="A53" s="9" t="inlineStr">
        <is>
          <t>第3周</t>
        </is>
      </c>
      <c r="B53" s="11" t="inlineStr">
        <is>
          <t>负重深蹲跳</t>
        </is>
      </c>
      <c r="C53" s="17">
        <f>C10</f>
        <v/>
      </c>
      <c r="D53" s="11" t="inlineStr">
        <is>
          <t>3×5</t>
        </is>
      </c>
      <c r="E53" s="11" t="inlineStr">
        <is>
          <t>同上</t>
        </is>
      </c>
      <c r="F53" s="11" t="inlineStr">
        <is>
          <t>2 min</t>
        </is>
      </c>
    </row>
    <row r="54">
      <c r="A54" s="12" t="inlineStr">
        <is>
          <t>第4周</t>
        </is>
      </c>
      <c r="B54" s="14" t="inlineStr">
        <is>
          <t>负重深蹲跳</t>
        </is>
      </c>
      <c r="C54" s="18">
        <f>C11</f>
        <v/>
      </c>
      <c r="D54" s="14" t="inlineStr">
        <is>
          <t>2×4</t>
        </is>
      </c>
      <c r="E54" s="14" t="inlineStr">
        <is>
          <t>同上</t>
        </is>
      </c>
      <c r="F54" s="14" t="inlineStr">
        <is>
          <t>2 min</t>
        </is>
      </c>
    </row>
    <row r="55">
      <c r="A55" s="9" t="inlineStr">
        <is>
          <t>第1周</t>
        </is>
      </c>
      <c r="B55" s="11" t="inlineStr">
        <is>
          <t>后蹲主项</t>
        </is>
      </c>
      <c r="C55" s="17">
        <f>D8</f>
        <v/>
      </c>
      <c r="D55" s="11" t="inlineStr">
        <is>
          <t>4×3</t>
        </is>
      </c>
      <c r="E55" s="11" t="inlineStr">
        <is>
          <t>明显变慢即停</t>
        </is>
      </c>
      <c r="F55" s="11" t="inlineStr">
        <is>
          <t>2.5–3 min</t>
        </is>
      </c>
    </row>
    <row r="56">
      <c r="A56" s="12" t="inlineStr">
        <is>
          <t>第2周</t>
        </is>
      </c>
      <c r="B56" s="14" t="inlineStr">
        <is>
          <t>后蹲主项</t>
        </is>
      </c>
      <c r="C56" s="18">
        <f>D9</f>
        <v/>
      </c>
      <c r="D56" s="14" t="inlineStr">
        <is>
          <t>5×3</t>
        </is>
      </c>
      <c r="E56" s="14" t="inlineStr">
        <is>
          <t>同上</t>
        </is>
      </c>
      <c r="F56" s="14" t="inlineStr">
        <is>
          <t>2.5–3 min</t>
        </is>
      </c>
    </row>
    <row r="57">
      <c r="A57" s="9" t="inlineStr">
        <is>
          <t>第3周</t>
        </is>
      </c>
      <c r="B57" s="11" t="inlineStr">
        <is>
          <t>后蹲主项</t>
        </is>
      </c>
      <c r="C57" s="17">
        <f>D10</f>
        <v/>
      </c>
      <c r="D57" s="11" t="inlineStr">
        <is>
          <t>5×3</t>
        </is>
      </c>
      <c r="E57" s="11" t="inlineStr">
        <is>
          <t>同上</t>
        </is>
      </c>
      <c r="F57" s="11" t="inlineStr">
        <is>
          <t>2.5–3 min</t>
        </is>
      </c>
    </row>
    <row r="58">
      <c r="A58" s="12" t="inlineStr">
        <is>
          <t>第4周</t>
        </is>
      </c>
      <c r="B58" s="14" t="inlineStr">
        <is>
          <t>后蹲主项</t>
        </is>
      </c>
      <c r="C58" s="18">
        <f>D11</f>
        <v/>
      </c>
      <c r="D58" s="14" t="inlineStr">
        <is>
          <t>3×3</t>
        </is>
      </c>
      <c r="E58" s="14" t="inlineStr">
        <is>
          <t>同上</t>
        </is>
      </c>
      <c r="F58" s="14" t="inlineStr">
        <is>
          <t>2.5–3 min</t>
        </is>
      </c>
    </row>
    <row r="59">
      <c r="A59" s="19" t="inlineStr">
        <is>
          <t>辅助动作</t>
        </is>
      </c>
      <c r="B59" s="19" t="inlineStr">
        <is>
          <t>组数×次数</t>
        </is>
      </c>
      <c r="C59" s="19" t="inlineStr">
        <is>
          <t>要求</t>
        </is>
      </c>
      <c r="D59" s="19" t="inlineStr">
        <is>
          <t>休息</t>
        </is>
      </c>
      <c r="E59" s="19" t="n"/>
      <c r="F59" s="19" t="n"/>
    </row>
    <row r="60">
      <c r="A60" s="11" t="inlineStr">
        <is>
          <t>保加利亚单腿蹲</t>
        </is>
      </c>
      <c r="B60" s="11" t="inlineStr">
        <is>
          <t>W1:3×6/腿 W2:3×6–8/腿 W3:3×6–8/腿 W4:2×6/腿</t>
        </is>
      </c>
      <c r="C60" s="11" t="inlineStr">
        <is>
          <t>研究员确定负荷，RIR 2</t>
        </is>
      </c>
      <c r="D60" s="11" t="inlineStr">
        <is>
          <t>90s</t>
        </is>
      </c>
      <c r="E60" s="11" t="n"/>
      <c r="F60" s="11" t="n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ageMargins left="0.75" right="0.75" top="1" bottom="1" header="0.5" footer="0.5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2026-07-27T11:54:21Z</dcterms:created>
  <dcterms:modified xmlns:dcterms="http://purl.org/dc/terms/" xmlns:xsi="http://www.w3.org/2001/XMLSchema-instance" xsi:type="dcterms:W3CDTF">2026-07-27T11:54:21Z</dcterms:modified>
</cp:coreProperties>
</file>