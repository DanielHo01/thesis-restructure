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研究生文件\研二\研二下(2026.03-2026.06)\2026年3月\毕业论文\03-实验实施\实验干预\"/>
    </mc:Choice>
  </mc:AlternateContent>
  <xr:revisionPtr revIDLastSave="0" documentId="13_ncr:1_{8413A220-48C0-4919-8081-2387E27C673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负荷总表(内部)" sheetId="1" r:id="rId1"/>
    <sheet name="训练卡模板(复制用)" sheetId="2" state="hidden" r:id="rId2"/>
    <sheet name="P014_陶俊杰" sheetId="3" r:id="rId3"/>
    <sheet name="P012_李远熙" sheetId="4" r:id="rId4"/>
    <sheet name="P004_王慧宁" sheetId="5" r:id="rId5"/>
    <sheet name="P003_余锋友" sheetId="6" r:id="rId6"/>
    <sheet name="P020_梁辉靖" sheetId="7" r:id="rId7"/>
    <sheet name="P023_杨子恒" sheetId="8" r:id="rId8"/>
    <sheet name="P021_李浩然" sheetId="9" r:id="rId9"/>
    <sheet name="P008_马咏野" sheetId="10" r:id="rId10"/>
    <sheet name="P013_刘世灏" sheetId="11" r:id="rId11"/>
    <sheet name="P024_黄天祺" sheetId="12" r:id="rId12"/>
    <sheet name="P001_陈骏" sheetId="13" r:id="rId13"/>
    <sheet name="P022_卢狄" sheetId="14" r:id="rId14"/>
  </sheets>
  <definedNames>
    <definedName name="_xlnm.Print_Area" localSheetId="1">'训练卡模板(复制用)'!$A$1:$F$60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4" l="1"/>
  <c r="C58" i="14" s="1"/>
  <c r="C11" i="14"/>
  <c r="C54" i="14" s="1"/>
  <c r="B11" i="14"/>
  <c r="C32" i="14" s="1"/>
  <c r="D10" i="14"/>
  <c r="C57" i="14" s="1"/>
  <c r="C10" i="14"/>
  <c r="C53" i="14" s="1"/>
  <c r="B10" i="14"/>
  <c r="C31" i="14" s="1"/>
  <c r="D9" i="14"/>
  <c r="C56" i="14" s="1"/>
  <c r="C9" i="14"/>
  <c r="C52" i="14" s="1"/>
  <c r="B9" i="14"/>
  <c r="C30" i="14" s="1"/>
  <c r="D8" i="14"/>
  <c r="C55" i="14" s="1"/>
  <c r="C8" i="14"/>
  <c r="C51" i="14" s="1"/>
  <c r="B8" i="14"/>
  <c r="C29" i="14" s="1"/>
  <c r="C57" i="13"/>
  <c r="C55" i="13"/>
  <c r="C30" i="13"/>
  <c r="D11" i="13"/>
  <c r="C58" i="13" s="1"/>
  <c r="C11" i="13"/>
  <c r="C54" i="13" s="1"/>
  <c r="B11" i="13"/>
  <c r="C32" i="13" s="1"/>
  <c r="D10" i="13"/>
  <c r="C10" i="13"/>
  <c r="C53" i="13" s="1"/>
  <c r="B10" i="13"/>
  <c r="C31" i="13" s="1"/>
  <c r="D9" i="13"/>
  <c r="C56" i="13" s="1"/>
  <c r="C9" i="13"/>
  <c r="C52" i="13" s="1"/>
  <c r="B9" i="13"/>
  <c r="D8" i="13"/>
  <c r="C8" i="13"/>
  <c r="C51" i="13" s="1"/>
  <c r="B8" i="13"/>
  <c r="C29" i="13" s="1"/>
  <c r="C57" i="12"/>
  <c r="C55" i="12"/>
  <c r="C51" i="12"/>
  <c r="C30" i="12"/>
  <c r="D11" i="12"/>
  <c r="C58" i="12" s="1"/>
  <c r="C11" i="12"/>
  <c r="C54" i="12" s="1"/>
  <c r="B11" i="12"/>
  <c r="C32" i="12" s="1"/>
  <c r="D10" i="12"/>
  <c r="C10" i="12"/>
  <c r="C53" i="12" s="1"/>
  <c r="B10" i="12"/>
  <c r="C31" i="12" s="1"/>
  <c r="D9" i="12"/>
  <c r="C56" i="12" s="1"/>
  <c r="C9" i="12"/>
  <c r="C52" i="12" s="1"/>
  <c r="B9" i="12"/>
  <c r="D8" i="12"/>
  <c r="C8" i="12"/>
  <c r="B8" i="12"/>
  <c r="C29" i="12" s="1"/>
  <c r="C57" i="11"/>
  <c r="C55" i="11"/>
  <c r="C51" i="11"/>
  <c r="C30" i="11"/>
  <c r="D11" i="11"/>
  <c r="C58" i="11" s="1"/>
  <c r="C11" i="11"/>
  <c r="C54" i="11" s="1"/>
  <c r="B11" i="11"/>
  <c r="C32" i="11" s="1"/>
  <c r="D10" i="11"/>
  <c r="C10" i="11"/>
  <c r="C53" i="11" s="1"/>
  <c r="B10" i="11"/>
  <c r="C31" i="11" s="1"/>
  <c r="D9" i="11"/>
  <c r="C56" i="11" s="1"/>
  <c r="C9" i="11"/>
  <c r="C52" i="11" s="1"/>
  <c r="B9" i="11"/>
  <c r="D8" i="11"/>
  <c r="C8" i="11"/>
  <c r="B8" i="11"/>
  <c r="C29" i="11" s="1"/>
  <c r="C57" i="10"/>
  <c r="C55" i="10"/>
  <c r="C51" i="10"/>
  <c r="C30" i="10"/>
  <c r="D11" i="10"/>
  <c r="C58" i="10" s="1"/>
  <c r="C11" i="10"/>
  <c r="C54" i="10" s="1"/>
  <c r="B11" i="10"/>
  <c r="C32" i="10" s="1"/>
  <c r="D10" i="10"/>
  <c r="C10" i="10"/>
  <c r="C53" i="10" s="1"/>
  <c r="B10" i="10"/>
  <c r="C31" i="10" s="1"/>
  <c r="D9" i="10"/>
  <c r="C56" i="10" s="1"/>
  <c r="C9" i="10"/>
  <c r="C52" i="10" s="1"/>
  <c r="B9" i="10"/>
  <c r="D8" i="10"/>
  <c r="C8" i="10"/>
  <c r="B8" i="10"/>
  <c r="C29" i="10" s="1"/>
  <c r="C57" i="9"/>
  <c r="C55" i="9"/>
  <c r="C51" i="9"/>
  <c r="C30" i="9"/>
  <c r="D11" i="9"/>
  <c r="C58" i="9" s="1"/>
  <c r="C11" i="9"/>
  <c r="C54" i="9" s="1"/>
  <c r="B11" i="9"/>
  <c r="C32" i="9" s="1"/>
  <c r="D10" i="9"/>
  <c r="C10" i="9"/>
  <c r="C53" i="9" s="1"/>
  <c r="B10" i="9"/>
  <c r="C31" i="9" s="1"/>
  <c r="D9" i="9"/>
  <c r="C56" i="9" s="1"/>
  <c r="C9" i="9"/>
  <c r="C52" i="9" s="1"/>
  <c r="B9" i="9"/>
  <c r="D8" i="9"/>
  <c r="C8" i="9"/>
  <c r="B8" i="9"/>
  <c r="C29" i="9" s="1"/>
  <c r="C57" i="8"/>
  <c r="C56" i="8"/>
  <c r="C55" i="8"/>
  <c r="C51" i="8"/>
  <c r="C30" i="8"/>
  <c r="D11" i="8"/>
  <c r="C58" i="8" s="1"/>
  <c r="C11" i="8"/>
  <c r="C54" i="8" s="1"/>
  <c r="B11" i="8"/>
  <c r="C32" i="8" s="1"/>
  <c r="D10" i="8"/>
  <c r="C10" i="8"/>
  <c r="C53" i="8" s="1"/>
  <c r="B10" i="8"/>
  <c r="C31" i="8" s="1"/>
  <c r="D9" i="8"/>
  <c r="C9" i="8"/>
  <c r="C52" i="8" s="1"/>
  <c r="B9" i="8"/>
  <c r="D8" i="8"/>
  <c r="C8" i="8"/>
  <c r="B8" i="8"/>
  <c r="C29" i="8" s="1"/>
  <c r="C57" i="7"/>
  <c r="C56" i="7"/>
  <c r="C55" i="7"/>
  <c r="C51" i="7"/>
  <c r="C30" i="7"/>
  <c r="D11" i="7"/>
  <c r="C58" i="7" s="1"/>
  <c r="C11" i="7"/>
  <c r="C54" i="7" s="1"/>
  <c r="B11" i="7"/>
  <c r="C32" i="7" s="1"/>
  <c r="D10" i="7"/>
  <c r="C10" i="7"/>
  <c r="C53" i="7" s="1"/>
  <c r="B10" i="7"/>
  <c r="C31" i="7" s="1"/>
  <c r="D9" i="7"/>
  <c r="C9" i="7"/>
  <c r="C52" i="7" s="1"/>
  <c r="B9" i="7"/>
  <c r="D8" i="7"/>
  <c r="C8" i="7"/>
  <c r="B8" i="7"/>
  <c r="C29" i="7" s="1"/>
  <c r="C57" i="6"/>
  <c r="C56" i="6"/>
  <c r="C55" i="6"/>
  <c r="C51" i="6"/>
  <c r="C30" i="6"/>
  <c r="D11" i="6"/>
  <c r="C58" i="6" s="1"/>
  <c r="C11" i="6"/>
  <c r="C54" i="6" s="1"/>
  <c r="B11" i="6"/>
  <c r="C32" i="6" s="1"/>
  <c r="D10" i="6"/>
  <c r="C10" i="6"/>
  <c r="C53" i="6" s="1"/>
  <c r="B10" i="6"/>
  <c r="C31" i="6" s="1"/>
  <c r="D9" i="6"/>
  <c r="C9" i="6"/>
  <c r="C52" i="6" s="1"/>
  <c r="B9" i="6"/>
  <c r="D8" i="6"/>
  <c r="C8" i="6"/>
  <c r="B8" i="6"/>
  <c r="C29" i="6" s="1"/>
  <c r="C57" i="5"/>
  <c r="C56" i="5"/>
  <c r="C55" i="5"/>
  <c r="C51" i="5"/>
  <c r="C30" i="5"/>
  <c r="D11" i="5"/>
  <c r="C58" i="5" s="1"/>
  <c r="C11" i="5"/>
  <c r="C54" i="5" s="1"/>
  <c r="B11" i="5"/>
  <c r="C32" i="5" s="1"/>
  <c r="D10" i="5"/>
  <c r="C10" i="5"/>
  <c r="C53" i="5" s="1"/>
  <c r="B10" i="5"/>
  <c r="C31" i="5" s="1"/>
  <c r="D9" i="5"/>
  <c r="C9" i="5"/>
  <c r="C52" i="5" s="1"/>
  <c r="B9" i="5"/>
  <c r="D8" i="5"/>
  <c r="C8" i="5"/>
  <c r="B8" i="5"/>
  <c r="C29" i="5" s="1"/>
  <c r="C57" i="4"/>
  <c r="C56" i="4"/>
  <c r="C55" i="4"/>
  <c r="C51" i="4"/>
  <c r="C30" i="4"/>
  <c r="D11" i="4"/>
  <c r="C58" i="4" s="1"/>
  <c r="C11" i="4"/>
  <c r="C54" i="4" s="1"/>
  <c r="B11" i="4"/>
  <c r="C32" i="4" s="1"/>
  <c r="D10" i="4"/>
  <c r="C10" i="4"/>
  <c r="C53" i="4" s="1"/>
  <c r="B10" i="4"/>
  <c r="C31" i="4" s="1"/>
  <c r="D9" i="4"/>
  <c r="C9" i="4"/>
  <c r="C52" i="4" s="1"/>
  <c r="B9" i="4"/>
  <c r="D8" i="4"/>
  <c r="C8" i="4"/>
  <c r="B8" i="4"/>
  <c r="C29" i="4" s="1"/>
  <c r="C57" i="3"/>
  <c r="C56" i="3"/>
  <c r="C55" i="3"/>
  <c r="C51" i="3"/>
  <c r="C30" i="3"/>
  <c r="D11" i="3"/>
  <c r="C58" i="3" s="1"/>
  <c r="C11" i="3"/>
  <c r="C54" i="3" s="1"/>
  <c r="B11" i="3"/>
  <c r="C32" i="3" s="1"/>
  <c r="D10" i="3"/>
  <c r="C10" i="3"/>
  <c r="C53" i="3" s="1"/>
  <c r="B10" i="3"/>
  <c r="C31" i="3" s="1"/>
  <c r="D9" i="3"/>
  <c r="C9" i="3"/>
  <c r="C52" i="3" s="1"/>
  <c r="B9" i="3"/>
  <c r="D8" i="3"/>
  <c r="C8" i="3"/>
  <c r="B8" i="3"/>
  <c r="C29" i="3" s="1"/>
  <c r="C57" i="2"/>
  <c r="C51" i="2"/>
  <c r="C30" i="2"/>
  <c r="D11" i="2"/>
  <c r="C58" i="2" s="1"/>
  <c r="C11" i="2"/>
  <c r="C54" i="2" s="1"/>
  <c r="B11" i="2"/>
  <c r="C32" i="2" s="1"/>
  <c r="D10" i="2"/>
  <c r="C10" i="2"/>
  <c r="C53" i="2" s="1"/>
  <c r="B10" i="2"/>
  <c r="C31" i="2" s="1"/>
  <c r="D9" i="2"/>
  <c r="C56" i="2" s="1"/>
  <c r="C9" i="2"/>
  <c r="C52" i="2" s="1"/>
  <c r="B9" i="2"/>
  <c r="D8" i="2"/>
  <c r="C55" i="2" s="1"/>
  <c r="C8" i="2"/>
  <c r="B8" i="2"/>
  <c r="C29" i="2" s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  <c r="O13" i="1"/>
  <c r="N13" i="1"/>
  <c r="M13" i="1"/>
  <c r="L13" i="1"/>
  <c r="K13" i="1"/>
  <c r="J13" i="1"/>
  <c r="I13" i="1"/>
  <c r="H13" i="1"/>
  <c r="G13" i="1"/>
  <c r="F13" i="1"/>
  <c r="E13" i="1"/>
  <c r="D13" i="1"/>
  <c r="O12" i="1"/>
  <c r="N12" i="1"/>
  <c r="M12" i="1"/>
  <c r="L12" i="1"/>
  <c r="K12" i="1"/>
  <c r="J12" i="1"/>
  <c r="I12" i="1"/>
  <c r="H12" i="1"/>
  <c r="G12" i="1"/>
  <c r="F12" i="1"/>
  <c r="E12" i="1"/>
  <c r="D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O9" i="1"/>
  <c r="N9" i="1"/>
  <c r="M9" i="1"/>
  <c r="L9" i="1"/>
  <c r="K9" i="1"/>
  <c r="J9" i="1"/>
  <c r="I9" i="1"/>
  <c r="H9" i="1"/>
  <c r="G9" i="1"/>
  <c r="F9" i="1"/>
  <c r="E9" i="1"/>
  <c r="D9" i="1"/>
  <c r="O8" i="1"/>
  <c r="N8" i="1"/>
  <c r="M8" i="1"/>
  <c r="L8" i="1"/>
  <c r="K8" i="1"/>
  <c r="J8" i="1"/>
  <c r="I8" i="1"/>
  <c r="H8" i="1"/>
  <c r="G8" i="1"/>
  <c r="F8" i="1"/>
  <c r="E8" i="1"/>
  <c r="D8" i="1"/>
  <c r="O7" i="1"/>
  <c r="N7" i="1"/>
  <c r="M7" i="1"/>
  <c r="L7" i="1"/>
  <c r="K7" i="1"/>
  <c r="J7" i="1"/>
  <c r="I7" i="1"/>
  <c r="H7" i="1"/>
  <c r="G7" i="1"/>
  <c r="F7" i="1"/>
  <c r="E7" i="1"/>
  <c r="D7" i="1"/>
  <c r="O6" i="1"/>
  <c r="N6" i="1"/>
  <c r="M6" i="1"/>
  <c r="L6" i="1"/>
  <c r="K6" i="1"/>
  <c r="J6" i="1"/>
  <c r="I6" i="1"/>
  <c r="H6" i="1"/>
  <c r="G6" i="1"/>
  <c r="F6" i="1"/>
  <c r="E6" i="1"/>
  <c r="D6" i="1"/>
  <c r="O5" i="1"/>
  <c r="N5" i="1"/>
  <c r="M5" i="1"/>
  <c r="L5" i="1"/>
  <c r="K5" i="1"/>
  <c r="J5" i="1"/>
  <c r="I5" i="1"/>
  <c r="H5" i="1"/>
  <c r="G5" i="1"/>
  <c r="F5" i="1"/>
  <c r="E5" i="1"/>
  <c r="D5" i="1"/>
  <c r="O4" i="1"/>
  <c r="N4" i="1"/>
  <c r="M4" i="1"/>
  <c r="L4" i="1"/>
  <c r="K4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<sst xmlns="http://schemas.openxmlformats.org/spreadsheetml/2006/main" count="2977" uniqueCount="154">
  <si>
    <t>研究二 · 自我指导组 · 4周负荷总表（研究员内部用）</t>
  </si>
  <si>
    <t>公式版：改C列1RM，D~N自动算。本表汇总12人全部负荷，便于横向对比</t>
  </si>
  <si>
    <t>受试者编号</t>
  </si>
  <si>
    <t>姓名</t>
  </si>
  <si>
    <t>1RM(kg)</t>
  </si>
  <si>
    <t>W1_DayA后蹲</t>
  </si>
  <si>
    <t>W1_DayB深蹲跳</t>
  </si>
  <si>
    <t>W1_DayB后蹲</t>
  </si>
  <si>
    <t>W2_DayA后蹲</t>
  </si>
  <si>
    <t>W2_DayB深蹲跳</t>
  </si>
  <si>
    <t>W2_DayB后蹲</t>
  </si>
  <si>
    <t>W3_DayA后蹲</t>
  </si>
  <si>
    <t>W3_DayB深蹲跳</t>
  </si>
  <si>
    <t>W3_DayB后蹲</t>
  </si>
  <si>
    <t>W4_DayA后蹲</t>
  </si>
  <si>
    <t>W4_DayB深蹲跳</t>
  </si>
  <si>
    <t>W4_DayB后蹲</t>
  </si>
  <si>
    <t>P014</t>
  </si>
  <si>
    <t>陶俊杰</t>
  </si>
  <si>
    <t>P012</t>
  </si>
  <si>
    <t>李远熙</t>
  </si>
  <si>
    <t>P004</t>
  </si>
  <si>
    <t>王慧宁</t>
  </si>
  <si>
    <t>P003</t>
  </si>
  <si>
    <t>余锋友</t>
  </si>
  <si>
    <t>P020</t>
  </si>
  <si>
    <t>梁辉靖</t>
  </si>
  <si>
    <t>P023</t>
  </si>
  <si>
    <t>杨子恒</t>
  </si>
  <si>
    <t>P021</t>
  </si>
  <si>
    <t>李浩然</t>
  </si>
  <si>
    <t>P008</t>
  </si>
  <si>
    <t>马咏野</t>
  </si>
  <si>
    <t>P013</t>
  </si>
  <si>
    <t>刘世灏</t>
  </si>
  <si>
    <t>P024</t>
  </si>
  <si>
    <t>黄天祺</t>
  </si>
  <si>
    <t>P001</t>
  </si>
  <si>
    <t>陈骏</t>
  </si>
  <si>
    <t>P022</t>
  </si>
  <si>
    <t>卢狄</t>
  </si>
  <si>
    <t>研究二 · 自我指导组训练卡</t>
  </si>
  <si>
    <t>受试者编号：</t>
  </si>
  <si>
    <t>姓名：</t>
  </si>
  <si>
    <t>基线深蹲1RM（kg）：</t>
  </si>
  <si>
    <t>区域B：4周主项负荷总表（⚠️ 只改B4的1RM，下方全部自动计算）</t>
  </si>
  <si>
    <t>周次</t>
  </si>
  <si>
    <t>Day A 后蹲(kg)</t>
  </si>
  <si>
    <t>Day B 负重深蹲跳(kg)</t>
  </si>
  <si>
    <t>Day B 后蹲(kg)</t>
  </si>
  <si>
    <t>Day A RIR目标</t>
  </si>
  <si>
    <t>Day B 停组标准</t>
  </si>
  <si>
    <t>第1周</t>
  </si>
  <si>
    <t>2–3</t>
  </si>
  <si>
    <t>明显变慢即停</t>
  </si>
  <si>
    <t>第2周</t>
  </si>
  <si>
    <t>1–2</t>
  </si>
  <si>
    <t>第3周</t>
  </si>
  <si>
    <t>第4周</t>
  </si>
  <si>
    <t>Day A · 力量日流程</t>
  </si>
  <si>
    <t>顺序</t>
  </si>
  <si>
    <t>阶段</t>
  </si>
  <si>
    <t>内容</t>
  </si>
  <si>
    <t>要求</t>
  </si>
  <si>
    <t>时长/次数</t>
  </si>
  <si>
    <t>休息</t>
  </si>
  <si>
    <t>Raise</t>
  </si>
  <si>
    <t>功率自行车或慢跑</t>
  </si>
  <si>
    <t>RPE 3–4，微微出汗</t>
  </si>
  <si>
    <t>5 min</t>
  </si>
  <si>
    <t>Activate</t>
  </si>
  <si>
    <t>弹力带侧向行走 1×10步/侧</t>
  </si>
  <si>
    <t>臀中肌激活</t>
  </si>
  <si>
    <t>—</t>
  </si>
  <si>
    <t>弹力带怪兽走 1×10步</t>
  </si>
  <si>
    <t>保持微蹲</t>
  </si>
  <si>
    <t>Mobilize</t>
  </si>
  <si>
    <t>复合弓箭步转体 6次/侧</t>
  </si>
  <si>
    <t>控制幅度</t>
  </si>
  <si>
    <t>90/90髋关节旋转 6次</t>
  </si>
  <si>
    <t>缓慢有控制</t>
  </si>
  <si>
    <t>踝关节动态活动 6次/侧</t>
  </si>
  <si>
    <t>膝盖超过脚尖</t>
  </si>
  <si>
    <t>Potentiate</t>
  </si>
  <si>
    <t>踝跳 2×8</t>
  </si>
  <si>
    <t>脚踝快速弹跳</t>
  </si>
  <si>
    <t>原地次最大跳 2次</t>
  </si>
  <si>
    <t>约80%努力程度</t>
  </si>
  <si>
    <t>Day A · 专项热身 → 主项 → 辅助</t>
  </si>
  <si>
    <t>次数</t>
  </si>
  <si>
    <t>引用负荷(自动)</t>
  </si>
  <si>
    <t>备注</t>
  </si>
  <si>
    <t>空杆后蹲</t>
  </si>
  <si>
    <t>×5</t>
  </si>
  <si>
    <t>感受动作节奏</t>
  </si>
  <si>
    <t>60s</t>
  </si>
  <si>
    <t>50%当日主项负荷</t>
  </si>
  <si>
    <t>×3</t>
  </si>
  <si>
    <t>逐渐加速向心</t>
  </si>
  <si>
    <t>60–90s</t>
  </si>
  <si>
    <t>70%当日主项负荷</t>
  </si>
  <si>
    <t>×2</t>
  </si>
  <si>
    <t>接近正式节奏</t>
  </si>
  <si>
    <t>90–120s</t>
  </si>
  <si>
    <t>组数×次数</t>
  </si>
  <si>
    <t>建议负荷(自动引用)</t>
  </si>
  <si>
    <t>目标RIR</t>
  </si>
  <si>
    <t>辅助动作</t>
  </si>
  <si>
    <t>4×4–5</t>
  </si>
  <si>
    <t>3–4 min</t>
  </si>
  <si>
    <t>RDL 3×6</t>
  </si>
  <si>
    <t>5×4–5</t>
  </si>
  <si>
    <t>RDL 3×5–6</t>
  </si>
  <si>
    <t>RDL 3×5</t>
  </si>
  <si>
    <t>3×4</t>
  </si>
  <si>
    <t>RDL 2×5</t>
  </si>
  <si>
    <t>Day A · 增强式激活</t>
  </si>
  <si>
    <t>CMJ</t>
  </si>
  <si>
    <t>3×3</t>
  </si>
  <si>
    <t>双手叉腰，最大努力</t>
  </si>
  <si>
    <t>90s</t>
  </si>
  <si>
    <t>箱跳</t>
  </si>
  <si>
    <t>W1:2×3 / W2:2×3 / W3:3×3 / W4:1×3</t>
  </si>
  <si>
    <t>落地稳定</t>
  </si>
  <si>
    <t>Day B · 速度力量日流程</t>
  </si>
  <si>
    <t>慢跑+高抬腿+A-Skip</t>
  </si>
  <si>
    <t>强调节奏与步频</t>
  </si>
  <si>
    <t>单腿臀桥 1×8次/侧</t>
  </si>
  <si>
    <t>顶端停顿1秒</t>
  </si>
  <si>
    <t>站姿抱膝行走 6次/侧</t>
  </si>
  <si>
    <t>挺胸保持平衡</t>
  </si>
  <si>
    <t>前后摆腿 6次/侧</t>
  </si>
  <si>
    <t>自然摆动</t>
  </si>
  <si>
    <t>世界最伟大拉伸 6次/侧</t>
  </si>
  <si>
    <t>次最大跳跃 2次</t>
  </si>
  <si>
    <t>Day B · 增强式激活 → 主项 → 辅助</t>
  </si>
  <si>
    <t>SJ</t>
  </si>
  <si>
    <t>静止2–3秒后最大努力起跳</t>
  </si>
  <si>
    <t>停组标准</t>
  </si>
  <si>
    <t>负重深蹲跳</t>
  </si>
  <si>
    <t>每次尽力跳高</t>
  </si>
  <si>
    <t>2 min</t>
  </si>
  <si>
    <t>3×4–5</t>
  </si>
  <si>
    <t>3×5</t>
  </si>
  <si>
    <t>同上</t>
  </si>
  <si>
    <t>2×4</t>
  </si>
  <si>
    <t>后蹲主项</t>
  </si>
  <si>
    <t>4×3</t>
  </si>
  <si>
    <t>2.5–3 min</t>
  </si>
  <si>
    <t>5×3</t>
  </si>
  <si>
    <t>保加利亚单腿蹲</t>
  </si>
  <si>
    <t>W1:3×6/腿 W2:3×6–8/腿 W3:3×6–8/腿 W4:2×6/腿</t>
  </si>
  <si>
    <t>研究员确定负荷，RIR 2</t>
  </si>
  <si>
    <t>自主确定负荷，RIR 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</si>
</sst>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1"/>
      <color theme="1"/>
      <name val="宋体"/>
      <family val="2"/>
      <scheme val="minor"/>
    </font>
    <font>
      <b/>
      <sz val="14"/>
      <color rgb="FFFFFFFF"/>
      <name val="Microsoft YaHei"/>
    </font>
    <font>
      <sz val="10"/>
      <color rgb="FF555555"/>
      <name val="Microsoft YaHei"/>
    </font>
    <font>
      <b/>
      <sz val="11"/>
      <color rgb="FFFFFFFF"/>
      <name val="Microsoft YaHei"/>
    </font>
    <font>
      <sz val="11"/>
      <name val="Microsoft YaHei"/>
    </font>
    <font>
      <b/>
      <sz val="12"/>
      <color rgb="FFC00000"/>
      <name val="Microsoft YaHei"/>
    </font>
    <font>
      <b/>
      <sz val="11"/>
      <color rgb="FF0000FF"/>
      <name val="Microsoft YaHei"/>
    </font>
    <font>
      <b/>
      <sz val="11"/>
      <name val="Microsoft YaHei"/>
    </font>
    <font>
      <b/>
      <sz val="12"/>
      <color rgb="FF1F4E79"/>
      <name val="Microsoft YaHei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8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/>
    <xf numFmtId="0" fontId="7" fillId="0" borderId="1" xfId="0" applyFont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176" fontId="5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/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5"/>
  <sheetViews>
    <sheetView workbookViewId="0">
      <pane xSplit="3" ySplit="3" topLeftCell="D4" activePane="bottomRight" state="frozen"/>
      <selection pane="topRight"/>
      <selection pane="bottomLeft"/>
      <selection pane="bottomRight" activeCell="C4" sqref="C4"/>
    </sheetView>
  </sheetViews>
  <sheetFormatPr defaultRowHeight="13.5"/>
  <cols>
    <col min="1" max="1" width="14" customWidth="1"/>
    <col min="2" max="3" width="10" customWidth="1"/>
    <col min="4" max="4" width="16" customWidth="1"/>
    <col min="5" max="5" width="18" customWidth="1"/>
    <col min="6" max="7" width="16" customWidth="1"/>
    <col min="8" max="8" width="18" customWidth="1"/>
    <col min="9" max="10" width="16" customWidth="1"/>
    <col min="11" max="11" width="18" customWidth="1"/>
    <col min="12" max="13" width="16" customWidth="1"/>
    <col min="14" max="14" width="18" customWidth="1"/>
  </cols>
  <sheetData>
    <row r="1" spans="1:1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5" ht="3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>
      <c r="A4" s="2" t="s">
        <v>17</v>
      </c>
      <c r="B4" s="2" t="s">
        <v>18</v>
      </c>
      <c r="C4" s="3">
        <v>170</v>
      </c>
      <c r="D4" s="4">
        <f t="shared" ref="D4:D15" si="0">MROUND(C4*0.725,2.5)</f>
        <v>122.5</v>
      </c>
      <c r="E4" s="4">
        <f t="shared" ref="E4:E15" si="1">MAX(MROUND(C4*0.175,2.5),20)</f>
        <v>30</v>
      </c>
      <c r="F4" s="4">
        <f t="shared" ref="F4:F15" si="2">MROUND(C4*0.625,2.5)</f>
        <v>107.5</v>
      </c>
      <c r="G4" s="4">
        <f t="shared" ref="G4:G15" si="3">MROUND(C4*0.775,2.5)</f>
        <v>132.5</v>
      </c>
      <c r="H4" s="4">
        <f t="shared" ref="H4:H15" si="4">MAX(MROUND(C4*0.225,2.5),20)</f>
        <v>37.5</v>
      </c>
      <c r="I4" s="4">
        <f t="shared" ref="I4:I15" si="5">MROUND(C4*0.675,2.5)</f>
        <v>115</v>
      </c>
      <c r="J4" s="4">
        <f t="shared" ref="J4:J15" si="6">MROUND(C4*0.825,2.5)</f>
        <v>140</v>
      </c>
      <c r="K4" s="4">
        <f t="shared" ref="K4:K15" si="7">MAX(MROUND(C4*0.275,2.5),20)</f>
        <v>47.5</v>
      </c>
      <c r="L4" s="4">
        <f t="shared" ref="L4:L15" si="8">MROUND(C4*0.725,2.5)</f>
        <v>122.5</v>
      </c>
      <c r="M4" s="4">
        <f t="shared" ref="M4:M15" si="9">MROUND(C4*0.775,2.5)</f>
        <v>132.5</v>
      </c>
      <c r="N4" s="4">
        <f t="shared" ref="N4:N15" si="10">MAX(MROUND(C4*0.175,2.5),20)</f>
        <v>30</v>
      </c>
      <c r="O4" s="4">
        <f t="shared" ref="O4:O15" si="11">MROUND(C4*0.675,2.5)</f>
        <v>115</v>
      </c>
    </row>
    <row r="5" spans="1:15" ht="18">
      <c r="A5" s="5" t="s">
        <v>19</v>
      </c>
      <c r="B5" s="5" t="s">
        <v>20</v>
      </c>
      <c r="C5" s="6">
        <v>132.5</v>
      </c>
      <c r="D5" s="7">
        <f t="shared" si="0"/>
        <v>95</v>
      </c>
      <c r="E5" s="7">
        <f t="shared" si="1"/>
        <v>22.5</v>
      </c>
      <c r="F5" s="7">
        <f t="shared" si="2"/>
        <v>82.5</v>
      </c>
      <c r="G5" s="7">
        <f t="shared" si="3"/>
        <v>102.5</v>
      </c>
      <c r="H5" s="7">
        <f t="shared" si="4"/>
        <v>30</v>
      </c>
      <c r="I5" s="7">
        <f t="shared" si="5"/>
        <v>90</v>
      </c>
      <c r="J5" s="7">
        <f t="shared" si="6"/>
        <v>110</v>
      </c>
      <c r="K5" s="7">
        <f t="shared" si="7"/>
        <v>37.5</v>
      </c>
      <c r="L5" s="7">
        <f t="shared" si="8"/>
        <v>95</v>
      </c>
      <c r="M5" s="7">
        <f t="shared" si="9"/>
        <v>102.5</v>
      </c>
      <c r="N5" s="7">
        <f t="shared" si="10"/>
        <v>22.5</v>
      </c>
      <c r="O5" s="7">
        <f t="shared" si="11"/>
        <v>90</v>
      </c>
    </row>
    <row r="6" spans="1:15" ht="18">
      <c r="A6" s="2" t="s">
        <v>21</v>
      </c>
      <c r="B6" s="2" t="s">
        <v>22</v>
      </c>
      <c r="C6" s="3">
        <v>145</v>
      </c>
      <c r="D6" s="4">
        <f t="shared" si="0"/>
        <v>105</v>
      </c>
      <c r="E6" s="4">
        <f t="shared" si="1"/>
        <v>25</v>
      </c>
      <c r="F6" s="4">
        <f t="shared" si="2"/>
        <v>90</v>
      </c>
      <c r="G6" s="4">
        <f t="shared" si="3"/>
        <v>112.5</v>
      </c>
      <c r="H6" s="4">
        <f t="shared" si="4"/>
        <v>32.5</v>
      </c>
      <c r="I6" s="4">
        <f t="shared" si="5"/>
        <v>97.5</v>
      </c>
      <c r="J6" s="4">
        <f t="shared" si="6"/>
        <v>120</v>
      </c>
      <c r="K6" s="4">
        <f t="shared" si="7"/>
        <v>40</v>
      </c>
      <c r="L6" s="4">
        <f t="shared" si="8"/>
        <v>105</v>
      </c>
      <c r="M6" s="4">
        <f t="shared" si="9"/>
        <v>112.5</v>
      </c>
      <c r="N6" s="4">
        <f t="shared" si="10"/>
        <v>25</v>
      </c>
      <c r="O6" s="4">
        <f t="shared" si="11"/>
        <v>97.5</v>
      </c>
    </row>
    <row r="7" spans="1:15" ht="18">
      <c r="A7" s="5" t="s">
        <v>23</v>
      </c>
      <c r="B7" s="5" t="s">
        <v>24</v>
      </c>
      <c r="C7" s="6">
        <v>115</v>
      </c>
      <c r="D7" s="7">
        <f t="shared" si="0"/>
        <v>82.5</v>
      </c>
      <c r="E7" s="7">
        <f t="shared" si="1"/>
        <v>20</v>
      </c>
      <c r="F7" s="7">
        <f t="shared" si="2"/>
        <v>72.5</v>
      </c>
      <c r="G7" s="7">
        <f t="shared" si="3"/>
        <v>90</v>
      </c>
      <c r="H7" s="7">
        <f t="shared" si="4"/>
        <v>25</v>
      </c>
      <c r="I7" s="7">
        <f t="shared" si="5"/>
        <v>77.5</v>
      </c>
      <c r="J7" s="7">
        <f t="shared" si="6"/>
        <v>95</v>
      </c>
      <c r="K7" s="7">
        <f t="shared" si="7"/>
        <v>32.5</v>
      </c>
      <c r="L7" s="7">
        <f t="shared" si="8"/>
        <v>82.5</v>
      </c>
      <c r="M7" s="7">
        <f t="shared" si="9"/>
        <v>90</v>
      </c>
      <c r="N7" s="7">
        <f t="shared" si="10"/>
        <v>20</v>
      </c>
      <c r="O7" s="7">
        <f t="shared" si="11"/>
        <v>77.5</v>
      </c>
    </row>
    <row r="8" spans="1:15" ht="18">
      <c r="A8" s="2" t="s">
        <v>25</v>
      </c>
      <c r="B8" s="2" t="s">
        <v>26</v>
      </c>
      <c r="C8" s="3">
        <v>130</v>
      </c>
      <c r="D8" s="4">
        <f t="shared" si="0"/>
        <v>95</v>
      </c>
      <c r="E8" s="4">
        <f t="shared" si="1"/>
        <v>22.5</v>
      </c>
      <c r="F8" s="4">
        <f t="shared" si="2"/>
        <v>82.5</v>
      </c>
      <c r="G8" s="4">
        <f t="shared" si="3"/>
        <v>100</v>
      </c>
      <c r="H8" s="4">
        <f t="shared" si="4"/>
        <v>30</v>
      </c>
      <c r="I8" s="4">
        <f t="shared" si="5"/>
        <v>87.5</v>
      </c>
      <c r="J8" s="4">
        <f t="shared" si="6"/>
        <v>107.5</v>
      </c>
      <c r="K8" s="4">
        <f t="shared" si="7"/>
        <v>35</v>
      </c>
      <c r="L8" s="4">
        <f t="shared" si="8"/>
        <v>95</v>
      </c>
      <c r="M8" s="4">
        <f t="shared" si="9"/>
        <v>100</v>
      </c>
      <c r="N8" s="4">
        <f t="shared" si="10"/>
        <v>22.5</v>
      </c>
      <c r="O8" s="4">
        <f t="shared" si="11"/>
        <v>87.5</v>
      </c>
    </row>
    <row r="9" spans="1:15" ht="18">
      <c r="A9" s="5" t="s">
        <v>27</v>
      </c>
      <c r="B9" s="5" t="s">
        <v>28</v>
      </c>
      <c r="C9" s="6">
        <v>170</v>
      </c>
      <c r="D9" s="7">
        <f t="shared" si="0"/>
        <v>122.5</v>
      </c>
      <c r="E9" s="7">
        <f t="shared" si="1"/>
        <v>30</v>
      </c>
      <c r="F9" s="7">
        <f t="shared" si="2"/>
        <v>107.5</v>
      </c>
      <c r="G9" s="7">
        <f t="shared" si="3"/>
        <v>132.5</v>
      </c>
      <c r="H9" s="7">
        <f t="shared" si="4"/>
        <v>37.5</v>
      </c>
      <c r="I9" s="7">
        <f t="shared" si="5"/>
        <v>115</v>
      </c>
      <c r="J9" s="7">
        <f t="shared" si="6"/>
        <v>140</v>
      </c>
      <c r="K9" s="7">
        <f t="shared" si="7"/>
        <v>47.5</v>
      </c>
      <c r="L9" s="7">
        <f t="shared" si="8"/>
        <v>122.5</v>
      </c>
      <c r="M9" s="7">
        <f t="shared" si="9"/>
        <v>132.5</v>
      </c>
      <c r="N9" s="7">
        <f t="shared" si="10"/>
        <v>30</v>
      </c>
      <c r="O9" s="7">
        <f t="shared" si="11"/>
        <v>115</v>
      </c>
    </row>
    <row r="10" spans="1:15" ht="18">
      <c r="A10" s="2" t="s">
        <v>29</v>
      </c>
      <c r="B10" s="2" t="s">
        <v>30</v>
      </c>
      <c r="C10" s="3">
        <v>110</v>
      </c>
      <c r="D10" s="4">
        <f t="shared" si="0"/>
        <v>80</v>
      </c>
      <c r="E10" s="4">
        <f t="shared" si="1"/>
        <v>20</v>
      </c>
      <c r="F10" s="4">
        <f t="shared" si="2"/>
        <v>70</v>
      </c>
      <c r="G10" s="4">
        <f t="shared" si="3"/>
        <v>85</v>
      </c>
      <c r="H10" s="4">
        <f t="shared" si="4"/>
        <v>25</v>
      </c>
      <c r="I10" s="4">
        <f t="shared" si="5"/>
        <v>75</v>
      </c>
      <c r="J10" s="4">
        <f t="shared" si="6"/>
        <v>90</v>
      </c>
      <c r="K10" s="4">
        <f t="shared" si="7"/>
        <v>30</v>
      </c>
      <c r="L10" s="4">
        <f t="shared" si="8"/>
        <v>80</v>
      </c>
      <c r="M10" s="4">
        <f t="shared" si="9"/>
        <v>85</v>
      </c>
      <c r="N10" s="4">
        <f t="shared" si="10"/>
        <v>20</v>
      </c>
      <c r="O10" s="4">
        <f t="shared" si="11"/>
        <v>75</v>
      </c>
    </row>
    <row r="11" spans="1:15" ht="18">
      <c r="A11" s="5" t="s">
        <v>31</v>
      </c>
      <c r="B11" s="5" t="s">
        <v>32</v>
      </c>
      <c r="C11" s="6">
        <v>140</v>
      </c>
      <c r="D11" s="7">
        <f t="shared" si="0"/>
        <v>102.5</v>
      </c>
      <c r="E11" s="7">
        <f t="shared" si="1"/>
        <v>25</v>
      </c>
      <c r="F11" s="7">
        <f t="shared" si="2"/>
        <v>87.5</v>
      </c>
      <c r="G11" s="7">
        <f t="shared" si="3"/>
        <v>107.5</v>
      </c>
      <c r="H11" s="7">
        <f t="shared" si="4"/>
        <v>32.5</v>
      </c>
      <c r="I11" s="7">
        <f t="shared" si="5"/>
        <v>95</v>
      </c>
      <c r="J11" s="7">
        <f t="shared" si="6"/>
        <v>115</v>
      </c>
      <c r="K11" s="7">
        <f t="shared" si="7"/>
        <v>37.5</v>
      </c>
      <c r="L11" s="7">
        <f t="shared" si="8"/>
        <v>102.5</v>
      </c>
      <c r="M11" s="7">
        <f t="shared" si="9"/>
        <v>107.5</v>
      </c>
      <c r="N11" s="7">
        <f t="shared" si="10"/>
        <v>25</v>
      </c>
      <c r="O11" s="7">
        <f t="shared" si="11"/>
        <v>95</v>
      </c>
    </row>
    <row r="12" spans="1:15" ht="18">
      <c r="A12" s="2" t="s">
        <v>33</v>
      </c>
      <c r="B12" s="2" t="s">
        <v>34</v>
      </c>
      <c r="C12" s="3">
        <v>120</v>
      </c>
      <c r="D12" s="4">
        <f t="shared" si="0"/>
        <v>87.5</v>
      </c>
      <c r="E12" s="4">
        <f t="shared" si="1"/>
        <v>20</v>
      </c>
      <c r="F12" s="4">
        <f t="shared" si="2"/>
        <v>75</v>
      </c>
      <c r="G12" s="4">
        <f t="shared" si="3"/>
        <v>92.5</v>
      </c>
      <c r="H12" s="4">
        <f t="shared" si="4"/>
        <v>27.5</v>
      </c>
      <c r="I12" s="4">
        <f t="shared" si="5"/>
        <v>80</v>
      </c>
      <c r="J12" s="4">
        <f t="shared" si="6"/>
        <v>100</v>
      </c>
      <c r="K12" s="4">
        <f t="shared" si="7"/>
        <v>32.5</v>
      </c>
      <c r="L12" s="4">
        <f t="shared" si="8"/>
        <v>87.5</v>
      </c>
      <c r="M12" s="4">
        <f t="shared" si="9"/>
        <v>92.5</v>
      </c>
      <c r="N12" s="4">
        <f t="shared" si="10"/>
        <v>20</v>
      </c>
      <c r="O12" s="4">
        <f t="shared" si="11"/>
        <v>80</v>
      </c>
    </row>
    <row r="13" spans="1:15" ht="18">
      <c r="A13" s="5" t="s">
        <v>35</v>
      </c>
      <c r="B13" s="5" t="s">
        <v>36</v>
      </c>
      <c r="C13" s="6">
        <v>130</v>
      </c>
      <c r="D13" s="7">
        <f t="shared" si="0"/>
        <v>95</v>
      </c>
      <c r="E13" s="7">
        <f t="shared" si="1"/>
        <v>22.5</v>
      </c>
      <c r="F13" s="7">
        <f t="shared" si="2"/>
        <v>82.5</v>
      </c>
      <c r="G13" s="7">
        <f t="shared" si="3"/>
        <v>100</v>
      </c>
      <c r="H13" s="7">
        <f t="shared" si="4"/>
        <v>30</v>
      </c>
      <c r="I13" s="7">
        <f t="shared" si="5"/>
        <v>87.5</v>
      </c>
      <c r="J13" s="7">
        <f t="shared" si="6"/>
        <v>107.5</v>
      </c>
      <c r="K13" s="7">
        <f t="shared" si="7"/>
        <v>35</v>
      </c>
      <c r="L13" s="7">
        <f t="shared" si="8"/>
        <v>95</v>
      </c>
      <c r="M13" s="7">
        <f t="shared" si="9"/>
        <v>100</v>
      </c>
      <c r="N13" s="7">
        <f t="shared" si="10"/>
        <v>22.5</v>
      </c>
      <c r="O13" s="7">
        <f t="shared" si="11"/>
        <v>87.5</v>
      </c>
    </row>
    <row r="14" spans="1:15" ht="18">
      <c r="A14" s="2" t="s">
        <v>37</v>
      </c>
      <c r="B14" s="2" t="s">
        <v>38</v>
      </c>
      <c r="C14" s="3">
        <v>120</v>
      </c>
      <c r="D14" s="4">
        <f t="shared" si="0"/>
        <v>87.5</v>
      </c>
      <c r="E14" s="4">
        <f t="shared" si="1"/>
        <v>20</v>
      </c>
      <c r="F14" s="4">
        <f t="shared" si="2"/>
        <v>75</v>
      </c>
      <c r="G14" s="4">
        <f t="shared" si="3"/>
        <v>92.5</v>
      </c>
      <c r="H14" s="4">
        <f t="shared" si="4"/>
        <v>27.5</v>
      </c>
      <c r="I14" s="4">
        <f t="shared" si="5"/>
        <v>80</v>
      </c>
      <c r="J14" s="4">
        <f t="shared" si="6"/>
        <v>100</v>
      </c>
      <c r="K14" s="4">
        <f t="shared" si="7"/>
        <v>32.5</v>
      </c>
      <c r="L14" s="4">
        <f t="shared" si="8"/>
        <v>87.5</v>
      </c>
      <c r="M14" s="4">
        <f t="shared" si="9"/>
        <v>92.5</v>
      </c>
      <c r="N14" s="4">
        <f t="shared" si="10"/>
        <v>20</v>
      </c>
      <c r="O14" s="4">
        <f t="shared" si="11"/>
        <v>80</v>
      </c>
    </row>
    <row r="15" spans="1:15" ht="18">
      <c r="A15" s="5" t="s">
        <v>39</v>
      </c>
      <c r="B15" s="5" t="s">
        <v>40</v>
      </c>
      <c r="C15" s="6">
        <v>120</v>
      </c>
      <c r="D15" s="7">
        <f t="shared" si="0"/>
        <v>87.5</v>
      </c>
      <c r="E15" s="7">
        <f t="shared" si="1"/>
        <v>20</v>
      </c>
      <c r="F15" s="7">
        <f t="shared" si="2"/>
        <v>75</v>
      </c>
      <c r="G15" s="7">
        <f t="shared" si="3"/>
        <v>92.5</v>
      </c>
      <c r="H15" s="7">
        <f t="shared" si="4"/>
        <v>27.5</v>
      </c>
      <c r="I15" s="7">
        <f t="shared" si="5"/>
        <v>80</v>
      </c>
      <c r="J15" s="7">
        <f t="shared" si="6"/>
        <v>100</v>
      </c>
      <c r="K15" s="7">
        <f t="shared" si="7"/>
        <v>32.5</v>
      </c>
      <c r="L15" s="7">
        <f t="shared" si="8"/>
        <v>87.5</v>
      </c>
      <c r="M15" s="7">
        <f t="shared" si="9"/>
        <v>92.5</v>
      </c>
      <c r="N15" s="7">
        <f t="shared" si="10"/>
        <v>20</v>
      </c>
      <c r="O15" s="7">
        <f t="shared" si="11"/>
        <v>80</v>
      </c>
    </row>
  </sheetData>
  <mergeCells count="2">
    <mergeCell ref="A2:N2"/>
    <mergeCell ref="A1:N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9"/>
    </row>
    <row r="3" spans="1:6" ht="30">
      <c r="A3" s="8" t="s">
        <v>43</v>
      </c>
      <c r="B3" s="9"/>
    </row>
    <row r="4" spans="1:6" ht="75">
      <c r="A4" s="8" t="s">
        <v>44</v>
      </c>
      <c r="B4" s="9"/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0</v>
      </c>
      <c r="C8" s="4">
        <f>MAX(MROUND($B$4*0.175,2.5),20)</f>
        <v>20</v>
      </c>
      <c r="D8" s="4">
        <f>MROUND($B$4*0.625,2.5)</f>
        <v>0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0</v>
      </c>
      <c r="C9" s="7">
        <f>MAX(MROUND($B$4*0.225,2.5),20)</f>
        <v>20</v>
      </c>
      <c r="D9" s="7">
        <f>MROUND($B$4*0.675,2.5)</f>
        <v>0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0</v>
      </c>
      <c r="C10" s="4">
        <f>MAX(MROUND($B$4*0.275,2.5),20)</f>
        <v>20</v>
      </c>
      <c r="D10" s="4">
        <f>MROUND($B$4*0.725,2.5)</f>
        <v>0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0</v>
      </c>
      <c r="C11" s="7">
        <f>MAX(MROUND($B$4*0.175,2.5),20)</f>
        <v>20</v>
      </c>
      <c r="D11" s="7">
        <f>MROUND($B$4*0.675,2.5)</f>
        <v>0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0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0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0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20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20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0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0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0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0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60"/>
  <sheetViews>
    <sheetView tabSelected="1" topLeftCell="A35" workbookViewId="0">
      <selection activeCell="D61" sqref="D61"/>
    </sheetView>
  </sheetViews>
  <sheetFormatPr defaultRowHeight="13.5"/>
  <cols>
    <col min="1" max="1" width="22.75" bestFit="1" customWidth="1"/>
    <col min="2" max="2" width="50.5" bestFit="1" customWidth="1"/>
    <col min="3" max="3" width="26.25" bestFit="1" customWidth="1"/>
    <col min="4" max="4" width="19.125" bestFit="1" customWidth="1"/>
    <col min="5" max="5" width="15.25" bestFit="1" customWidth="1"/>
    <col min="6" max="6" width="15.75" bestFit="1" customWidth="1"/>
  </cols>
  <sheetData>
    <row r="1" spans="1:6" ht="21">
      <c r="A1" s="26" t="s">
        <v>41</v>
      </c>
      <c r="B1" s="27"/>
      <c r="C1" s="27"/>
      <c r="D1" s="27"/>
      <c r="E1" s="27"/>
      <c r="F1" s="27"/>
    </row>
    <row r="2" spans="1:6" ht="16.5">
      <c r="A2" s="28" t="s">
        <v>42</v>
      </c>
      <c r="B2" s="29" t="s">
        <v>17</v>
      </c>
      <c r="C2" s="30"/>
      <c r="D2" s="30"/>
      <c r="E2" s="30"/>
      <c r="F2" s="30"/>
    </row>
    <row r="3" spans="1:6" ht="16.5">
      <c r="A3" s="28" t="s">
        <v>43</v>
      </c>
      <c r="B3" s="29" t="s">
        <v>18</v>
      </c>
      <c r="C3" s="30"/>
      <c r="D3" s="30"/>
      <c r="E3" s="30"/>
      <c r="F3" s="30"/>
    </row>
    <row r="4" spans="1:6" ht="18">
      <c r="A4" s="28" t="s">
        <v>44</v>
      </c>
      <c r="B4" s="31">
        <v>170</v>
      </c>
      <c r="C4" s="30"/>
      <c r="D4" s="30"/>
      <c r="E4" s="30"/>
      <c r="F4" s="30"/>
    </row>
    <row r="5" spans="1:6">
      <c r="A5" s="30"/>
      <c r="B5" s="30"/>
      <c r="C5" s="30"/>
      <c r="D5" s="30"/>
      <c r="E5" s="30"/>
      <c r="F5" s="30"/>
    </row>
    <row r="6" spans="1:6" ht="18">
      <c r="A6" s="32" t="s">
        <v>45</v>
      </c>
      <c r="B6" s="33"/>
      <c r="C6" s="33"/>
      <c r="D6" s="33"/>
      <c r="E6" s="33"/>
      <c r="F6" s="33"/>
    </row>
    <row r="7" spans="1:6" ht="15">
      <c r="A7" s="34" t="s">
        <v>46</v>
      </c>
      <c r="B7" s="34" t="s">
        <v>47</v>
      </c>
      <c r="C7" s="34" t="s">
        <v>48</v>
      </c>
      <c r="D7" s="34" t="s">
        <v>49</v>
      </c>
      <c r="E7" s="34" t="s">
        <v>50</v>
      </c>
      <c r="F7" s="34" t="s">
        <v>51</v>
      </c>
    </row>
    <row r="8" spans="1:6" ht="16.5">
      <c r="A8" s="35" t="s">
        <v>52</v>
      </c>
      <c r="B8" s="36">
        <f>MROUND($B$4*0.725,2.5)</f>
        <v>122.5</v>
      </c>
      <c r="C8" s="36">
        <f>MAX(MROUND($B$4*0.175,2.5),20)</f>
        <v>30</v>
      </c>
      <c r="D8" s="36">
        <f>MROUND($B$4*0.625,2.5)</f>
        <v>107.5</v>
      </c>
      <c r="E8" s="37" t="s">
        <v>53</v>
      </c>
      <c r="F8" s="37" t="s">
        <v>54</v>
      </c>
    </row>
    <row r="9" spans="1:6" ht="16.5">
      <c r="A9" s="38" t="s">
        <v>55</v>
      </c>
      <c r="B9" s="39">
        <f>MROUND($B$4*0.775,2.5)</f>
        <v>132.5</v>
      </c>
      <c r="C9" s="39">
        <f>MAX(MROUND($B$4*0.225,2.5),20)</f>
        <v>37.5</v>
      </c>
      <c r="D9" s="39">
        <f>MROUND($B$4*0.675,2.5)</f>
        <v>115</v>
      </c>
      <c r="E9" s="40" t="s">
        <v>56</v>
      </c>
      <c r="F9" s="40" t="s">
        <v>54</v>
      </c>
    </row>
    <row r="10" spans="1:6" ht="16.5">
      <c r="A10" s="35" t="s">
        <v>57</v>
      </c>
      <c r="B10" s="36">
        <f>MROUND($B$4*0.825,2.5)</f>
        <v>140</v>
      </c>
      <c r="C10" s="36">
        <f>MAX(MROUND($B$4*0.275,2.5),20)</f>
        <v>47.5</v>
      </c>
      <c r="D10" s="36">
        <f>MROUND($B$4*0.725,2.5)</f>
        <v>122.5</v>
      </c>
      <c r="E10" s="37" t="s">
        <v>56</v>
      </c>
      <c r="F10" s="37" t="s">
        <v>54</v>
      </c>
    </row>
    <row r="11" spans="1:6" ht="16.5">
      <c r="A11" s="38" t="s">
        <v>58</v>
      </c>
      <c r="B11" s="39">
        <f>MROUND($B$4*0.775,2.5)</f>
        <v>132.5</v>
      </c>
      <c r="C11" s="39">
        <f>MAX(MROUND($B$4*0.175,2.5),20)</f>
        <v>30</v>
      </c>
      <c r="D11" s="39">
        <f>MROUND($B$4*0.675,2.5)</f>
        <v>115</v>
      </c>
      <c r="E11" s="40" t="s">
        <v>53</v>
      </c>
      <c r="F11" s="40" t="s">
        <v>54</v>
      </c>
    </row>
    <row r="12" spans="1:6">
      <c r="A12" s="30"/>
      <c r="B12" s="30"/>
      <c r="C12" s="30"/>
      <c r="D12" s="30"/>
      <c r="E12" s="30"/>
      <c r="F12" s="30"/>
    </row>
    <row r="13" spans="1:6" ht="18">
      <c r="A13" s="32" t="s">
        <v>59</v>
      </c>
      <c r="B13" s="33"/>
      <c r="C13" s="33"/>
      <c r="D13" s="33"/>
      <c r="E13" s="33"/>
      <c r="F13" s="33"/>
    </row>
    <row r="14" spans="1:6" ht="15">
      <c r="A14" s="34" t="s">
        <v>60</v>
      </c>
      <c r="B14" s="34" t="s">
        <v>61</v>
      </c>
      <c r="C14" s="34" t="s">
        <v>62</v>
      </c>
      <c r="D14" s="34" t="s">
        <v>63</v>
      </c>
      <c r="E14" s="34" t="s">
        <v>64</v>
      </c>
      <c r="F14" s="34" t="s">
        <v>65</v>
      </c>
    </row>
    <row r="15" spans="1:6" ht="16.5">
      <c r="A15" s="37">
        <v>1</v>
      </c>
      <c r="B15" s="37" t="s">
        <v>66</v>
      </c>
      <c r="C15" s="37" t="s">
        <v>67</v>
      </c>
      <c r="D15" s="37" t="s">
        <v>68</v>
      </c>
      <c r="E15" s="37" t="s">
        <v>69</v>
      </c>
      <c r="F15" s="37"/>
    </row>
    <row r="16" spans="1:6" ht="16.5">
      <c r="A16" s="37">
        <v>2</v>
      </c>
      <c r="B16" s="37" t="s">
        <v>70</v>
      </c>
      <c r="C16" s="37" t="s">
        <v>71</v>
      </c>
      <c r="D16" s="37" t="s">
        <v>72</v>
      </c>
      <c r="E16" s="37" t="s">
        <v>73</v>
      </c>
      <c r="F16" s="37"/>
    </row>
    <row r="17" spans="1:6" ht="16.5">
      <c r="A17" s="37">
        <v>3</v>
      </c>
      <c r="B17" s="37" t="s">
        <v>70</v>
      </c>
      <c r="C17" s="37" t="s">
        <v>74</v>
      </c>
      <c r="D17" s="37" t="s">
        <v>75</v>
      </c>
      <c r="E17" s="37" t="s">
        <v>73</v>
      </c>
      <c r="F17" s="37"/>
    </row>
    <row r="18" spans="1:6" ht="16.5">
      <c r="A18" s="37">
        <v>4</v>
      </c>
      <c r="B18" s="37" t="s">
        <v>76</v>
      </c>
      <c r="C18" s="37" t="s">
        <v>77</v>
      </c>
      <c r="D18" s="37" t="s">
        <v>78</v>
      </c>
      <c r="E18" s="37" t="s">
        <v>73</v>
      </c>
      <c r="F18" s="37"/>
    </row>
    <row r="19" spans="1:6" ht="16.5">
      <c r="A19" s="37">
        <v>5</v>
      </c>
      <c r="B19" s="37" t="s">
        <v>76</v>
      </c>
      <c r="C19" s="37" t="s">
        <v>79</v>
      </c>
      <c r="D19" s="37" t="s">
        <v>80</v>
      </c>
      <c r="E19" s="37" t="s">
        <v>73</v>
      </c>
      <c r="F19" s="37"/>
    </row>
    <row r="20" spans="1:6" ht="16.5">
      <c r="A20" s="37">
        <v>6</v>
      </c>
      <c r="B20" s="37" t="s">
        <v>76</v>
      </c>
      <c r="C20" s="37" t="s">
        <v>81</v>
      </c>
      <c r="D20" s="37" t="s">
        <v>82</v>
      </c>
      <c r="E20" s="37" t="s">
        <v>73</v>
      </c>
      <c r="F20" s="37"/>
    </row>
    <row r="21" spans="1:6" ht="16.5">
      <c r="A21" s="37">
        <v>7</v>
      </c>
      <c r="B21" s="37" t="s">
        <v>83</v>
      </c>
      <c r="C21" s="37" t="s">
        <v>84</v>
      </c>
      <c r="D21" s="37" t="s">
        <v>85</v>
      </c>
      <c r="E21" s="37" t="s">
        <v>73</v>
      </c>
      <c r="F21" s="37"/>
    </row>
    <row r="22" spans="1:6" ht="16.5">
      <c r="A22" s="37">
        <v>8</v>
      </c>
      <c r="B22" s="37" t="s">
        <v>83</v>
      </c>
      <c r="C22" s="37" t="s">
        <v>86</v>
      </c>
      <c r="D22" s="37" t="s">
        <v>87</v>
      </c>
      <c r="E22" s="37" t="s">
        <v>73</v>
      </c>
      <c r="F22" s="37"/>
    </row>
    <row r="23" spans="1:6" ht="18">
      <c r="A23" s="32" t="s">
        <v>88</v>
      </c>
      <c r="B23" s="33"/>
      <c r="C23" s="33"/>
      <c r="D23" s="33"/>
      <c r="E23" s="33"/>
      <c r="F23" s="33"/>
    </row>
    <row r="24" spans="1:6" ht="15">
      <c r="A24" s="34" t="s">
        <v>62</v>
      </c>
      <c r="B24" s="34" t="s">
        <v>89</v>
      </c>
      <c r="C24" s="34" t="s">
        <v>63</v>
      </c>
      <c r="D24" s="34" t="s">
        <v>65</v>
      </c>
      <c r="E24" s="34" t="s">
        <v>90</v>
      </c>
      <c r="F24" s="34" t="s">
        <v>91</v>
      </c>
    </row>
    <row r="25" spans="1:6" ht="16.5">
      <c r="A25" s="37" t="s">
        <v>92</v>
      </c>
      <c r="B25" s="37" t="s">
        <v>93</v>
      </c>
      <c r="C25" s="37" t="s">
        <v>94</v>
      </c>
      <c r="D25" s="37" t="s">
        <v>95</v>
      </c>
      <c r="E25" s="37"/>
      <c r="F25" s="37"/>
    </row>
    <row r="26" spans="1:6" ht="16.5">
      <c r="A26" s="37" t="s">
        <v>96</v>
      </c>
      <c r="B26" s="37" t="s">
        <v>97</v>
      </c>
      <c r="C26" s="37" t="s">
        <v>98</v>
      </c>
      <c r="D26" s="37" t="s">
        <v>99</v>
      </c>
      <c r="E26" s="37"/>
      <c r="F26" s="37"/>
    </row>
    <row r="27" spans="1:6" ht="16.5">
      <c r="A27" s="37" t="s">
        <v>100</v>
      </c>
      <c r="B27" s="37" t="s">
        <v>101</v>
      </c>
      <c r="C27" s="37" t="s">
        <v>102</v>
      </c>
      <c r="D27" s="37" t="s">
        <v>103</v>
      </c>
      <c r="E27" s="37"/>
      <c r="F27" s="37"/>
    </row>
    <row r="28" spans="1:6" ht="15">
      <c r="A28" s="41" t="s">
        <v>46</v>
      </c>
      <c r="B28" s="41" t="s">
        <v>104</v>
      </c>
      <c r="C28" s="41" t="s">
        <v>105</v>
      </c>
      <c r="D28" s="41" t="s">
        <v>106</v>
      </c>
      <c r="E28" s="41" t="s">
        <v>65</v>
      </c>
      <c r="F28" s="41" t="s">
        <v>107</v>
      </c>
    </row>
    <row r="29" spans="1:6" ht="16.5">
      <c r="A29" s="35" t="s">
        <v>52</v>
      </c>
      <c r="B29" s="37" t="s">
        <v>108</v>
      </c>
      <c r="C29" s="42">
        <f>B8</f>
        <v>122.5</v>
      </c>
      <c r="D29" s="37" t="s">
        <v>53</v>
      </c>
      <c r="E29" s="37" t="s">
        <v>109</v>
      </c>
      <c r="F29" s="37" t="s">
        <v>110</v>
      </c>
    </row>
    <row r="30" spans="1:6" ht="16.5">
      <c r="A30" s="38" t="s">
        <v>55</v>
      </c>
      <c r="B30" s="40" t="s">
        <v>111</v>
      </c>
      <c r="C30" s="43">
        <f>B9</f>
        <v>132.5</v>
      </c>
      <c r="D30" s="40" t="s">
        <v>56</v>
      </c>
      <c r="E30" s="40" t="s">
        <v>109</v>
      </c>
      <c r="F30" s="40" t="s">
        <v>112</v>
      </c>
    </row>
    <row r="31" spans="1:6" ht="16.5">
      <c r="A31" s="35" t="s">
        <v>57</v>
      </c>
      <c r="B31" s="37" t="s">
        <v>111</v>
      </c>
      <c r="C31" s="42">
        <f>B10</f>
        <v>140</v>
      </c>
      <c r="D31" s="37" t="s">
        <v>56</v>
      </c>
      <c r="E31" s="37" t="s">
        <v>109</v>
      </c>
      <c r="F31" s="37" t="s">
        <v>113</v>
      </c>
    </row>
    <row r="32" spans="1:6" ht="16.5">
      <c r="A32" s="38" t="s">
        <v>58</v>
      </c>
      <c r="B32" s="40" t="s">
        <v>114</v>
      </c>
      <c r="C32" s="43">
        <f>B11</f>
        <v>132.5</v>
      </c>
      <c r="D32" s="40" t="s">
        <v>53</v>
      </c>
      <c r="E32" s="40" t="s">
        <v>109</v>
      </c>
      <c r="F32" s="40" t="s">
        <v>115</v>
      </c>
    </row>
    <row r="33" spans="1:6" ht="18">
      <c r="A33" s="32" t="s">
        <v>116</v>
      </c>
      <c r="B33" s="33"/>
      <c r="C33" s="33"/>
      <c r="D33" s="33"/>
      <c r="E33" s="33"/>
      <c r="F33" s="33"/>
    </row>
    <row r="34" spans="1:6" ht="15">
      <c r="A34" s="34" t="s">
        <v>62</v>
      </c>
      <c r="B34" s="34" t="s">
        <v>104</v>
      </c>
      <c r="C34" s="34" t="s">
        <v>63</v>
      </c>
      <c r="D34" s="34" t="s">
        <v>65</v>
      </c>
      <c r="E34" s="34"/>
      <c r="F34" s="34"/>
    </row>
    <row r="35" spans="1:6" ht="16.5">
      <c r="A35" s="37" t="s">
        <v>117</v>
      </c>
      <c r="B35" s="37" t="s">
        <v>118</v>
      </c>
      <c r="C35" s="37" t="s">
        <v>119</v>
      </c>
      <c r="D35" s="37" t="s">
        <v>120</v>
      </c>
      <c r="E35" s="37"/>
      <c r="F35" s="37"/>
    </row>
    <row r="36" spans="1:6" ht="16.5">
      <c r="A36" s="37" t="s">
        <v>121</v>
      </c>
      <c r="B36" s="37" t="s">
        <v>122</v>
      </c>
      <c r="C36" s="37" t="s">
        <v>123</v>
      </c>
      <c r="D36" s="37" t="s">
        <v>99</v>
      </c>
      <c r="E36" s="37"/>
      <c r="F36" s="37"/>
    </row>
    <row r="37" spans="1:6" ht="18">
      <c r="A37" s="32" t="s">
        <v>124</v>
      </c>
      <c r="B37" s="33"/>
      <c r="C37" s="33"/>
      <c r="D37" s="33"/>
      <c r="E37" s="33"/>
      <c r="F37" s="33"/>
    </row>
    <row r="38" spans="1:6" ht="15">
      <c r="A38" s="34" t="s">
        <v>60</v>
      </c>
      <c r="B38" s="34" t="s">
        <v>61</v>
      </c>
      <c r="C38" s="34" t="s">
        <v>62</v>
      </c>
      <c r="D38" s="34" t="s">
        <v>63</v>
      </c>
      <c r="E38" s="34" t="s">
        <v>64</v>
      </c>
      <c r="F38" s="34" t="s">
        <v>65</v>
      </c>
    </row>
    <row r="39" spans="1:6" ht="16.5">
      <c r="A39" s="37">
        <v>1</v>
      </c>
      <c r="B39" s="37" t="s">
        <v>66</v>
      </c>
      <c r="C39" s="37" t="s">
        <v>125</v>
      </c>
      <c r="D39" s="37" t="s">
        <v>126</v>
      </c>
      <c r="E39" s="37" t="s">
        <v>69</v>
      </c>
      <c r="F39" s="37"/>
    </row>
    <row r="40" spans="1:6" ht="16.5">
      <c r="A40" s="37">
        <v>2</v>
      </c>
      <c r="B40" s="37" t="s">
        <v>70</v>
      </c>
      <c r="C40" s="37" t="s">
        <v>71</v>
      </c>
      <c r="D40" s="37" t="s">
        <v>72</v>
      </c>
      <c r="E40" s="37" t="s">
        <v>73</v>
      </c>
      <c r="F40" s="37"/>
    </row>
    <row r="41" spans="1:6" ht="16.5">
      <c r="A41" s="37">
        <v>3</v>
      </c>
      <c r="B41" s="37" t="s">
        <v>70</v>
      </c>
      <c r="C41" s="37" t="s">
        <v>127</v>
      </c>
      <c r="D41" s="37" t="s">
        <v>128</v>
      </c>
      <c r="E41" s="37" t="s">
        <v>73</v>
      </c>
      <c r="F41" s="37"/>
    </row>
    <row r="42" spans="1:6" ht="16.5">
      <c r="A42" s="37">
        <v>4</v>
      </c>
      <c r="B42" s="37" t="s">
        <v>76</v>
      </c>
      <c r="C42" s="37" t="s">
        <v>129</v>
      </c>
      <c r="D42" s="37" t="s">
        <v>130</v>
      </c>
      <c r="E42" s="37" t="s">
        <v>73</v>
      </c>
      <c r="F42" s="37"/>
    </row>
    <row r="43" spans="1:6" ht="16.5">
      <c r="A43" s="37">
        <v>5</v>
      </c>
      <c r="B43" s="37" t="s">
        <v>76</v>
      </c>
      <c r="C43" s="37" t="s">
        <v>131</v>
      </c>
      <c r="D43" s="37" t="s">
        <v>132</v>
      </c>
      <c r="E43" s="37" t="s">
        <v>73</v>
      </c>
      <c r="F43" s="37"/>
    </row>
    <row r="44" spans="1:6" ht="16.5">
      <c r="A44" s="37">
        <v>6</v>
      </c>
      <c r="B44" s="37" t="s">
        <v>76</v>
      </c>
      <c r="C44" s="37" t="s">
        <v>133</v>
      </c>
      <c r="D44" s="37" t="s">
        <v>80</v>
      </c>
      <c r="E44" s="37" t="s">
        <v>73</v>
      </c>
      <c r="F44" s="37"/>
    </row>
    <row r="45" spans="1:6" ht="16.5">
      <c r="A45" s="37">
        <v>7</v>
      </c>
      <c r="B45" s="37" t="s">
        <v>83</v>
      </c>
      <c r="C45" s="37" t="s">
        <v>84</v>
      </c>
      <c r="D45" s="37" t="s">
        <v>85</v>
      </c>
      <c r="E45" s="37" t="s">
        <v>73</v>
      </c>
      <c r="F45" s="37"/>
    </row>
    <row r="46" spans="1:6" ht="16.5">
      <c r="A46" s="37">
        <v>8</v>
      </c>
      <c r="B46" s="37" t="s">
        <v>83</v>
      </c>
      <c r="C46" s="37" t="s">
        <v>134</v>
      </c>
      <c r="D46" s="37" t="s">
        <v>87</v>
      </c>
      <c r="E46" s="37" t="s">
        <v>73</v>
      </c>
      <c r="F46" s="37"/>
    </row>
    <row r="47" spans="1:6" ht="18">
      <c r="A47" s="32" t="s">
        <v>135</v>
      </c>
      <c r="B47" s="33"/>
      <c r="C47" s="33"/>
      <c r="D47" s="33"/>
      <c r="E47" s="33"/>
      <c r="F47" s="33"/>
    </row>
    <row r="48" spans="1:6" ht="15">
      <c r="A48" s="34" t="s">
        <v>62</v>
      </c>
      <c r="B48" s="34" t="s">
        <v>104</v>
      </c>
      <c r="C48" s="34" t="s">
        <v>63</v>
      </c>
      <c r="D48" s="34" t="s">
        <v>65</v>
      </c>
      <c r="E48" s="34" t="s">
        <v>90</v>
      </c>
      <c r="F48" s="34" t="s">
        <v>91</v>
      </c>
    </row>
    <row r="49" spans="1:6" ht="16.5">
      <c r="A49" s="37" t="s">
        <v>136</v>
      </c>
      <c r="B49" s="37" t="s">
        <v>118</v>
      </c>
      <c r="C49" s="37" t="s">
        <v>137</v>
      </c>
      <c r="D49" s="37" t="s">
        <v>120</v>
      </c>
      <c r="E49" s="37"/>
      <c r="F49" s="37"/>
    </row>
    <row r="50" spans="1:6" ht="15">
      <c r="A50" s="41" t="s">
        <v>46</v>
      </c>
      <c r="B50" s="41" t="s">
        <v>62</v>
      </c>
      <c r="C50" s="41" t="s">
        <v>105</v>
      </c>
      <c r="D50" s="41" t="s">
        <v>104</v>
      </c>
      <c r="E50" s="41" t="s">
        <v>138</v>
      </c>
      <c r="F50" s="41" t="s">
        <v>65</v>
      </c>
    </row>
    <row r="51" spans="1:6" ht="16.5">
      <c r="A51" s="35" t="s">
        <v>52</v>
      </c>
      <c r="B51" s="37" t="s">
        <v>139</v>
      </c>
      <c r="C51" s="42">
        <f>C8</f>
        <v>30</v>
      </c>
      <c r="D51" s="37" t="s">
        <v>114</v>
      </c>
      <c r="E51" s="37" t="s">
        <v>140</v>
      </c>
      <c r="F51" s="37" t="s">
        <v>141</v>
      </c>
    </row>
    <row r="52" spans="1:6" ht="16.5">
      <c r="A52" s="38" t="s">
        <v>55</v>
      </c>
      <c r="B52" s="40" t="s">
        <v>139</v>
      </c>
      <c r="C52" s="43">
        <f>C9</f>
        <v>37.5</v>
      </c>
      <c r="D52" s="40" t="s">
        <v>142</v>
      </c>
      <c r="E52" s="40" t="s">
        <v>123</v>
      </c>
      <c r="F52" s="40" t="s">
        <v>141</v>
      </c>
    </row>
    <row r="53" spans="1:6" ht="16.5">
      <c r="A53" s="35" t="s">
        <v>57</v>
      </c>
      <c r="B53" s="37" t="s">
        <v>139</v>
      </c>
      <c r="C53" s="42">
        <f>C10</f>
        <v>47.5</v>
      </c>
      <c r="D53" s="37" t="s">
        <v>143</v>
      </c>
      <c r="E53" s="37" t="s">
        <v>144</v>
      </c>
      <c r="F53" s="37" t="s">
        <v>141</v>
      </c>
    </row>
    <row r="54" spans="1:6" ht="16.5">
      <c r="A54" s="38" t="s">
        <v>58</v>
      </c>
      <c r="B54" s="40" t="s">
        <v>139</v>
      </c>
      <c r="C54" s="43">
        <f>C11</f>
        <v>30</v>
      </c>
      <c r="D54" s="40" t="s">
        <v>145</v>
      </c>
      <c r="E54" s="40" t="s">
        <v>144</v>
      </c>
      <c r="F54" s="40" t="s">
        <v>141</v>
      </c>
    </row>
    <row r="55" spans="1:6" ht="16.5">
      <c r="A55" s="35" t="s">
        <v>52</v>
      </c>
      <c r="B55" s="37" t="s">
        <v>146</v>
      </c>
      <c r="C55" s="42">
        <f>D8</f>
        <v>107.5</v>
      </c>
      <c r="D55" s="37" t="s">
        <v>147</v>
      </c>
      <c r="E55" s="37" t="s">
        <v>54</v>
      </c>
      <c r="F55" s="37" t="s">
        <v>148</v>
      </c>
    </row>
    <row r="56" spans="1:6" ht="16.5">
      <c r="A56" s="38" t="s">
        <v>55</v>
      </c>
      <c r="B56" s="40" t="s">
        <v>146</v>
      </c>
      <c r="C56" s="43">
        <f>D9</f>
        <v>115</v>
      </c>
      <c r="D56" s="40" t="s">
        <v>149</v>
      </c>
      <c r="E56" s="40" t="s">
        <v>144</v>
      </c>
      <c r="F56" s="40" t="s">
        <v>148</v>
      </c>
    </row>
    <row r="57" spans="1:6" ht="16.5">
      <c r="A57" s="35" t="s">
        <v>57</v>
      </c>
      <c r="B57" s="37" t="s">
        <v>146</v>
      </c>
      <c r="C57" s="42">
        <f>D10</f>
        <v>122.5</v>
      </c>
      <c r="D57" s="37" t="s">
        <v>149</v>
      </c>
      <c r="E57" s="37" t="s">
        <v>144</v>
      </c>
      <c r="F57" s="37" t="s">
        <v>148</v>
      </c>
    </row>
    <row r="58" spans="1:6" ht="16.5">
      <c r="A58" s="38" t="s">
        <v>58</v>
      </c>
      <c r="B58" s="40" t="s">
        <v>146</v>
      </c>
      <c r="C58" s="43">
        <f>D11</f>
        <v>115</v>
      </c>
      <c r="D58" s="40" t="s">
        <v>118</v>
      </c>
      <c r="E58" s="40" t="s">
        <v>144</v>
      </c>
      <c r="F58" s="40" t="s">
        <v>148</v>
      </c>
    </row>
    <row r="59" spans="1:6" ht="15">
      <c r="A59" s="44" t="s">
        <v>107</v>
      </c>
      <c r="B59" s="44" t="s">
        <v>104</v>
      </c>
      <c r="C59" s="44" t="s">
        <v>63</v>
      </c>
      <c r="D59" s="44" t="s">
        <v>65</v>
      </c>
      <c r="E59" s="44"/>
      <c r="F59" s="44"/>
    </row>
    <row r="60" spans="1:6" ht="16.5">
      <c r="A60" s="37" t="s">
        <v>150</v>
      </c>
      <c r="B60" s="37" t="s">
        <v>151</v>
      </c>
      <c r="C60" s="37" t="s">
        <v>153</v>
      </c>
      <c r="D60" s="37" t="s">
        <v>120</v>
      </c>
      <c r="E60" s="37"/>
      <c r="F60" s="37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19</v>
      </c>
    </row>
    <row r="3" spans="1:6" ht="30">
      <c r="A3" s="8" t="s">
        <v>43</v>
      </c>
      <c r="B3" s="17" t="s">
        <v>20</v>
      </c>
    </row>
    <row r="4" spans="1:6" ht="75">
      <c r="A4" s="8" t="s">
        <v>44</v>
      </c>
      <c r="B4" s="9">
        <v>132.5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95</v>
      </c>
      <c r="C8" s="4">
        <f>MAX(MROUND($B$4*0.175,2.5),20)</f>
        <v>22.5</v>
      </c>
      <c r="D8" s="4">
        <f>MROUND($B$4*0.625,2.5)</f>
        <v>82.5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102.5</v>
      </c>
      <c r="C9" s="7">
        <f>MAX(MROUND($B$4*0.225,2.5),20)</f>
        <v>30</v>
      </c>
      <c r="D9" s="7">
        <f>MROUND($B$4*0.675,2.5)</f>
        <v>90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110</v>
      </c>
      <c r="C10" s="4">
        <f>MAX(MROUND($B$4*0.275,2.5),20)</f>
        <v>37.5</v>
      </c>
      <c r="D10" s="4">
        <f>MROUND($B$4*0.725,2.5)</f>
        <v>95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102.5</v>
      </c>
      <c r="C11" s="7">
        <f>MAX(MROUND($B$4*0.175,2.5),20)</f>
        <v>22.5</v>
      </c>
      <c r="D11" s="7">
        <f>MROUND($B$4*0.675,2.5)</f>
        <v>90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95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102.5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110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102.5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22.5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30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37.5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22.5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82.5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90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95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90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21</v>
      </c>
    </row>
    <row r="3" spans="1:6" ht="30">
      <c r="A3" s="8" t="s">
        <v>43</v>
      </c>
      <c r="B3" s="17" t="s">
        <v>22</v>
      </c>
    </row>
    <row r="4" spans="1:6" ht="75">
      <c r="A4" s="8" t="s">
        <v>44</v>
      </c>
      <c r="B4" s="9">
        <v>145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105</v>
      </c>
      <c r="C8" s="4">
        <f>MAX(MROUND($B$4*0.175,2.5),20)</f>
        <v>25</v>
      </c>
      <c r="D8" s="4">
        <f>MROUND($B$4*0.625,2.5)</f>
        <v>90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112.5</v>
      </c>
      <c r="C9" s="7">
        <f>MAX(MROUND($B$4*0.225,2.5),20)</f>
        <v>32.5</v>
      </c>
      <c r="D9" s="7">
        <f>MROUND($B$4*0.675,2.5)</f>
        <v>97.5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120</v>
      </c>
      <c r="C10" s="4">
        <f>MAX(MROUND($B$4*0.275,2.5),20)</f>
        <v>40</v>
      </c>
      <c r="D10" s="4">
        <f>MROUND($B$4*0.725,2.5)</f>
        <v>105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112.5</v>
      </c>
      <c r="C11" s="7">
        <f>MAX(MROUND($B$4*0.175,2.5),20)</f>
        <v>25</v>
      </c>
      <c r="D11" s="7">
        <f>MROUND($B$4*0.675,2.5)</f>
        <v>97.5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105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112.5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120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112.5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25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32.5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40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25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90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97.5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105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97.5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23</v>
      </c>
    </row>
    <row r="3" spans="1:6" ht="30">
      <c r="A3" s="8" t="s">
        <v>43</v>
      </c>
      <c r="B3" s="17" t="s">
        <v>24</v>
      </c>
    </row>
    <row r="4" spans="1:6" ht="75">
      <c r="A4" s="8" t="s">
        <v>44</v>
      </c>
      <c r="B4" s="9">
        <v>115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82.5</v>
      </c>
      <c r="C8" s="4">
        <f>MAX(MROUND($B$4*0.175,2.5),20)</f>
        <v>20</v>
      </c>
      <c r="D8" s="4">
        <f>MROUND($B$4*0.625,2.5)</f>
        <v>72.5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90</v>
      </c>
      <c r="C9" s="7">
        <f>MAX(MROUND($B$4*0.225,2.5),20)</f>
        <v>25</v>
      </c>
      <c r="D9" s="7">
        <f>MROUND($B$4*0.675,2.5)</f>
        <v>77.5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95</v>
      </c>
      <c r="C10" s="4">
        <f>MAX(MROUND($B$4*0.275,2.5),20)</f>
        <v>32.5</v>
      </c>
      <c r="D10" s="4">
        <f>MROUND($B$4*0.725,2.5)</f>
        <v>82.5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90</v>
      </c>
      <c r="C11" s="7">
        <f>MAX(MROUND($B$4*0.175,2.5),20)</f>
        <v>20</v>
      </c>
      <c r="D11" s="7">
        <f>MROUND($B$4*0.675,2.5)</f>
        <v>77.5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82.5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90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95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90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32.5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72.5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77.5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82.5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77.5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25</v>
      </c>
    </row>
    <row r="3" spans="1:6" ht="30">
      <c r="A3" s="8" t="s">
        <v>43</v>
      </c>
      <c r="B3" s="17" t="s">
        <v>26</v>
      </c>
    </row>
    <row r="4" spans="1:6" ht="75">
      <c r="A4" s="8" t="s">
        <v>44</v>
      </c>
      <c r="B4" s="9">
        <v>130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95</v>
      </c>
      <c r="C8" s="4">
        <f>MAX(MROUND($B$4*0.175,2.5),20)</f>
        <v>22.5</v>
      </c>
      <c r="D8" s="4">
        <f>MROUND($B$4*0.625,2.5)</f>
        <v>82.5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100</v>
      </c>
      <c r="C9" s="7">
        <f>MAX(MROUND($B$4*0.225,2.5),20)</f>
        <v>30</v>
      </c>
      <c r="D9" s="7">
        <f>MROUND($B$4*0.675,2.5)</f>
        <v>87.5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107.5</v>
      </c>
      <c r="C10" s="4">
        <f>MAX(MROUND($B$4*0.275,2.5),20)</f>
        <v>35</v>
      </c>
      <c r="D10" s="4">
        <f>MROUND($B$4*0.725,2.5)</f>
        <v>95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100</v>
      </c>
      <c r="C11" s="7">
        <f>MAX(MROUND($B$4*0.175,2.5),20)</f>
        <v>22.5</v>
      </c>
      <c r="D11" s="7">
        <f>MROUND($B$4*0.675,2.5)</f>
        <v>87.5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95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100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107.5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100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22.5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30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22.5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82.5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87.5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95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87.5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27</v>
      </c>
    </row>
    <row r="3" spans="1:6" ht="30">
      <c r="A3" s="8" t="s">
        <v>43</v>
      </c>
      <c r="B3" s="17" t="s">
        <v>28</v>
      </c>
    </row>
    <row r="4" spans="1:6" ht="75">
      <c r="A4" s="8" t="s">
        <v>44</v>
      </c>
      <c r="B4" s="9">
        <v>170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122.5</v>
      </c>
      <c r="C8" s="4">
        <f>MAX(MROUND($B$4*0.175,2.5),20)</f>
        <v>30</v>
      </c>
      <c r="D8" s="4">
        <f>MROUND($B$4*0.625,2.5)</f>
        <v>107.5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132.5</v>
      </c>
      <c r="C9" s="7">
        <f>MAX(MROUND($B$4*0.225,2.5),20)</f>
        <v>37.5</v>
      </c>
      <c r="D9" s="7">
        <f>MROUND($B$4*0.675,2.5)</f>
        <v>115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140</v>
      </c>
      <c r="C10" s="4">
        <f>MAX(MROUND($B$4*0.275,2.5),20)</f>
        <v>47.5</v>
      </c>
      <c r="D10" s="4">
        <f>MROUND($B$4*0.725,2.5)</f>
        <v>122.5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132.5</v>
      </c>
      <c r="C11" s="7">
        <f>MAX(MROUND($B$4*0.175,2.5),20)</f>
        <v>30</v>
      </c>
      <c r="D11" s="7">
        <f>MROUND($B$4*0.675,2.5)</f>
        <v>115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122.5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132.5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140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132.5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30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37.5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47.5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30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107.5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115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122.5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115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29</v>
      </c>
    </row>
    <row r="3" spans="1:6" ht="30">
      <c r="A3" s="8" t="s">
        <v>43</v>
      </c>
      <c r="B3" s="17" t="s">
        <v>30</v>
      </c>
    </row>
    <row r="4" spans="1:6" ht="75">
      <c r="A4" s="8" t="s">
        <v>44</v>
      </c>
      <c r="B4" s="9">
        <v>110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80</v>
      </c>
      <c r="C8" s="4">
        <f>MAX(MROUND($B$4*0.175,2.5),20)</f>
        <v>20</v>
      </c>
      <c r="D8" s="4">
        <f>MROUND($B$4*0.625,2.5)</f>
        <v>70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85</v>
      </c>
      <c r="C9" s="7">
        <f>MAX(MROUND($B$4*0.225,2.5),20)</f>
        <v>25</v>
      </c>
      <c r="D9" s="7">
        <f>MROUND($B$4*0.675,2.5)</f>
        <v>75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90</v>
      </c>
      <c r="C10" s="4">
        <f>MAX(MROUND($B$4*0.275,2.5),20)</f>
        <v>30</v>
      </c>
      <c r="D10" s="4">
        <f>MROUND($B$4*0.725,2.5)</f>
        <v>80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85</v>
      </c>
      <c r="C11" s="7">
        <f>MAX(MROUND($B$4*0.175,2.5),20)</f>
        <v>20</v>
      </c>
      <c r="D11" s="7">
        <f>MROUND($B$4*0.675,2.5)</f>
        <v>75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80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85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90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85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30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70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75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80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75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31</v>
      </c>
    </row>
    <row r="3" spans="1:6" ht="30">
      <c r="A3" s="8" t="s">
        <v>43</v>
      </c>
      <c r="B3" s="17" t="s">
        <v>32</v>
      </c>
    </row>
    <row r="4" spans="1:6" ht="75">
      <c r="A4" s="8" t="s">
        <v>44</v>
      </c>
      <c r="B4" s="9">
        <v>140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102.5</v>
      </c>
      <c r="C8" s="4">
        <f>MAX(MROUND($B$4*0.175,2.5),20)</f>
        <v>25</v>
      </c>
      <c r="D8" s="4">
        <f>MROUND($B$4*0.625,2.5)</f>
        <v>87.5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107.5</v>
      </c>
      <c r="C9" s="7">
        <f>MAX(MROUND($B$4*0.225,2.5),20)</f>
        <v>32.5</v>
      </c>
      <c r="D9" s="7">
        <f>MROUND($B$4*0.675,2.5)</f>
        <v>95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115</v>
      </c>
      <c r="C10" s="4">
        <f>MAX(MROUND($B$4*0.275,2.5),20)</f>
        <v>37.5</v>
      </c>
      <c r="D10" s="4">
        <f>MROUND($B$4*0.725,2.5)</f>
        <v>102.5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107.5</v>
      </c>
      <c r="C11" s="7">
        <f>MAX(MROUND($B$4*0.175,2.5),20)</f>
        <v>25</v>
      </c>
      <c r="D11" s="7">
        <f>MROUND($B$4*0.675,2.5)</f>
        <v>95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102.5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107.5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115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107.5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25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32.5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37.5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25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87.5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95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102.5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95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33</v>
      </c>
    </row>
    <row r="3" spans="1:6" ht="30">
      <c r="A3" s="8" t="s">
        <v>43</v>
      </c>
      <c r="B3" s="17" t="s">
        <v>34</v>
      </c>
    </row>
    <row r="4" spans="1:6" ht="75">
      <c r="A4" s="8" t="s">
        <v>44</v>
      </c>
      <c r="B4" s="9">
        <v>120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87.5</v>
      </c>
      <c r="C8" s="4">
        <f>MAX(MROUND($B$4*0.175,2.5),20)</f>
        <v>20</v>
      </c>
      <c r="D8" s="4">
        <f>MROUND($B$4*0.625,2.5)</f>
        <v>75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92.5</v>
      </c>
      <c r="C9" s="7">
        <f>MAX(MROUND($B$4*0.225,2.5),20)</f>
        <v>27.5</v>
      </c>
      <c r="D9" s="7">
        <f>MROUND($B$4*0.675,2.5)</f>
        <v>80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100</v>
      </c>
      <c r="C10" s="4">
        <f>MAX(MROUND($B$4*0.275,2.5),20)</f>
        <v>32.5</v>
      </c>
      <c r="D10" s="4">
        <f>MROUND($B$4*0.725,2.5)</f>
        <v>87.5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92.5</v>
      </c>
      <c r="C11" s="7">
        <f>MAX(MROUND($B$4*0.175,2.5),20)</f>
        <v>20</v>
      </c>
      <c r="D11" s="7">
        <f>MROUND($B$4*0.675,2.5)</f>
        <v>80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87.5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92.5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100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92.5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27.5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32.5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75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80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87.5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80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35</v>
      </c>
    </row>
    <row r="3" spans="1:6" ht="30">
      <c r="A3" s="8" t="s">
        <v>43</v>
      </c>
      <c r="B3" s="17" t="s">
        <v>36</v>
      </c>
    </row>
    <row r="4" spans="1:6" ht="75">
      <c r="A4" s="8" t="s">
        <v>44</v>
      </c>
      <c r="B4" s="9">
        <v>130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95</v>
      </c>
      <c r="C8" s="4">
        <f>MAX(MROUND($B$4*0.175,2.5),20)</f>
        <v>22.5</v>
      </c>
      <c r="D8" s="4">
        <f>MROUND($B$4*0.625,2.5)</f>
        <v>82.5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100</v>
      </c>
      <c r="C9" s="7">
        <f>MAX(MROUND($B$4*0.225,2.5),20)</f>
        <v>30</v>
      </c>
      <c r="D9" s="7">
        <f>MROUND($B$4*0.675,2.5)</f>
        <v>87.5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107.5</v>
      </c>
      <c r="C10" s="4">
        <f>MAX(MROUND($B$4*0.275,2.5),20)</f>
        <v>35</v>
      </c>
      <c r="D10" s="4">
        <f>MROUND($B$4*0.725,2.5)</f>
        <v>95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100</v>
      </c>
      <c r="C11" s="7">
        <f>MAX(MROUND($B$4*0.175,2.5),20)</f>
        <v>22.5</v>
      </c>
      <c r="D11" s="7">
        <f>MROUND($B$4*0.675,2.5)</f>
        <v>87.5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95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100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107.5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100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22.5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30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22.5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82.5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87.5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95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87.5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37</v>
      </c>
    </row>
    <row r="3" spans="1:6" ht="30">
      <c r="A3" s="8" t="s">
        <v>43</v>
      </c>
      <c r="B3" s="17" t="s">
        <v>38</v>
      </c>
    </row>
    <row r="4" spans="1:6" ht="75">
      <c r="A4" s="8" t="s">
        <v>44</v>
      </c>
      <c r="B4" s="9">
        <v>120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87.5</v>
      </c>
      <c r="C8" s="4">
        <f>MAX(MROUND($B$4*0.175,2.5),20)</f>
        <v>20</v>
      </c>
      <c r="D8" s="4">
        <f>MROUND($B$4*0.625,2.5)</f>
        <v>75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92.5</v>
      </c>
      <c r="C9" s="7">
        <f>MAX(MROUND($B$4*0.225,2.5),20)</f>
        <v>27.5</v>
      </c>
      <c r="D9" s="7">
        <f>MROUND($B$4*0.675,2.5)</f>
        <v>80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100</v>
      </c>
      <c r="C10" s="4">
        <f>MAX(MROUND($B$4*0.275,2.5),20)</f>
        <v>32.5</v>
      </c>
      <c r="D10" s="4">
        <f>MROUND($B$4*0.725,2.5)</f>
        <v>87.5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92.5</v>
      </c>
      <c r="C11" s="7">
        <f>MAX(MROUND($B$4*0.175,2.5),20)</f>
        <v>20</v>
      </c>
      <c r="D11" s="7">
        <f>MROUND($B$4*0.675,2.5)</f>
        <v>80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87.5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92.5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100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92.5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27.5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32.5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75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80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87.5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80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F60"/>
  <sheetViews>
    <sheetView workbookViewId="0"/>
  </sheetViews>
  <sheetFormatPr defaultRowHeight="13.5"/>
  <cols>
    <col min="1" max="1" width="6" customWidth="1"/>
    <col min="2" max="2" width="18" customWidth="1"/>
    <col min="3" max="3" width="30" customWidth="1"/>
    <col min="4" max="5" width="18" customWidth="1"/>
    <col min="6" max="6" width="14" customWidth="1"/>
  </cols>
  <sheetData>
    <row r="1" spans="1:6">
      <c r="A1" s="24" t="s">
        <v>41</v>
      </c>
      <c r="B1" s="25"/>
      <c r="C1" s="25"/>
      <c r="D1" s="25"/>
      <c r="E1" s="25"/>
      <c r="F1" s="25"/>
    </row>
    <row r="2" spans="1:6" ht="45">
      <c r="A2" s="8" t="s">
        <v>42</v>
      </c>
      <c r="B2" s="17" t="s">
        <v>39</v>
      </c>
    </row>
    <row r="3" spans="1:6" ht="30">
      <c r="A3" s="8" t="s">
        <v>43</v>
      </c>
      <c r="B3" s="17" t="s">
        <v>40</v>
      </c>
    </row>
    <row r="4" spans="1:6" ht="75">
      <c r="A4" s="8" t="s">
        <v>44</v>
      </c>
      <c r="B4" s="9">
        <v>120</v>
      </c>
    </row>
    <row r="6" spans="1:6">
      <c r="A6" s="22" t="s">
        <v>45</v>
      </c>
      <c r="B6" s="23"/>
      <c r="C6" s="23"/>
      <c r="D6" s="23"/>
      <c r="E6" s="23"/>
      <c r="F6" s="23"/>
    </row>
    <row r="7" spans="1:6" ht="3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6" ht="16.5">
      <c r="A8" s="10" t="s">
        <v>52</v>
      </c>
      <c r="B8" s="4">
        <f>MROUND($B$4*0.725,2.5)</f>
        <v>87.5</v>
      </c>
      <c r="C8" s="4">
        <f>MAX(MROUND($B$4*0.175,2.5),20)</f>
        <v>20</v>
      </c>
      <c r="D8" s="4">
        <f>MROUND($B$4*0.625,2.5)</f>
        <v>75</v>
      </c>
      <c r="E8" s="2" t="s">
        <v>53</v>
      </c>
      <c r="F8" s="2" t="s">
        <v>54</v>
      </c>
    </row>
    <row r="9" spans="1:6" ht="16.5">
      <c r="A9" s="11" t="s">
        <v>55</v>
      </c>
      <c r="B9" s="7">
        <f>MROUND($B$4*0.775,2.5)</f>
        <v>92.5</v>
      </c>
      <c r="C9" s="7">
        <f>MAX(MROUND($B$4*0.225,2.5),20)</f>
        <v>27.5</v>
      </c>
      <c r="D9" s="7">
        <f>MROUND($B$4*0.675,2.5)</f>
        <v>80</v>
      </c>
      <c r="E9" s="5" t="s">
        <v>56</v>
      </c>
      <c r="F9" s="5" t="s">
        <v>54</v>
      </c>
    </row>
    <row r="10" spans="1:6" ht="16.5">
      <c r="A10" s="10" t="s">
        <v>57</v>
      </c>
      <c r="B10" s="4">
        <f>MROUND($B$4*0.825,2.5)</f>
        <v>100</v>
      </c>
      <c r="C10" s="4">
        <f>MAX(MROUND($B$4*0.275,2.5),20)</f>
        <v>32.5</v>
      </c>
      <c r="D10" s="4">
        <f>MROUND($B$4*0.725,2.5)</f>
        <v>87.5</v>
      </c>
      <c r="E10" s="2" t="s">
        <v>56</v>
      </c>
      <c r="F10" s="2" t="s">
        <v>54</v>
      </c>
    </row>
    <row r="11" spans="1:6" ht="16.5">
      <c r="A11" s="11" t="s">
        <v>58</v>
      </c>
      <c r="B11" s="7">
        <f>MROUND($B$4*0.775,2.5)</f>
        <v>92.5</v>
      </c>
      <c r="C11" s="7">
        <f>MAX(MROUND($B$4*0.175,2.5),20)</f>
        <v>20</v>
      </c>
      <c r="D11" s="7">
        <f>MROUND($B$4*0.675,2.5)</f>
        <v>80</v>
      </c>
      <c r="E11" s="5" t="s">
        <v>53</v>
      </c>
      <c r="F11" s="5" t="s">
        <v>54</v>
      </c>
    </row>
    <row r="13" spans="1:6">
      <c r="A13" s="22" t="s">
        <v>59</v>
      </c>
      <c r="B13" s="23"/>
      <c r="C13" s="23"/>
      <c r="D13" s="23"/>
      <c r="E13" s="23"/>
      <c r="F13" s="23"/>
    </row>
    <row r="14" spans="1:6" ht="1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ht="16.5">
      <c r="A15" s="2">
        <v>1</v>
      </c>
      <c r="B15" s="2" t="s">
        <v>66</v>
      </c>
      <c r="C15" s="12" t="s">
        <v>67</v>
      </c>
      <c r="D15" s="12" t="s">
        <v>68</v>
      </c>
      <c r="E15" s="2" t="s">
        <v>69</v>
      </c>
      <c r="F15" s="2"/>
    </row>
    <row r="16" spans="1:6" ht="16.5">
      <c r="A16" s="2">
        <v>2</v>
      </c>
      <c r="B16" s="2" t="s">
        <v>70</v>
      </c>
      <c r="C16" s="12" t="s">
        <v>71</v>
      </c>
      <c r="D16" s="12" t="s">
        <v>72</v>
      </c>
      <c r="E16" s="2" t="s">
        <v>73</v>
      </c>
      <c r="F16" s="2"/>
    </row>
    <row r="17" spans="1:6" ht="16.5">
      <c r="A17" s="2">
        <v>3</v>
      </c>
      <c r="B17" s="2" t="s">
        <v>70</v>
      </c>
      <c r="C17" s="12" t="s">
        <v>74</v>
      </c>
      <c r="D17" s="12" t="s">
        <v>75</v>
      </c>
      <c r="E17" s="2" t="s">
        <v>73</v>
      </c>
      <c r="F17" s="2"/>
    </row>
    <row r="18" spans="1:6" ht="16.5">
      <c r="A18" s="2">
        <v>4</v>
      </c>
      <c r="B18" s="2" t="s">
        <v>76</v>
      </c>
      <c r="C18" s="12" t="s">
        <v>77</v>
      </c>
      <c r="D18" s="12" t="s">
        <v>78</v>
      </c>
      <c r="E18" s="2" t="s">
        <v>73</v>
      </c>
      <c r="F18" s="2"/>
    </row>
    <row r="19" spans="1:6" ht="16.5">
      <c r="A19" s="2">
        <v>5</v>
      </c>
      <c r="B19" s="2" t="s">
        <v>76</v>
      </c>
      <c r="C19" s="12" t="s">
        <v>79</v>
      </c>
      <c r="D19" s="12" t="s">
        <v>80</v>
      </c>
      <c r="E19" s="2" t="s">
        <v>73</v>
      </c>
      <c r="F19" s="2"/>
    </row>
    <row r="20" spans="1:6" ht="16.5">
      <c r="A20" s="2">
        <v>6</v>
      </c>
      <c r="B20" s="2" t="s">
        <v>76</v>
      </c>
      <c r="C20" s="12" t="s">
        <v>81</v>
      </c>
      <c r="D20" s="12" t="s">
        <v>82</v>
      </c>
      <c r="E20" s="2" t="s">
        <v>73</v>
      </c>
      <c r="F20" s="2"/>
    </row>
    <row r="21" spans="1:6" ht="16.5">
      <c r="A21" s="2">
        <v>7</v>
      </c>
      <c r="B21" s="2" t="s">
        <v>83</v>
      </c>
      <c r="C21" s="12" t="s">
        <v>84</v>
      </c>
      <c r="D21" s="12" t="s">
        <v>85</v>
      </c>
      <c r="E21" s="2" t="s">
        <v>73</v>
      </c>
      <c r="F21" s="2"/>
    </row>
    <row r="22" spans="1:6" ht="16.5">
      <c r="A22" s="2">
        <v>8</v>
      </c>
      <c r="B22" s="2" t="s">
        <v>83</v>
      </c>
      <c r="C22" s="12" t="s">
        <v>86</v>
      </c>
      <c r="D22" s="12" t="s">
        <v>87</v>
      </c>
      <c r="E22" s="2" t="s">
        <v>73</v>
      </c>
      <c r="F22" s="2"/>
    </row>
    <row r="23" spans="1:6">
      <c r="A23" s="22" t="s">
        <v>88</v>
      </c>
      <c r="B23" s="23"/>
      <c r="C23" s="23"/>
      <c r="D23" s="23"/>
      <c r="E23" s="23"/>
      <c r="F23" s="23"/>
    </row>
    <row r="24" spans="1:6" ht="15">
      <c r="A24" s="1" t="s">
        <v>62</v>
      </c>
      <c r="B24" s="1" t="s">
        <v>89</v>
      </c>
      <c r="C24" s="1" t="s">
        <v>63</v>
      </c>
      <c r="D24" s="1" t="s">
        <v>65</v>
      </c>
      <c r="E24" s="1" t="s">
        <v>90</v>
      </c>
      <c r="F24" s="1" t="s">
        <v>91</v>
      </c>
    </row>
    <row r="25" spans="1:6" ht="33">
      <c r="A25" s="2" t="s">
        <v>92</v>
      </c>
      <c r="B25" s="2" t="s">
        <v>93</v>
      </c>
      <c r="C25" s="2" t="s">
        <v>94</v>
      </c>
      <c r="D25" s="2" t="s">
        <v>95</v>
      </c>
      <c r="E25" s="2"/>
      <c r="F25" s="2"/>
    </row>
    <row r="26" spans="1:6" ht="66">
      <c r="A26" s="2" t="s">
        <v>96</v>
      </c>
      <c r="B26" s="2" t="s">
        <v>97</v>
      </c>
      <c r="C26" s="2" t="s">
        <v>98</v>
      </c>
      <c r="D26" s="2" t="s">
        <v>99</v>
      </c>
      <c r="E26" s="2"/>
      <c r="F26" s="2"/>
    </row>
    <row r="27" spans="1:6" ht="66">
      <c r="A27" s="2" t="s">
        <v>100</v>
      </c>
      <c r="B27" s="2" t="s">
        <v>101</v>
      </c>
      <c r="C27" s="2" t="s">
        <v>102</v>
      </c>
      <c r="D27" s="2" t="s">
        <v>103</v>
      </c>
      <c r="E27" s="2"/>
      <c r="F27" s="2"/>
    </row>
    <row r="28" spans="1:6" ht="15">
      <c r="A28" s="13" t="s">
        <v>46</v>
      </c>
      <c r="B28" s="13" t="s">
        <v>104</v>
      </c>
      <c r="C28" s="13" t="s">
        <v>105</v>
      </c>
      <c r="D28" s="13" t="s">
        <v>106</v>
      </c>
      <c r="E28" s="13" t="s">
        <v>65</v>
      </c>
      <c r="F28" s="13" t="s">
        <v>107</v>
      </c>
    </row>
    <row r="29" spans="1:6" ht="16.5">
      <c r="A29" s="10" t="s">
        <v>52</v>
      </c>
      <c r="B29" s="2" t="s">
        <v>108</v>
      </c>
      <c r="C29" s="14">
        <f>B8</f>
        <v>87.5</v>
      </c>
      <c r="D29" s="2" t="s">
        <v>53</v>
      </c>
      <c r="E29" s="2" t="s">
        <v>109</v>
      </c>
      <c r="F29" s="2" t="s">
        <v>110</v>
      </c>
    </row>
    <row r="30" spans="1:6" ht="16.5">
      <c r="A30" s="11" t="s">
        <v>55</v>
      </c>
      <c r="B30" s="5" t="s">
        <v>111</v>
      </c>
      <c r="C30" s="15">
        <f>B9</f>
        <v>92.5</v>
      </c>
      <c r="D30" s="5" t="s">
        <v>56</v>
      </c>
      <c r="E30" s="5" t="s">
        <v>109</v>
      </c>
      <c r="F30" s="5" t="s">
        <v>112</v>
      </c>
    </row>
    <row r="31" spans="1:6" ht="16.5">
      <c r="A31" s="10" t="s">
        <v>57</v>
      </c>
      <c r="B31" s="2" t="s">
        <v>111</v>
      </c>
      <c r="C31" s="14">
        <f>B10</f>
        <v>100</v>
      </c>
      <c r="D31" s="2" t="s">
        <v>56</v>
      </c>
      <c r="E31" s="2" t="s">
        <v>109</v>
      </c>
      <c r="F31" s="2" t="s">
        <v>113</v>
      </c>
    </row>
    <row r="32" spans="1:6" ht="16.5">
      <c r="A32" s="11" t="s">
        <v>58</v>
      </c>
      <c r="B32" s="5" t="s">
        <v>114</v>
      </c>
      <c r="C32" s="15">
        <f>B11</f>
        <v>92.5</v>
      </c>
      <c r="D32" s="5" t="s">
        <v>53</v>
      </c>
      <c r="E32" s="5" t="s">
        <v>109</v>
      </c>
      <c r="F32" s="5" t="s">
        <v>115</v>
      </c>
    </row>
    <row r="33" spans="1:6">
      <c r="A33" s="22" t="s">
        <v>116</v>
      </c>
      <c r="B33" s="23"/>
      <c r="C33" s="23"/>
      <c r="D33" s="23"/>
      <c r="E33" s="23"/>
      <c r="F33" s="23"/>
    </row>
    <row r="34" spans="1:6" ht="15">
      <c r="A34" s="1" t="s">
        <v>62</v>
      </c>
      <c r="B34" s="1" t="s">
        <v>104</v>
      </c>
      <c r="C34" s="1" t="s">
        <v>63</v>
      </c>
      <c r="D34" s="1" t="s">
        <v>65</v>
      </c>
      <c r="E34" s="1"/>
      <c r="F34" s="1"/>
    </row>
    <row r="35" spans="1:6" ht="16.5">
      <c r="A35" s="2" t="s">
        <v>117</v>
      </c>
      <c r="B35" s="2" t="s">
        <v>118</v>
      </c>
      <c r="C35" s="2" t="s">
        <v>119</v>
      </c>
      <c r="D35" s="2" t="s">
        <v>120</v>
      </c>
      <c r="E35" s="2"/>
      <c r="F35" s="2"/>
    </row>
    <row r="36" spans="1:6" ht="49.5">
      <c r="A36" s="2" t="s">
        <v>121</v>
      </c>
      <c r="B36" s="2" t="s">
        <v>122</v>
      </c>
      <c r="C36" s="2" t="s">
        <v>123</v>
      </c>
      <c r="D36" s="2" t="s">
        <v>99</v>
      </c>
      <c r="E36" s="2"/>
      <c r="F36" s="2"/>
    </row>
    <row r="37" spans="1:6">
      <c r="A37" s="22" t="s">
        <v>124</v>
      </c>
      <c r="B37" s="23"/>
      <c r="C37" s="23"/>
      <c r="D37" s="23"/>
      <c r="E37" s="23"/>
      <c r="F37" s="23"/>
    </row>
    <row r="38" spans="1:6" ht="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spans="1:6" ht="16.5">
      <c r="A39" s="2">
        <v>1</v>
      </c>
      <c r="B39" s="2" t="s">
        <v>66</v>
      </c>
      <c r="C39" s="12" t="s">
        <v>125</v>
      </c>
      <c r="D39" s="12" t="s">
        <v>126</v>
      </c>
      <c r="E39" s="2" t="s">
        <v>69</v>
      </c>
      <c r="F39" s="2"/>
    </row>
    <row r="40" spans="1:6" ht="16.5">
      <c r="A40" s="2">
        <v>2</v>
      </c>
      <c r="B40" s="2" t="s">
        <v>70</v>
      </c>
      <c r="C40" s="12" t="s">
        <v>71</v>
      </c>
      <c r="D40" s="12" t="s">
        <v>72</v>
      </c>
      <c r="E40" s="2" t="s">
        <v>73</v>
      </c>
      <c r="F40" s="2"/>
    </row>
    <row r="41" spans="1:6" ht="16.5">
      <c r="A41" s="2">
        <v>3</v>
      </c>
      <c r="B41" s="2" t="s">
        <v>70</v>
      </c>
      <c r="C41" s="12" t="s">
        <v>127</v>
      </c>
      <c r="D41" s="12" t="s">
        <v>128</v>
      </c>
      <c r="E41" s="2" t="s">
        <v>73</v>
      </c>
      <c r="F41" s="2"/>
    </row>
    <row r="42" spans="1:6" ht="16.5">
      <c r="A42" s="2">
        <v>4</v>
      </c>
      <c r="B42" s="2" t="s">
        <v>76</v>
      </c>
      <c r="C42" s="12" t="s">
        <v>129</v>
      </c>
      <c r="D42" s="12" t="s">
        <v>130</v>
      </c>
      <c r="E42" s="2" t="s">
        <v>73</v>
      </c>
      <c r="F42" s="2"/>
    </row>
    <row r="43" spans="1:6" ht="16.5">
      <c r="A43" s="2">
        <v>5</v>
      </c>
      <c r="B43" s="2" t="s">
        <v>76</v>
      </c>
      <c r="C43" s="12" t="s">
        <v>131</v>
      </c>
      <c r="D43" s="12" t="s">
        <v>132</v>
      </c>
      <c r="E43" s="2" t="s">
        <v>73</v>
      </c>
      <c r="F43" s="2"/>
    </row>
    <row r="44" spans="1:6" ht="16.5">
      <c r="A44" s="2">
        <v>6</v>
      </c>
      <c r="B44" s="2" t="s">
        <v>76</v>
      </c>
      <c r="C44" s="12" t="s">
        <v>133</v>
      </c>
      <c r="D44" s="12" t="s">
        <v>80</v>
      </c>
      <c r="E44" s="2" t="s">
        <v>73</v>
      </c>
      <c r="F44" s="2"/>
    </row>
    <row r="45" spans="1:6" ht="16.5">
      <c r="A45" s="2">
        <v>7</v>
      </c>
      <c r="B45" s="2" t="s">
        <v>83</v>
      </c>
      <c r="C45" s="12" t="s">
        <v>84</v>
      </c>
      <c r="D45" s="12" t="s">
        <v>85</v>
      </c>
      <c r="E45" s="2" t="s">
        <v>73</v>
      </c>
      <c r="F45" s="2"/>
    </row>
    <row r="46" spans="1:6" ht="16.5">
      <c r="A46" s="2">
        <v>8</v>
      </c>
      <c r="B46" s="2" t="s">
        <v>83</v>
      </c>
      <c r="C46" s="12" t="s">
        <v>134</v>
      </c>
      <c r="D46" s="12" t="s">
        <v>87</v>
      </c>
      <c r="E46" s="2" t="s">
        <v>73</v>
      </c>
      <c r="F46" s="2"/>
    </row>
    <row r="47" spans="1:6">
      <c r="A47" s="22" t="s">
        <v>135</v>
      </c>
      <c r="B47" s="23"/>
      <c r="C47" s="23"/>
      <c r="D47" s="23"/>
      <c r="E47" s="23"/>
      <c r="F47" s="23"/>
    </row>
    <row r="48" spans="1:6" ht="15">
      <c r="A48" s="1" t="s">
        <v>62</v>
      </c>
      <c r="B48" s="1" t="s">
        <v>104</v>
      </c>
      <c r="C48" s="1" t="s">
        <v>63</v>
      </c>
      <c r="D48" s="1" t="s">
        <v>65</v>
      </c>
      <c r="E48" s="1" t="s">
        <v>90</v>
      </c>
      <c r="F48" s="1" t="s">
        <v>91</v>
      </c>
    </row>
    <row r="49" spans="1:6" ht="16.5">
      <c r="A49" s="2" t="s">
        <v>136</v>
      </c>
      <c r="B49" s="2" t="s">
        <v>118</v>
      </c>
      <c r="C49" s="2" t="s">
        <v>137</v>
      </c>
      <c r="D49" s="2" t="s">
        <v>120</v>
      </c>
      <c r="E49" s="2"/>
      <c r="F49" s="2"/>
    </row>
    <row r="50" spans="1:6" ht="15">
      <c r="A50" s="13" t="s">
        <v>46</v>
      </c>
      <c r="B50" s="13" t="s">
        <v>62</v>
      </c>
      <c r="C50" s="13" t="s">
        <v>105</v>
      </c>
      <c r="D50" s="13" t="s">
        <v>104</v>
      </c>
      <c r="E50" s="13" t="s">
        <v>138</v>
      </c>
      <c r="F50" s="13" t="s">
        <v>65</v>
      </c>
    </row>
    <row r="51" spans="1:6" ht="16.5">
      <c r="A51" s="10" t="s">
        <v>52</v>
      </c>
      <c r="B51" s="2" t="s">
        <v>139</v>
      </c>
      <c r="C51" s="14">
        <f>C8</f>
        <v>20</v>
      </c>
      <c r="D51" s="2" t="s">
        <v>114</v>
      </c>
      <c r="E51" s="2" t="s">
        <v>140</v>
      </c>
      <c r="F51" s="2" t="s">
        <v>141</v>
      </c>
    </row>
    <row r="52" spans="1:6" ht="16.5">
      <c r="A52" s="11" t="s">
        <v>55</v>
      </c>
      <c r="B52" s="5" t="s">
        <v>139</v>
      </c>
      <c r="C52" s="15">
        <f>C9</f>
        <v>27.5</v>
      </c>
      <c r="D52" s="5" t="s">
        <v>142</v>
      </c>
      <c r="E52" s="5" t="s">
        <v>123</v>
      </c>
      <c r="F52" s="5" t="s">
        <v>141</v>
      </c>
    </row>
    <row r="53" spans="1:6" ht="16.5">
      <c r="A53" s="10" t="s">
        <v>57</v>
      </c>
      <c r="B53" s="2" t="s">
        <v>139</v>
      </c>
      <c r="C53" s="14">
        <f>C10</f>
        <v>32.5</v>
      </c>
      <c r="D53" s="2" t="s">
        <v>143</v>
      </c>
      <c r="E53" s="2" t="s">
        <v>144</v>
      </c>
      <c r="F53" s="2" t="s">
        <v>141</v>
      </c>
    </row>
    <row r="54" spans="1:6" ht="16.5">
      <c r="A54" s="11" t="s">
        <v>58</v>
      </c>
      <c r="B54" s="5" t="s">
        <v>139</v>
      </c>
      <c r="C54" s="15">
        <f>C11</f>
        <v>20</v>
      </c>
      <c r="D54" s="5" t="s">
        <v>145</v>
      </c>
      <c r="E54" s="5" t="s">
        <v>144</v>
      </c>
      <c r="F54" s="5" t="s">
        <v>141</v>
      </c>
    </row>
    <row r="55" spans="1:6" ht="16.5">
      <c r="A55" s="10" t="s">
        <v>52</v>
      </c>
      <c r="B55" s="2" t="s">
        <v>146</v>
      </c>
      <c r="C55" s="14">
        <f>D8</f>
        <v>75</v>
      </c>
      <c r="D55" s="2" t="s">
        <v>147</v>
      </c>
      <c r="E55" s="2" t="s">
        <v>54</v>
      </c>
      <c r="F55" s="2" t="s">
        <v>148</v>
      </c>
    </row>
    <row r="56" spans="1:6" ht="16.5">
      <c r="A56" s="11" t="s">
        <v>55</v>
      </c>
      <c r="B56" s="5" t="s">
        <v>146</v>
      </c>
      <c r="C56" s="15">
        <f>D9</f>
        <v>80</v>
      </c>
      <c r="D56" s="5" t="s">
        <v>149</v>
      </c>
      <c r="E56" s="5" t="s">
        <v>144</v>
      </c>
      <c r="F56" s="5" t="s">
        <v>148</v>
      </c>
    </row>
    <row r="57" spans="1:6" ht="16.5">
      <c r="A57" s="10" t="s">
        <v>57</v>
      </c>
      <c r="B57" s="2" t="s">
        <v>146</v>
      </c>
      <c r="C57" s="14">
        <f>D10</f>
        <v>87.5</v>
      </c>
      <c r="D57" s="2" t="s">
        <v>149</v>
      </c>
      <c r="E57" s="2" t="s">
        <v>144</v>
      </c>
      <c r="F57" s="2" t="s">
        <v>148</v>
      </c>
    </row>
    <row r="58" spans="1:6" ht="16.5">
      <c r="A58" s="11" t="s">
        <v>58</v>
      </c>
      <c r="B58" s="5" t="s">
        <v>146</v>
      </c>
      <c r="C58" s="15">
        <f>D11</f>
        <v>80</v>
      </c>
      <c r="D58" s="5" t="s">
        <v>118</v>
      </c>
      <c r="E58" s="5" t="s">
        <v>144</v>
      </c>
      <c r="F58" s="5" t="s">
        <v>148</v>
      </c>
    </row>
    <row r="59" spans="1:6" ht="30">
      <c r="A59" s="16" t="s">
        <v>107</v>
      </c>
      <c r="B59" s="16" t="s">
        <v>104</v>
      </c>
      <c r="C59" s="16" t="s">
        <v>63</v>
      </c>
      <c r="D59" s="16" t="s">
        <v>65</v>
      </c>
      <c r="E59" s="16"/>
      <c r="F59" s="16"/>
    </row>
    <row r="60" spans="1:6" ht="66">
      <c r="A60" s="2" t="s">
        <v>150</v>
      </c>
      <c r="B60" s="2" t="s">
        <v>151</v>
      </c>
      <c r="C60" s="2" t="s">
        <v>152</v>
      </c>
      <c r="D60" s="2" t="s">
        <v>120</v>
      </c>
      <c r="E60" s="2"/>
      <c r="F60" s="2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honeticPr fontId="9" type="noConversion"/>
  <pageMargins left="0.75" right="0.75" top="1" bottom="1" header="0.5" footer="0.5"/>
  <pageSetup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</vt:i4>
      </vt:variant>
    </vt:vector>
  </HeadingPairs>
  <TitlesOfParts>
    <vt:vector size="15" baseType="lpstr">
      <vt:lpstr>负荷总表(内部)</vt:lpstr>
      <vt:lpstr>训练卡模板(复制用)</vt:lpstr>
      <vt:lpstr>P014_陶俊杰</vt:lpstr>
      <vt:lpstr>P012_李远熙</vt:lpstr>
      <vt:lpstr>P004_王慧宁</vt:lpstr>
      <vt:lpstr>P003_余锋友</vt:lpstr>
      <vt:lpstr>P020_梁辉靖</vt:lpstr>
      <vt:lpstr>P023_杨子恒</vt:lpstr>
      <vt:lpstr>P021_李浩然</vt:lpstr>
      <vt:lpstr>P008_马咏野</vt:lpstr>
      <vt:lpstr>P013_刘世灏</vt:lpstr>
      <vt:lpstr>P024_黄天祺</vt:lpstr>
      <vt:lpstr>P001_陈骏</vt:lpstr>
      <vt:lpstr>P022_卢狄</vt:lpstr>
      <vt:lpstr>'训练卡模板(复制用)'!Print_Area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天元 何</cp:lastModifiedBy>
  <dcterms:created xsi:type="dcterms:W3CDTF">2026-07-27T11:37:25Z</dcterms:created>
  <dcterms:modified xsi:type="dcterms:W3CDTF">2026-07-27T11:49:58Z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{"Label":"1","ContentProducer":"001191440300708461136T1WFUO","ProduceID":"9112bda287db071de8260da9b8eb7b56-HTTe","ReservedCode1":"{\"Type\":\" TC260PG\",\"Version\":1,\"Bindings\":[{\"Type\":\"soft\",\"AlgID\":\"sm3\",\"Value\":\"d5815a7438714f5c4d092da212e2d03e7a6d89d6fa89a37ad7b5a59ebdefce21\"},{\"Type\":\"hash\",\"AlgID\":\"sm3\",\"Value\":\"e6805e721fe3e491f4dd4ff8f17eef29c4714d434e06e46913d105c7f72d6568\"}],\"PubSD\":[{\"Type\":\"DS\",\"AlgID\":\"sm2\",\"TBSData\":{\"Type\":\"Binding\",\"BType\":\"hash\"},\"Signature\":\"304502200d3451ebe31625fe2837a69f67cdc137e2bd55c3d5d3bf5795c2eec3c5587763022100a6bc92eccd2ad2088998e92fbddf9ed2780845642dcd8c335f8a477f71a7c762\"},{\"Type\":\"PubKey\",\"AlgID\":\"sm2\",\"KeyValue\":\"0407f79b28a17a752b3aae4305c98b48978213832729a2571850b1310b2bc9fe8fee039ccf25ebfeac27502414d9fcef792d777183c98893d226171c2f7a3289a2\"}],\"Extension\":{\"Timestamp\":1785152264,\"KeyVersion\":\"v1-TxLeOmf7bqU223\"}}","ContentPropagator":"001191440300708461136T1WFUO","PropagateID":"9112bda287db071de8260da9b8eb7b56-HTTe","ReservedCode2":"{\"Type\":\" TC260PG\",\"Version\":1,\"Bindings\":[{\"Type\":\"soft\",\"AlgID\":\"sm3\",\"Value\":\"d5815a7438714f5c4d092da212e2d03e7a6d89d6fa89a37ad7b5a59ebdefce21\"},{\"Type\":\"hash\",\"AlgID\":\"sm3\",\"Value\":\"e6805e721fe3e491f4dd4ff8f17eef29c4714d434e06e46913d105c7f72d6568\"}],\"PubSD\":[{\"Type\":\"DS\",\"AlgID\":\"sm2\",\"TBSData\":{\"Type\":\"Binding\",\"BType\":\"hash\"},\"Signature\":\"3045022100b2ebad5a3706d694afa1ed6f9fcb6a4501fd749cec48ffdac47239323c5cd44c022069d8d55e13572821fe0c6c02bd86a4550550091e614a916ec38c6eb0afba2701\"},{\"Type\":\"PubKey\",\"AlgID\":\"sm2\",\"KeyValue\":\"0407f79b28a17a752b3aae4305c98b48978213832729a2571850b1310b2bc9fe8fee039ccf25ebfeac27502414d9fcef792d777183c98893d226171c2f7a3289a2\"}],\"Extension\":{\"Timestamp\":1785152264,\"KeyVersion\":\"v1-TxLeOmf7bqU223\"}}"}</vt:lpwstr>
  </property>
</Properties>
</file>